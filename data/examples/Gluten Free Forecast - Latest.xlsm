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omments1.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wilmarint-my.sharepoint.com/personal/abhishek_khetrapal_goodmanfielder_com_au/Documents/Desktop/"/>
    </mc:Choice>
  </mc:AlternateContent>
  <xr:revisionPtr revIDLastSave="46" documentId="8_{32D03773-1642-4D91-83F2-855A3D8D78B4}" xr6:coauthVersionLast="47" xr6:coauthVersionMax="47" xr10:uidLastSave="{18A63101-6FC4-4A08-9798-CB6F758FB6D9}"/>
  <bookViews>
    <workbookView xWindow="-120" yWindow="-120" windowWidth="25440" windowHeight="15390" tabRatio="462" firstSheet="2" activeTab="2" xr2:uid="{00000000-000D-0000-FFFF-FFFF00000000}"/>
  </bookViews>
  <sheets>
    <sheet name="SapIbpChartFeeder" sheetId="6" state="hidden" r:id="rId1"/>
    <sheet name="IBPFormattingSheet" sheetId="12" state="hidden" r:id="rId2"/>
    <sheet name="G144_RET" sheetId="5" r:id="rId3"/>
  </sheets>
  <functionGroups builtInGroupCount="19"/>
  <definedNames>
    <definedName name="__FPMExcelClient_CellBasedFunctionStatus" localSheetId="2" hidden="1">"2_1_2_2_2_2"</definedName>
    <definedName name="__FPMExcelClient_Connection" localSheetId="2">"{A63CB8EE-6674-452e-ACA5-65D5174D689E}_[https://my302556.scmibp1.ondemand.com/sap/sop/sopfnd/services/addin/excel/]_[SOP]_[GFIBPPRD01]_[]_[]_[false]_[True]\1"</definedName>
    <definedName name="_xlnm._FilterDatabase" localSheetId="2" hidden="1">G144_RET!$A$5:$DO$1690</definedName>
    <definedName name="_SOP">" "</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IBPFormattingSheet!$D$148</definedName>
    <definedName name="AddMemberFirst_1" localSheetId="1" hidden="1">IBPFormattingSheet!$D$41</definedName>
    <definedName name="AddMemberFirst_10" localSheetId="1" hidden="1">IBPFormattingSheet!$D$68</definedName>
    <definedName name="AddMemberFirst_11" localSheetId="1" hidden="1">IBPFormattingSheet!$D$71</definedName>
    <definedName name="AddMemberFirst_12" localSheetId="1" hidden="1">IBPFormattingSheet!$D$74</definedName>
    <definedName name="AddMemberFirst_13" localSheetId="1" hidden="1">IBPFormattingSheet!$D$77</definedName>
    <definedName name="AddMemberFirst_14" localSheetId="1" hidden="1">IBPFormattingSheet!$D$80</definedName>
    <definedName name="AddMemberFirst_15" localSheetId="1" hidden="1">IBPFormattingSheet!$D$83</definedName>
    <definedName name="AddMemberFirst_16" localSheetId="1" hidden="1">IBPFormattingSheet!$D$86</definedName>
    <definedName name="AddMemberFirst_17" localSheetId="1" hidden="1">IBPFormattingSheet!$D$89</definedName>
    <definedName name="AddMemberFirst_18" localSheetId="1" hidden="1">IBPFormattingSheet!$D$92</definedName>
    <definedName name="AddMemberFirst_19" localSheetId="1" hidden="1">IBPFormattingSheet!$D$95</definedName>
    <definedName name="AddMemberFirst_2" localSheetId="1" hidden="1">IBPFormattingSheet!$D$44</definedName>
    <definedName name="AddMemberFirst_20" localSheetId="1" hidden="1">IBPFormattingSheet!$D$98</definedName>
    <definedName name="AddMemberFirst_21" localSheetId="1" hidden="1">IBPFormattingSheet!$D$101</definedName>
    <definedName name="AddMemberFirst_22" localSheetId="1" hidden="1">IBPFormattingSheet!$D$104</definedName>
    <definedName name="AddMemberFirst_23" localSheetId="1" hidden="1">IBPFormattingSheet!$D$107</definedName>
    <definedName name="AddMemberFirst_24" localSheetId="1" hidden="1">IBPFormattingSheet!$D$110</definedName>
    <definedName name="AddMemberFirst_25" localSheetId="1" hidden="1">IBPFormattingSheet!$D$113</definedName>
    <definedName name="AddMemberFirst_26" localSheetId="1" hidden="1">IBPFormattingSheet!$D$116</definedName>
    <definedName name="AddMemberFirst_27" localSheetId="1" hidden="1">IBPFormattingSheet!$D$119</definedName>
    <definedName name="AddMemberFirst_28" localSheetId="1" hidden="1">IBPFormattingSheet!$D$122</definedName>
    <definedName name="AddMemberFirst_29" localSheetId="1" hidden="1">IBPFormattingSheet!$D$125</definedName>
    <definedName name="AddMemberFirst_3" localSheetId="1" hidden="1">IBPFormattingSheet!$D$47</definedName>
    <definedName name="AddMemberFirst_30" localSheetId="1" hidden="1">IBPFormattingSheet!$D$128</definedName>
    <definedName name="AddMemberFirst_31" localSheetId="1" hidden="1">IBPFormattingSheet!$D$131</definedName>
    <definedName name="AddMemberFirst_32" localSheetId="1" hidden="1">IBPFormattingSheet!$D$134</definedName>
    <definedName name="AddMemberFirst_33" localSheetId="1" hidden="1">IBPFormattingSheet!$D$137</definedName>
    <definedName name="AddMemberFirst_34" localSheetId="1" hidden="1">IBPFormattingSheet!$D$140</definedName>
    <definedName name="AddMemberFirst_35" localSheetId="1" hidden="1">IBPFormattingSheet!$D$143</definedName>
    <definedName name="AddMemberFirst_36" localSheetId="1" hidden="1">IBPFormattingSheet!$D$146</definedName>
    <definedName name="AddMemberFirst_4" localSheetId="1" hidden="1">IBPFormattingSheet!$D$50</definedName>
    <definedName name="AddMemberFirst_5" localSheetId="1" hidden="1">IBPFormattingSheet!$D$53</definedName>
    <definedName name="AddMemberFirst_6" localSheetId="1" hidden="1">IBPFormattingSheet!$D$56</definedName>
    <definedName name="AddMemberFirst_7" localSheetId="1" hidden="1">IBPFormattingSheet!$D$59</definedName>
    <definedName name="AddMemberFirst_8" localSheetId="1" hidden="1">IBPFormattingSheet!$D$62</definedName>
    <definedName name="AddMemberFirst_9" localSheetId="1" hidden="1">IBPFormattingSheet!$D$65</definedName>
    <definedName name="AddMemberSecond" localSheetId="1" hidden="1">IBPFormattingSheet!$D$187</definedName>
    <definedName name="AddMemberSecond_1" localSheetId="1" hidden="1">IBPFormattingSheet!$D$167</definedName>
    <definedName name="AddMemberSecond_2" localSheetId="1" hidden="1">IBPFormattingSheet!$D$170</definedName>
    <definedName name="AddMemberSecond_3" localSheetId="1" hidden="1">IBPFormattingSheet!$D$173</definedName>
    <definedName name="AddMemberSecond_4" localSheetId="1" hidden="1">IBPFormattingSheet!$D$176</definedName>
    <definedName name="AddMemberSecond_5" localSheetId="1" hidden="1">IBPFormattingSheet!$D$179</definedName>
    <definedName name="AddMemberSecond_6" localSheetId="1" hidden="1">IBPFormattingSheet!$D$182</definedName>
    <definedName name="AddMemberSecond_7" localSheetId="1" hidden="1">IBPFormattingSheet!$D$185</definedName>
    <definedName name="DataFirst" localSheetId="1" hidden="1">IBPFormattingSheet!$E$25:$G$25</definedName>
    <definedName name="DataSecond" localSheetId="1" hidden="1">IBPFormattingSheet!$E$202:$G$202</definedName>
    <definedName name="DataUseFirst" localSheetId="1" hidden="1">IBPFormattingSheet!$H$25</definedName>
    <definedName name="DataUseSecond" localSheetId="1" hidden="1">IBPFormattingSheet!$H$202</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IBPFormattingSheet!$F$199</definedName>
    <definedName name="EvenDataSecond" localSheetId="1" hidden="1">IBPFormattingSheet!$F$207</definedName>
    <definedName name="EvenDataUseFirst" localSheetId="1" hidden="1">IBPFormattingSheet!$H$199</definedName>
    <definedName name="EvenDataUseSecond" localSheetId="1" hidden="1">IBPFormattingSheet!$H$207</definedName>
    <definedName name="EvenHeaderFirst" localSheetId="1" hidden="1">IBPFormattingSheet!$J$199</definedName>
    <definedName name="EvenHeaderSecond" localSheetId="1" hidden="1">IBPFormattingSheet!$J$207</definedName>
    <definedName name="EvenHeaderUseFirst" localSheetId="1" hidden="1">IBPFormattingSheet!$L$199</definedName>
    <definedName name="EvenHeaderUseSecond" localSheetId="1" hidden="1">IBPFormattingSheet!$L$207</definedName>
    <definedName name="HeaderFirst" localSheetId="1" hidden="1">IBPFormattingSheet!$I$25:$K$25</definedName>
    <definedName name="HeaderSecond" localSheetId="1" hidden="1">IBPFormattingSheet!$I$202:$K$202</definedName>
    <definedName name="HeaderSmallGrid" localSheetId="1" hidden="1">IBPFormattingSheet!$A$1</definedName>
    <definedName name="HeaderUseFirst" localSheetId="1" hidden="1">IBPFormattingSheet!$L$25</definedName>
    <definedName name="HeaderUseSecond" localSheetId="1" hidden="1">IBPFormattingSheet!$L$202</definedName>
    <definedName name="HeaderUseSmallGrid" localSheetId="1" hidden="1">IBPFormattingSheet!$A$1</definedName>
    <definedName name="IBPClientFormattingSheet" localSheetId="1" hidden="1">"3_3"</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IBPFormattingSheet!$B$189</definedName>
    <definedName name="MemberFirstBlock" localSheetId="1" hidden="1">IBPFormattingSheet!$B$24:$B$149</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10" localSheetId="1" hidden="1">IBPFormattingSheet!$F$68</definedName>
    <definedName name="MemberFirstDataItem_11" localSheetId="1" hidden="1">IBPFormattingSheet!$F$71</definedName>
    <definedName name="MemberFirstDataItem_12" localSheetId="1" hidden="1">IBPFormattingSheet!$F$74</definedName>
    <definedName name="MemberFirstDataItem_13" localSheetId="1" hidden="1">IBPFormattingSheet!$F$77</definedName>
    <definedName name="MemberFirstDataItem_14" localSheetId="1" hidden="1">IBPFormattingSheet!$F$80</definedName>
    <definedName name="MemberFirstDataItem_15" localSheetId="1" hidden="1">IBPFormattingSheet!$F$83</definedName>
    <definedName name="MemberFirstDataItem_16" localSheetId="1" hidden="1">IBPFormattingSheet!$F$86</definedName>
    <definedName name="MemberFirstDataItem_17" localSheetId="1" hidden="1">IBPFormattingSheet!$F$89</definedName>
    <definedName name="MemberFirstDataItem_18" localSheetId="1" hidden="1">IBPFormattingSheet!$F$92</definedName>
    <definedName name="MemberFirstDataItem_19" localSheetId="1" hidden="1">IBPFormattingSheet!$F$95</definedName>
    <definedName name="MemberFirstDataItem_2" localSheetId="1" hidden="1">IBPFormattingSheet!$F$44</definedName>
    <definedName name="MemberFirstDataItem_20" localSheetId="1" hidden="1">IBPFormattingSheet!$F$98</definedName>
    <definedName name="MemberFirstDataItem_21" localSheetId="1" hidden="1">IBPFormattingSheet!$F$101</definedName>
    <definedName name="MemberFirstDataItem_22" localSheetId="1" hidden="1">IBPFormattingSheet!$F$104</definedName>
    <definedName name="MemberFirstDataItem_23" localSheetId="1" hidden="1">IBPFormattingSheet!$F$107</definedName>
    <definedName name="MemberFirstDataItem_24" localSheetId="1" hidden="1">IBPFormattingSheet!$F$110</definedName>
    <definedName name="MemberFirstDataItem_25" localSheetId="1" hidden="1">IBPFormattingSheet!$F$113</definedName>
    <definedName name="MemberFirstDataItem_26" localSheetId="1" hidden="1">IBPFormattingSheet!$F$116</definedName>
    <definedName name="MemberFirstDataItem_27" localSheetId="1" hidden="1">IBPFormattingSheet!$F$119</definedName>
    <definedName name="MemberFirstDataItem_28" localSheetId="1" hidden="1">IBPFormattingSheet!$F$122</definedName>
    <definedName name="MemberFirstDataItem_29" localSheetId="1" hidden="1">IBPFormattingSheet!$F$125</definedName>
    <definedName name="MemberFirstDataItem_3" localSheetId="1" hidden="1">IBPFormattingSheet!$F$47</definedName>
    <definedName name="MemberFirstDataItem_30" localSheetId="1" hidden="1">IBPFormattingSheet!$F$128</definedName>
    <definedName name="MemberFirstDataItem_31" localSheetId="1" hidden="1">IBPFormattingSheet!$F$131</definedName>
    <definedName name="MemberFirstDataItem_32" localSheetId="1" hidden="1">IBPFormattingSheet!$F$134</definedName>
    <definedName name="MemberFirstDataItem_33" localSheetId="1" hidden="1">IBPFormattingSheet!$F$137</definedName>
    <definedName name="MemberFirstDataItem_34" localSheetId="1" hidden="1">IBPFormattingSheet!$F$140</definedName>
    <definedName name="MemberFirstDataItem_35" localSheetId="1" hidden="1">IBPFormattingSheet!$F$143</definedName>
    <definedName name="MemberFirstDataItem_36" localSheetId="1" hidden="1">IBPFormattingSheet!$F$146</definedName>
    <definedName name="MemberFirstDataItem_4" localSheetId="1" hidden="1">IBPFormattingSheet!$F$50</definedName>
    <definedName name="MemberFirstDataItem_5" localSheetId="1" hidden="1">IBPFormattingSheet!$F$53</definedName>
    <definedName name="MemberFirstDataItem_6" localSheetId="1" hidden="1">IBPFormattingSheet!$F$56</definedName>
    <definedName name="MemberFirstDataItem_7" localSheetId="1" hidden="1">IBPFormattingSheet!$F$59</definedName>
    <definedName name="MemberFirstDataItem_8" localSheetId="1" hidden="1">IBPFormattingSheet!$F$62</definedName>
    <definedName name="MemberFirstDataItem_9" localSheetId="1" hidden="1">IBPFormattingSheet!$F$65</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10" localSheetId="1" hidden="1">IBPFormattingSheet!$H$68</definedName>
    <definedName name="MemberFirstDataUseItem_11" localSheetId="1" hidden="1">IBPFormattingSheet!$H$71</definedName>
    <definedName name="MemberFirstDataUseItem_12" localSheetId="1" hidden="1">IBPFormattingSheet!$H$74</definedName>
    <definedName name="MemberFirstDataUseItem_13" localSheetId="1" hidden="1">IBPFormattingSheet!$H$77</definedName>
    <definedName name="MemberFirstDataUseItem_14" localSheetId="1" hidden="1">IBPFormattingSheet!$H$80</definedName>
    <definedName name="MemberFirstDataUseItem_15" localSheetId="1" hidden="1">IBPFormattingSheet!$H$83</definedName>
    <definedName name="MemberFirstDataUseItem_16" localSheetId="1" hidden="1">IBPFormattingSheet!$H$86</definedName>
    <definedName name="MemberFirstDataUseItem_17" localSheetId="1" hidden="1">IBPFormattingSheet!$H$89</definedName>
    <definedName name="MemberFirstDataUseItem_18" localSheetId="1" hidden="1">IBPFormattingSheet!$H$92</definedName>
    <definedName name="MemberFirstDataUseItem_19" localSheetId="1" hidden="1">IBPFormattingSheet!$H$95</definedName>
    <definedName name="MemberFirstDataUseItem_2" localSheetId="1" hidden="1">IBPFormattingSheet!$H$44</definedName>
    <definedName name="MemberFirstDataUseItem_20" localSheetId="1" hidden="1">IBPFormattingSheet!$H$98</definedName>
    <definedName name="MemberFirstDataUseItem_21" localSheetId="1" hidden="1">IBPFormattingSheet!$H$101</definedName>
    <definedName name="MemberFirstDataUseItem_22" localSheetId="1" hidden="1">IBPFormattingSheet!$H$104</definedName>
    <definedName name="MemberFirstDataUseItem_23" localSheetId="1" hidden="1">IBPFormattingSheet!$H$107</definedName>
    <definedName name="MemberFirstDataUseItem_24" localSheetId="1" hidden="1">IBPFormattingSheet!$H$110</definedName>
    <definedName name="MemberFirstDataUseItem_25" localSheetId="1" hidden="1">IBPFormattingSheet!$H$113</definedName>
    <definedName name="MemberFirstDataUseItem_26" localSheetId="1" hidden="1">IBPFormattingSheet!$H$116</definedName>
    <definedName name="MemberFirstDataUseItem_27" localSheetId="1" hidden="1">IBPFormattingSheet!$H$119</definedName>
    <definedName name="MemberFirstDataUseItem_28" localSheetId="1" hidden="1">IBPFormattingSheet!$H$122</definedName>
    <definedName name="MemberFirstDataUseItem_29" localSheetId="1" hidden="1">IBPFormattingSheet!$H$125</definedName>
    <definedName name="MemberFirstDataUseItem_3" localSheetId="1" hidden="1">IBPFormattingSheet!$H$47</definedName>
    <definedName name="MemberFirstDataUseItem_30" localSheetId="1" hidden="1">IBPFormattingSheet!$H$128</definedName>
    <definedName name="MemberFirstDataUseItem_31" localSheetId="1" hidden="1">IBPFormattingSheet!$H$131</definedName>
    <definedName name="MemberFirstDataUseItem_32" localSheetId="1" hidden="1">IBPFormattingSheet!$H$134</definedName>
    <definedName name="MemberFirstDataUseItem_33" localSheetId="1" hidden="1">IBPFormattingSheet!$H$137</definedName>
    <definedName name="MemberFirstDataUseItem_34" localSheetId="1" hidden="1">IBPFormattingSheet!$H$140</definedName>
    <definedName name="MemberFirstDataUseItem_35" localSheetId="1" hidden="1">IBPFormattingSheet!$H$143</definedName>
    <definedName name="MemberFirstDataUseItem_36" localSheetId="1" hidden="1">IBPFormattingSheet!$H$146</definedName>
    <definedName name="MemberFirstDataUseItem_4" localSheetId="1" hidden="1">IBPFormattingSheet!$H$50</definedName>
    <definedName name="MemberFirstDataUseItem_5" localSheetId="1" hidden="1">IBPFormattingSheet!$H$53</definedName>
    <definedName name="MemberFirstDataUseItem_6" localSheetId="1" hidden="1">IBPFormattingSheet!$H$56</definedName>
    <definedName name="MemberFirstDataUseItem_7" localSheetId="1" hidden="1">IBPFormattingSheet!$H$59</definedName>
    <definedName name="MemberFirstDataUseItem_8" localSheetId="1" hidden="1">IBPFormattingSheet!$H$62</definedName>
    <definedName name="MemberFirstDataUseItem_9" localSheetId="1" hidden="1">IBPFormattingSheet!$H$65</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10" localSheetId="1" hidden="1">IBPFormattingSheet!$J$68</definedName>
    <definedName name="MemberFirstHeaderItem_11" localSheetId="1" hidden="1">IBPFormattingSheet!$J$71</definedName>
    <definedName name="MemberFirstHeaderItem_12" localSheetId="1" hidden="1">IBPFormattingSheet!$J$74</definedName>
    <definedName name="MemberFirstHeaderItem_13" localSheetId="1" hidden="1">IBPFormattingSheet!$J$77</definedName>
    <definedName name="MemberFirstHeaderItem_14" localSheetId="1" hidden="1">IBPFormattingSheet!$J$80</definedName>
    <definedName name="MemberFirstHeaderItem_15" localSheetId="1" hidden="1">IBPFormattingSheet!$J$83</definedName>
    <definedName name="MemberFirstHeaderItem_16" localSheetId="1" hidden="1">IBPFormattingSheet!$J$86</definedName>
    <definedName name="MemberFirstHeaderItem_17" localSheetId="1" hidden="1">IBPFormattingSheet!$J$89</definedName>
    <definedName name="MemberFirstHeaderItem_18" localSheetId="1" hidden="1">IBPFormattingSheet!$J$92</definedName>
    <definedName name="MemberFirstHeaderItem_19" localSheetId="1" hidden="1">IBPFormattingSheet!$J$95</definedName>
    <definedName name="MemberFirstHeaderItem_2" localSheetId="1" hidden="1">IBPFormattingSheet!$J$44</definedName>
    <definedName name="MemberFirstHeaderItem_20" localSheetId="1" hidden="1">IBPFormattingSheet!$J$98</definedName>
    <definedName name="MemberFirstHeaderItem_21" localSheetId="1" hidden="1">IBPFormattingSheet!$J$101</definedName>
    <definedName name="MemberFirstHeaderItem_22" localSheetId="1" hidden="1">IBPFormattingSheet!$J$104</definedName>
    <definedName name="MemberFirstHeaderItem_23" localSheetId="1" hidden="1">IBPFormattingSheet!$J$107</definedName>
    <definedName name="MemberFirstHeaderItem_24" localSheetId="1" hidden="1">IBPFormattingSheet!$J$110</definedName>
    <definedName name="MemberFirstHeaderItem_25" localSheetId="1" hidden="1">IBPFormattingSheet!$J$113</definedName>
    <definedName name="MemberFirstHeaderItem_26" localSheetId="1" hidden="1">IBPFormattingSheet!$J$116</definedName>
    <definedName name="MemberFirstHeaderItem_27" localSheetId="1" hidden="1">IBPFormattingSheet!$J$119</definedName>
    <definedName name="MemberFirstHeaderItem_28" localSheetId="1" hidden="1">IBPFormattingSheet!$J$122</definedName>
    <definedName name="MemberFirstHeaderItem_29" localSheetId="1" hidden="1">IBPFormattingSheet!$J$125</definedName>
    <definedName name="MemberFirstHeaderItem_3" localSheetId="1" hidden="1">IBPFormattingSheet!$J$47</definedName>
    <definedName name="MemberFirstHeaderItem_30" localSheetId="1" hidden="1">IBPFormattingSheet!$J$128</definedName>
    <definedName name="MemberFirstHeaderItem_31" localSheetId="1" hidden="1">IBPFormattingSheet!$J$131</definedName>
    <definedName name="MemberFirstHeaderItem_32" localSheetId="1" hidden="1">IBPFormattingSheet!$J$134</definedName>
    <definedName name="MemberFirstHeaderItem_33" localSheetId="1" hidden="1">IBPFormattingSheet!$J$137</definedName>
    <definedName name="MemberFirstHeaderItem_34" localSheetId="1" hidden="1">IBPFormattingSheet!$J$140</definedName>
    <definedName name="MemberFirstHeaderItem_35" localSheetId="1" hidden="1">IBPFormattingSheet!$J$143</definedName>
    <definedName name="MemberFirstHeaderItem_36" localSheetId="1" hidden="1">IBPFormattingSheet!$J$146</definedName>
    <definedName name="MemberFirstHeaderItem_4" localSheetId="1" hidden="1">IBPFormattingSheet!$J$50</definedName>
    <definedName name="MemberFirstHeaderItem_5" localSheetId="1" hidden="1">IBPFormattingSheet!$J$53</definedName>
    <definedName name="MemberFirstHeaderItem_6" localSheetId="1" hidden="1">IBPFormattingSheet!$J$56</definedName>
    <definedName name="MemberFirstHeaderItem_7" localSheetId="1" hidden="1">IBPFormattingSheet!$J$59</definedName>
    <definedName name="MemberFirstHeaderItem_8" localSheetId="1" hidden="1">IBPFormattingSheet!$J$62</definedName>
    <definedName name="MemberFirstHeaderItem_9" localSheetId="1" hidden="1">IBPFormattingSheet!$J$65</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10" localSheetId="1" hidden="1">IBPFormattingSheet!$L$68</definedName>
    <definedName name="MemberFirstHeaderUseItem_11" localSheetId="1" hidden="1">IBPFormattingSheet!$L$71</definedName>
    <definedName name="MemberFirstHeaderUseItem_12" localSheetId="1" hidden="1">IBPFormattingSheet!$L$74</definedName>
    <definedName name="MemberFirstHeaderUseItem_13" localSheetId="1" hidden="1">IBPFormattingSheet!$L$77</definedName>
    <definedName name="MemberFirstHeaderUseItem_14" localSheetId="1" hidden="1">IBPFormattingSheet!$L$80</definedName>
    <definedName name="MemberFirstHeaderUseItem_15" localSheetId="1" hidden="1">IBPFormattingSheet!$L$83</definedName>
    <definedName name="MemberFirstHeaderUseItem_16" localSheetId="1" hidden="1">IBPFormattingSheet!$L$86</definedName>
    <definedName name="MemberFirstHeaderUseItem_17" localSheetId="1" hidden="1">IBPFormattingSheet!$L$89</definedName>
    <definedName name="MemberFirstHeaderUseItem_18" localSheetId="1" hidden="1">IBPFormattingSheet!$L$92</definedName>
    <definedName name="MemberFirstHeaderUseItem_19" localSheetId="1" hidden="1">IBPFormattingSheet!$L$95</definedName>
    <definedName name="MemberFirstHeaderUseItem_2" localSheetId="1" hidden="1">IBPFormattingSheet!$L$44</definedName>
    <definedName name="MemberFirstHeaderUseItem_20" localSheetId="1" hidden="1">IBPFormattingSheet!$L$98</definedName>
    <definedName name="MemberFirstHeaderUseItem_21" localSheetId="1" hidden="1">IBPFormattingSheet!$L$101</definedName>
    <definedName name="MemberFirstHeaderUseItem_22" localSheetId="1" hidden="1">IBPFormattingSheet!$L$104</definedName>
    <definedName name="MemberFirstHeaderUseItem_23" localSheetId="1" hidden="1">IBPFormattingSheet!$L$107</definedName>
    <definedName name="MemberFirstHeaderUseItem_24" localSheetId="1" hidden="1">IBPFormattingSheet!$L$110</definedName>
    <definedName name="MemberFirstHeaderUseItem_25" localSheetId="1" hidden="1">IBPFormattingSheet!$L$113</definedName>
    <definedName name="MemberFirstHeaderUseItem_26" localSheetId="1" hidden="1">IBPFormattingSheet!$L$116</definedName>
    <definedName name="MemberFirstHeaderUseItem_27" localSheetId="1" hidden="1">IBPFormattingSheet!$L$119</definedName>
    <definedName name="MemberFirstHeaderUseItem_28" localSheetId="1" hidden="1">IBPFormattingSheet!$L$122</definedName>
    <definedName name="MemberFirstHeaderUseItem_29" localSheetId="1" hidden="1">IBPFormattingSheet!$L$125</definedName>
    <definedName name="MemberFirstHeaderUseItem_3" localSheetId="1" hidden="1">IBPFormattingSheet!$L$47</definedName>
    <definedName name="MemberFirstHeaderUseItem_30" localSheetId="1" hidden="1">IBPFormattingSheet!$L$128</definedName>
    <definedName name="MemberFirstHeaderUseItem_31" localSheetId="1" hidden="1">IBPFormattingSheet!$L$131</definedName>
    <definedName name="MemberFirstHeaderUseItem_32" localSheetId="1" hidden="1">IBPFormattingSheet!$L$134</definedName>
    <definedName name="MemberFirstHeaderUseItem_33" localSheetId="1" hidden="1">IBPFormattingSheet!$L$137</definedName>
    <definedName name="MemberFirstHeaderUseItem_34" localSheetId="1" hidden="1">IBPFormattingSheet!$L$140</definedName>
    <definedName name="MemberFirstHeaderUseItem_35" localSheetId="1" hidden="1">IBPFormattingSheet!$L$143</definedName>
    <definedName name="MemberFirstHeaderUseItem_36" localSheetId="1" hidden="1">IBPFormattingSheet!$L$146</definedName>
    <definedName name="MemberFirstHeaderUseItem_4" localSheetId="1" hidden="1">IBPFormattingSheet!$L$50</definedName>
    <definedName name="MemberFirstHeaderUseItem_5" localSheetId="1" hidden="1">IBPFormattingSheet!$L$53</definedName>
    <definedName name="MemberFirstHeaderUseItem_6" localSheetId="1" hidden="1">IBPFormattingSheet!$L$56</definedName>
    <definedName name="MemberFirstHeaderUseItem_7" localSheetId="1" hidden="1">IBPFormattingSheet!$L$59</definedName>
    <definedName name="MemberFirstHeaderUseItem_8" localSheetId="1" hidden="1">IBPFormattingSheet!$L$62</definedName>
    <definedName name="MemberFirstHeaderUseItem_9" localSheetId="1" hidden="1">IBPFormattingSheet!$L$65</definedName>
    <definedName name="MemberFirstHeaderUseLocal" localSheetId="1" hidden="1">IBPFormattingSheet!$L$33</definedName>
    <definedName name="MemberSecondBlock" localSheetId="1" hidden="1">IBPFormattingSheet!$B$150:$B$188</definedName>
    <definedName name="MemberSecondDataCalculated" localSheetId="1" hidden="1">IBPFormattingSheet!$F$153</definedName>
    <definedName name="MemberSecondDataChanged" localSheetId="1" hidden="1">IBPFormattingSheet!$F$162</definedName>
    <definedName name="MemberSecondDataCustom" localSheetId="1" hidden="1">IBPFormattingSheet!#REF!</definedName>
    <definedName name="MemberSecondDataInputable" localSheetId="1" hidden="1">IBPFormattingSheet!$F$156</definedName>
    <definedName name="MemberSecondDataItem_1" localSheetId="1" hidden="1">IBPFormattingSheet!$F$167</definedName>
    <definedName name="MemberSecondDataItem_2" localSheetId="1" hidden="1">IBPFormattingSheet!$F$170</definedName>
    <definedName name="MemberSecondDataItem_3" localSheetId="1" hidden="1">IBPFormattingSheet!$F$173</definedName>
    <definedName name="MemberSecondDataItem_4" localSheetId="1" hidden="1">IBPFormattingSheet!$F$176</definedName>
    <definedName name="MemberSecondDataItem_5" localSheetId="1" hidden="1">IBPFormattingSheet!$F$179</definedName>
    <definedName name="MemberSecondDataItem_6" localSheetId="1" hidden="1">IBPFormattingSheet!$F$182</definedName>
    <definedName name="MemberSecondDataItem_7" localSheetId="1" hidden="1">IBPFormattingSheet!$F$185</definedName>
    <definedName name="MemberSecondDataLocal" localSheetId="1" hidden="1">IBPFormattingSheet!$F$159</definedName>
    <definedName name="MemberSecondDataUseCalculated" localSheetId="1" hidden="1">IBPFormattingSheet!$H$153</definedName>
    <definedName name="MemberSecondDataUseChanged" localSheetId="1" hidden="1">IBPFormattingSheet!$H$162</definedName>
    <definedName name="MemberSecondDataUseCustom" localSheetId="1" hidden="1">IBPFormattingSheet!#REF!</definedName>
    <definedName name="MemberSecondDataUseInputable" localSheetId="1" hidden="1">IBPFormattingSheet!$H$156</definedName>
    <definedName name="MemberSecondDataUseItem_1" localSheetId="1" hidden="1">IBPFormattingSheet!$H$167</definedName>
    <definedName name="MemberSecondDataUseItem_2" localSheetId="1" hidden="1">IBPFormattingSheet!$H$170</definedName>
    <definedName name="MemberSecondDataUseItem_3" localSheetId="1" hidden="1">IBPFormattingSheet!$H$173</definedName>
    <definedName name="MemberSecondDataUseItem_4" localSheetId="1" hidden="1">IBPFormattingSheet!$H$176</definedName>
    <definedName name="MemberSecondDataUseItem_5" localSheetId="1" hidden="1">IBPFormattingSheet!$H$179</definedName>
    <definedName name="MemberSecondDataUseItem_6" localSheetId="1" hidden="1">IBPFormattingSheet!$H$182</definedName>
    <definedName name="MemberSecondDataUseItem_7" localSheetId="1" hidden="1">IBPFormattingSheet!$H$185</definedName>
    <definedName name="MemberSecondDataUseLocal" localSheetId="1" hidden="1">IBPFormattingSheet!$H$159</definedName>
    <definedName name="MemberSecondHeaderCalculated" localSheetId="1" hidden="1">IBPFormattingSheet!$J$153</definedName>
    <definedName name="MemberSecondHeaderChanged" localSheetId="1" hidden="1">IBPFormattingSheet!$J$162</definedName>
    <definedName name="MemberSecondHeaderCustom" localSheetId="1" hidden="1">IBPFormattingSheet!#REF!</definedName>
    <definedName name="MemberSecondHeaderInputable" localSheetId="1" hidden="1">IBPFormattingSheet!$J$156</definedName>
    <definedName name="MemberSecondHeaderItem_1" localSheetId="1" hidden="1">IBPFormattingSheet!$J$167</definedName>
    <definedName name="MemberSecondHeaderItem_2" localSheetId="1" hidden="1">IBPFormattingSheet!$J$170</definedName>
    <definedName name="MemberSecondHeaderItem_3" localSheetId="1" hidden="1">IBPFormattingSheet!$J$173</definedName>
    <definedName name="MemberSecondHeaderItem_4" localSheetId="1" hidden="1">IBPFormattingSheet!$J$176</definedName>
    <definedName name="MemberSecondHeaderItem_5" localSheetId="1" hidden="1">IBPFormattingSheet!$J$179</definedName>
    <definedName name="MemberSecondHeaderItem_6" localSheetId="1" hidden="1">IBPFormattingSheet!$J$182</definedName>
    <definedName name="MemberSecondHeaderItem_7" localSheetId="1" hidden="1">IBPFormattingSheet!$J$185</definedName>
    <definedName name="MemberSecondHeaderLocal" localSheetId="1" hidden="1">IBPFormattingSheet!$J$159</definedName>
    <definedName name="MemberSecondHeaderUseCalculated" localSheetId="1" hidden="1">IBPFormattingSheet!$L$153</definedName>
    <definedName name="MemberSecondHeaderUseChanged" localSheetId="1" hidden="1">IBPFormattingSheet!$L$162</definedName>
    <definedName name="MemberSecondHeaderUseCustom" localSheetId="1" hidden="1">IBPFormattingSheet!#REF!</definedName>
    <definedName name="MemberSecondHeaderUseInputable" localSheetId="1" hidden="1">IBPFormattingSheet!$L$156</definedName>
    <definedName name="MemberSecondHeaderUseItem_1" localSheetId="1" hidden="1">IBPFormattingSheet!$L$167</definedName>
    <definedName name="MemberSecondHeaderUseItem_2" localSheetId="1" hidden="1">IBPFormattingSheet!$L$170</definedName>
    <definedName name="MemberSecondHeaderUseItem_3" localSheetId="1" hidden="1">IBPFormattingSheet!$L$173</definedName>
    <definedName name="MemberSecondHeaderUseItem_4" localSheetId="1" hidden="1">IBPFormattingSheet!$L$176</definedName>
    <definedName name="MemberSecondHeaderUseItem_5" localSheetId="1" hidden="1">IBPFormattingSheet!$L$179</definedName>
    <definedName name="MemberSecondHeaderUseItem_6" localSheetId="1" hidden="1">IBPFormattingSheet!$L$182</definedName>
    <definedName name="MemberSecondHeaderUseItem_7" localSheetId="1" hidden="1">IBPFormattingSheet!$L$185</definedName>
    <definedName name="MemberSecondHeaderUseLocal" localSheetId="1" hidden="1">IBPFormattingSheet!$L$159</definedName>
    <definedName name="OddDataFirst" localSheetId="1" hidden="1">IBPFormattingSheet!$F$196</definedName>
    <definedName name="OddDataSecond" localSheetId="1" hidden="1">IBPFormattingSheet!$F$204</definedName>
    <definedName name="OddDataUseFirst" localSheetId="1" hidden="1">IBPFormattingSheet!$H$196</definedName>
    <definedName name="OddDataUseSecond" localSheetId="1" hidden="1">IBPFormattingSheet!$H$204</definedName>
    <definedName name="OddEvenEndBlock" localSheetId="1" hidden="1">IBPFormattingSheet!$B$209</definedName>
    <definedName name="OddEvenFirstBlock" localSheetId="1" hidden="1">IBPFormattingSheet!$B$193:$B$200</definedName>
    <definedName name="OddEvenSecondBlock" localSheetId="1" hidden="1">IBPFormattingSheet!$B$201:$B$208</definedName>
    <definedName name="OddHeaderFirst" localSheetId="1" hidden="1">IBPFormattingSheet!$J$196</definedName>
    <definedName name="OddHeaderSecond" localSheetId="1" hidden="1">IBPFormattingSheet!$J$204</definedName>
    <definedName name="OddHeaderUseFirst" localSheetId="1" hidden="1">IBPFormattingSheet!$L$196</definedName>
    <definedName name="OddHeaderUseSecond" localSheetId="1" hidden="1">IBPFormattingSheet!$L$204</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 localSheetId="1">"PD6"</definedName>
    <definedName name="SOP_Connection_Name">"Demand Planning"</definedName>
    <definedName name="SOP_Favorite_Name">" "</definedName>
    <definedName name="SOP_Filter" localSheetId="2">{"Market Segment = G610_01_01","Category = Gluten Free","Product ID = 168847; 168846; 168848; 179649; 179650","Location ID = 6103; 6104; 6105; 6110; 6120; 6123; 6125; 6130; 6134"}</definedName>
    <definedName name="SOP_Filter" localSheetId="1">{" "}</definedName>
    <definedName name="SOP_Filter">{" "}</definedName>
    <definedName name="SOP_Filter_Criteria_Count" localSheetId="2">4</definedName>
    <definedName name="SOP_Filter_Name" localSheetId="2">"(Ad Hoc Filter)"</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"Location"</definedName>
    <definedName name="SOP_Heading3" localSheetId="2">"Location ID"</definedName>
    <definedName name="SOP_Heading4" localSheetId="2">"Product ID"</definedName>
    <definedName name="SOP_Heading5" localSheetId="2">"Product Desc"</definedName>
    <definedName name="SOP_Heading6" localSheetId="2">" "</definedName>
    <definedName name="SOP_Heading7" localSheetId="2">" "</definedName>
    <definedName name="SOP_Heading8" localSheetId="2">" "</definedName>
    <definedName name="SOP_Heading9" localSheetId="2">" "</definedName>
    <definedName name="SOP_Planning_Area" localSheetId="1">"SAP6PFT"</definedName>
    <definedName name="SOP_Planning_Area">"GFIBPPRD01"</definedName>
    <definedName name="SOP_Planning_Scope" localSheetId="1">" "</definedName>
    <definedName name="SOP_Planning_Scope">" "</definedName>
    <definedName name="SOP_Planning_Scope_v2">" "</definedName>
    <definedName name="SOP_Refresh_Timestamp" localSheetId="1">43129.8290046296</definedName>
    <definedName name="SOP_Refresh_Timestamp">45937.6144328704</definedName>
    <definedName name="SOP_TargetCurrency" localSheetId="2">"AUD"</definedName>
    <definedName name="SOP_TargetUoM" localSheetId="2">"PUM"</definedName>
    <definedName name="SOP_Template_Name">"DP130 Demand Planning_G144_RET"</definedName>
    <definedName name="SOP_Value_Based_Filter" localSheetId="2">{" "}</definedName>
    <definedName name="SOP_Value_Based_Filter_Name" localSheetId="2">"(None)"</definedName>
    <definedName name="SOP_WB_Filter">{" "}</definedName>
    <definedName name="SOP_WB_Filter_Criteria_Count">0</definedName>
    <definedName name="SOP_WB_Filter_Name">"(None)"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5" l="1"/>
  <c r="F6" i="5"/>
  <c r="I7" i="5"/>
  <c r="G9" i="5"/>
  <c r="J10" i="5"/>
  <c r="H12" i="5"/>
  <c r="F14" i="5"/>
  <c r="I15" i="5"/>
  <c r="G17" i="5"/>
  <c r="J18" i="5"/>
  <c r="H20" i="5"/>
  <c r="F22" i="5"/>
  <c r="I23" i="5"/>
  <c r="G25" i="5"/>
  <c r="J26" i="5"/>
  <c r="H28" i="5"/>
  <c r="I31" i="5"/>
  <c r="G33" i="5"/>
  <c r="H36" i="5"/>
  <c r="I39" i="5"/>
  <c r="G41" i="5"/>
  <c r="H44" i="5"/>
  <c r="F46" i="5"/>
  <c r="I47" i="5"/>
  <c r="J50" i="5"/>
  <c r="R5" i="5"/>
  <c r="AH5" i="5"/>
  <c r="AP5" i="5"/>
  <c r="DZ5" i="5"/>
  <c r="EP5" i="5"/>
  <c r="EX5" i="5"/>
  <c r="FN5" i="5"/>
  <c r="FV5" i="5"/>
  <c r="GT5" i="5"/>
  <c r="HZ5" i="5"/>
  <c r="IH5" i="5"/>
  <c r="IP5" i="5"/>
  <c r="IX5" i="5"/>
  <c r="JF5" i="5"/>
  <c r="JN5" i="5"/>
  <c r="JV5" i="5"/>
  <c r="KD5" i="5"/>
  <c r="KL5" i="5"/>
  <c r="KT5" i="5"/>
  <c r="LR5" i="5"/>
  <c r="MH5" i="5"/>
  <c r="G6" i="5"/>
  <c r="J7" i="5"/>
  <c r="H9" i="5"/>
  <c r="F11" i="5"/>
  <c r="I12" i="5"/>
  <c r="G14" i="5"/>
  <c r="J15" i="5"/>
  <c r="H17" i="5"/>
  <c r="F19" i="5"/>
  <c r="I20" i="5"/>
  <c r="G22" i="5"/>
  <c r="J23" i="5"/>
  <c r="H25" i="5"/>
  <c r="F27" i="5"/>
  <c r="I28" i="5"/>
  <c r="H6" i="5"/>
  <c r="F8" i="5"/>
  <c r="I9" i="5"/>
  <c r="G11" i="5"/>
  <c r="J12" i="5"/>
  <c r="H14" i="5"/>
  <c r="F16" i="5"/>
  <c r="I17" i="5"/>
  <c r="G19" i="5"/>
  <c r="J20" i="5"/>
  <c r="H22" i="5"/>
  <c r="F24" i="5"/>
  <c r="I25" i="5"/>
  <c r="G27" i="5"/>
  <c r="J28" i="5"/>
  <c r="H30" i="5"/>
  <c r="F32" i="5"/>
  <c r="I33" i="5"/>
  <c r="G35" i="5"/>
  <c r="J36" i="5"/>
  <c r="H38" i="5"/>
  <c r="F40" i="5"/>
  <c r="I41" i="5"/>
  <c r="G43" i="5"/>
  <c r="J44" i="5"/>
  <c r="H46" i="5"/>
  <c r="F48" i="5"/>
  <c r="I49" i="5"/>
  <c r="I6" i="5"/>
  <c r="G8" i="5"/>
  <c r="J9" i="5"/>
  <c r="H11" i="5"/>
  <c r="F13" i="5"/>
  <c r="I14" i="5"/>
  <c r="G16" i="5"/>
  <c r="J17" i="5"/>
  <c r="H19" i="5"/>
  <c r="F21" i="5"/>
  <c r="I22" i="5"/>
  <c r="G24" i="5"/>
  <c r="J25" i="5"/>
  <c r="H27" i="5"/>
  <c r="F29" i="5"/>
  <c r="I30" i="5"/>
  <c r="G32" i="5"/>
  <c r="J33" i="5"/>
  <c r="H35" i="5"/>
  <c r="F37" i="5"/>
  <c r="I38" i="5"/>
  <c r="G40" i="5"/>
  <c r="J41" i="5"/>
  <c r="H43" i="5"/>
  <c r="F45" i="5"/>
  <c r="I46" i="5"/>
  <c r="G48" i="5"/>
  <c r="J49" i="5"/>
  <c r="M5" i="5"/>
  <c r="U5" i="5"/>
  <c r="AC5" i="5"/>
  <c r="AK5" i="5"/>
  <c r="AS5" i="5"/>
  <c r="BA5" i="5"/>
  <c r="BI5" i="5"/>
  <c r="BQ5" i="5"/>
  <c r="BY5" i="5"/>
  <c r="CG5" i="5"/>
  <c r="CO5" i="5"/>
  <c r="CW5" i="5"/>
  <c r="DE5" i="5"/>
  <c r="DM5" i="5"/>
  <c r="DU5" i="5"/>
  <c r="EC5" i="5"/>
  <c r="EK5" i="5"/>
  <c r="ES5" i="5"/>
  <c r="FA5" i="5"/>
  <c r="FI5" i="5"/>
  <c r="J6" i="5"/>
  <c r="H8" i="5"/>
  <c r="F10" i="5"/>
  <c r="I11" i="5"/>
  <c r="G13" i="5"/>
  <c r="J14" i="5"/>
  <c r="H16" i="5"/>
  <c r="F18" i="5"/>
  <c r="I19" i="5"/>
  <c r="G21" i="5"/>
  <c r="J22" i="5"/>
  <c r="H24" i="5"/>
  <c r="F26" i="5"/>
  <c r="I27" i="5"/>
  <c r="G29" i="5"/>
  <c r="J30" i="5"/>
  <c r="H32" i="5"/>
  <c r="F34" i="5"/>
  <c r="I35" i="5"/>
  <c r="G37" i="5"/>
  <c r="J38" i="5"/>
  <c r="H40" i="5"/>
  <c r="F42" i="5"/>
  <c r="I43" i="5"/>
  <c r="G45" i="5"/>
  <c r="J46" i="5"/>
  <c r="H48" i="5"/>
  <c r="F50" i="5"/>
  <c r="N5" i="5"/>
  <c r="V5" i="5"/>
  <c r="AD5" i="5"/>
  <c r="AL5" i="5"/>
  <c r="AT5" i="5"/>
  <c r="BB5" i="5"/>
  <c r="BJ5" i="5"/>
  <c r="BR5" i="5"/>
  <c r="BZ5" i="5"/>
  <c r="CH5" i="5"/>
  <c r="CP5" i="5"/>
  <c r="CX5" i="5"/>
  <c r="DF5" i="5"/>
  <c r="DN5" i="5"/>
  <c r="DV5" i="5"/>
  <c r="ED5" i="5"/>
  <c r="EL5" i="5"/>
  <c r="ET5" i="5"/>
  <c r="FB5" i="5"/>
  <c r="FJ5" i="5"/>
  <c r="FR5" i="5"/>
  <c r="FZ5" i="5"/>
  <c r="GH5" i="5"/>
  <c r="GP5" i="5"/>
  <c r="GX5" i="5"/>
  <c r="HF5" i="5"/>
  <c r="HN5" i="5"/>
  <c r="HV5" i="5"/>
  <c r="ID5" i="5"/>
  <c r="IL5" i="5"/>
  <c r="IT5" i="5"/>
  <c r="JB5" i="5"/>
  <c r="JJ5" i="5"/>
  <c r="JR5" i="5"/>
  <c r="JZ5" i="5"/>
  <c r="KH5" i="5"/>
  <c r="KP5" i="5"/>
  <c r="KX5" i="5"/>
  <c r="LF5" i="5"/>
  <c r="LN5" i="5"/>
  <c r="LV5" i="5"/>
  <c r="MD5" i="5"/>
  <c r="ML5" i="5"/>
  <c r="MT5" i="5"/>
  <c r="NB5" i="5"/>
  <c r="NJ5" i="5"/>
  <c r="NR5" i="5"/>
  <c r="NZ5" i="5"/>
  <c r="OH5" i="5"/>
  <c r="OP5" i="5"/>
  <c r="OX5" i="5"/>
  <c r="PF5" i="5"/>
  <c r="PN5" i="5"/>
  <c r="PV5" i="5"/>
  <c r="QD5" i="5"/>
  <c r="QL5" i="5"/>
  <c r="F7" i="5"/>
  <c r="I8" i="5"/>
  <c r="G10" i="5"/>
  <c r="J11" i="5"/>
  <c r="F15" i="5"/>
  <c r="I16" i="5"/>
  <c r="G18" i="5"/>
  <c r="J19" i="5"/>
  <c r="H21" i="5"/>
  <c r="F23" i="5"/>
  <c r="I24" i="5"/>
  <c r="G26" i="5"/>
  <c r="J27" i="5"/>
  <c r="H29" i="5"/>
  <c r="F31" i="5"/>
  <c r="G34" i="5"/>
  <c r="H37" i="5"/>
  <c r="I40" i="5"/>
  <c r="G42" i="5"/>
  <c r="J43" i="5"/>
  <c r="F47" i="5"/>
  <c r="I48" i="5"/>
  <c r="O5" i="5"/>
  <c r="W5" i="5"/>
  <c r="AE5" i="5"/>
  <c r="AM5" i="5"/>
  <c r="AU5" i="5"/>
  <c r="BC5" i="5"/>
  <c r="BK5" i="5"/>
  <c r="BS5" i="5"/>
  <c r="CA5" i="5"/>
  <c r="CI5" i="5"/>
  <c r="CQ5" i="5"/>
  <c r="CY5" i="5"/>
  <c r="DG5" i="5"/>
  <c r="DO5" i="5"/>
  <c r="DW5" i="5"/>
  <c r="EE5" i="5"/>
  <c r="EM5" i="5"/>
  <c r="EU5" i="5"/>
  <c r="FC5" i="5"/>
  <c r="FK5" i="5"/>
  <c r="FS5" i="5"/>
  <c r="H13" i="5"/>
  <c r="I32" i="5"/>
  <c r="J35" i="5"/>
  <c r="F39" i="5"/>
  <c r="H45" i="5"/>
  <c r="G50" i="5"/>
  <c r="G7" i="5"/>
  <c r="J8" i="5"/>
  <c r="H10" i="5"/>
  <c r="F12" i="5"/>
  <c r="I13" i="5"/>
  <c r="H7" i="5"/>
  <c r="F9" i="5"/>
  <c r="I10" i="5"/>
  <c r="G12" i="5"/>
  <c r="J13" i="5"/>
  <c r="H15" i="5"/>
  <c r="F17" i="5"/>
  <c r="I18" i="5"/>
  <c r="G20" i="5"/>
  <c r="J21" i="5"/>
  <c r="H23" i="5"/>
  <c r="F25" i="5"/>
  <c r="I26" i="5"/>
  <c r="G28" i="5"/>
  <c r="J29" i="5"/>
  <c r="H31" i="5"/>
  <c r="F33" i="5"/>
  <c r="I34" i="5"/>
  <c r="G36" i="5"/>
  <c r="J37" i="5"/>
  <c r="H39" i="5"/>
  <c r="F41" i="5"/>
  <c r="I42" i="5"/>
  <c r="G44" i="5"/>
  <c r="J45" i="5"/>
  <c r="H47" i="5"/>
  <c r="F49" i="5"/>
  <c r="I50" i="5"/>
  <c r="Q5" i="5"/>
  <c r="Y5" i="5"/>
  <c r="AG5" i="5"/>
  <c r="AO5" i="5"/>
  <c r="AW5" i="5"/>
  <c r="BE5" i="5"/>
  <c r="BM5" i="5"/>
  <c r="BU5" i="5"/>
  <c r="CC5" i="5"/>
  <c r="CK5" i="5"/>
  <c r="CS5" i="5"/>
  <c r="DA5" i="5"/>
  <c r="DI5" i="5"/>
  <c r="DQ5" i="5"/>
  <c r="DY5" i="5"/>
  <c r="EG5" i="5"/>
  <c r="EO5" i="5"/>
  <c r="EW5" i="5"/>
  <c r="FE5" i="5"/>
  <c r="FM5" i="5"/>
  <c r="FU5" i="5"/>
  <c r="GC5" i="5"/>
  <c r="GK5" i="5"/>
  <c r="GS5" i="5"/>
  <c r="HA5" i="5"/>
  <c r="HI5" i="5"/>
  <c r="HQ5" i="5"/>
  <c r="HY5" i="5"/>
  <c r="IG5" i="5"/>
  <c r="IO5" i="5"/>
  <c r="IW5" i="5"/>
  <c r="JE5" i="5"/>
  <c r="JM5" i="5"/>
  <c r="JU5" i="5"/>
  <c r="KC5" i="5"/>
  <c r="KK5" i="5"/>
  <c r="KS5" i="5"/>
  <c r="LA5" i="5"/>
  <c r="LI5" i="5"/>
  <c r="LQ5" i="5"/>
  <c r="LY5" i="5"/>
  <c r="MG5" i="5"/>
  <c r="MO5" i="5"/>
  <c r="MW5" i="5"/>
  <c r="NE5" i="5"/>
  <c r="NM5" i="5"/>
  <c r="NU5" i="5"/>
  <c r="OC5" i="5"/>
  <c r="OK5" i="5"/>
  <c r="OS5" i="5"/>
  <c r="PA5" i="5"/>
  <c r="PI5" i="5"/>
  <c r="PQ5" i="5"/>
  <c r="PY5" i="5"/>
  <c r="QG5" i="5"/>
  <c r="QO5" i="5"/>
  <c r="F30" i="5"/>
  <c r="J34" i="5"/>
  <c r="F38" i="5"/>
  <c r="J42" i="5"/>
  <c r="G49" i="5"/>
  <c r="Z5" i="5"/>
  <c r="AX5" i="5"/>
  <c r="BF5" i="5"/>
  <c r="BN5" i="5"/>
  <c r="BV5" i="5"/>
  <c r="CD5" i="5"/>
  <c r="CL5" i="5"/>
  <c r="CT5" i="5"/>
  <c r="DB5" i="5"/>
  <c r="DJ5" i="5"/>
  <c r="DR5" i="5"/>
  <c r="EH5" i="5"/>
  <c r="FF5" i="5"/>
  <c r="GD5" i="5"/>
  <c r="GL5" i="5"/>
  <c r="HB5" i="5"/>
  <c r="HJ5" i="5"/>
  <c r="HR5" i="5"/>
  <c r="LB5" i="5"/>
  <c r="LJ5" i="5"/>
  <c r="LZ5" i="5"/>
  <c r="MP5" i="5"/>
  <c r="AQ5" i="5"/>
  <c r="GO5" i="5"/>
  <c r="HO5" i="5"/>
  <c r="KZ5" i="5"/>
  <c r="LM5" i="5"/>
  <c r="MY5" i="5"/>
  <c r="OE5" i="5"/>
  <c r="OO5" i="5"/>
  <c r="OZ5" i="5"/>
  <c r="PU5" i="5"/>
  <c r="QQ5" i="5"/>
  <c r="EA5" i="5"/>
  <c r="GE5" i="5"/>
  <c r="HD5" i="5"/>
  <c r="MQ5" i="5"/>
  <c r="OG5" i="5"/>
  <c r="PM5" i="5"/>
  <c r="JG5" i="5"/>
  <c r="LE5" i="5"/>
  <c r="MR5" i="5"/>
  <c r="OT5" i="5"/>
  <c r="QJ5" i="5"/>
  <c r="J16" i="5"/>
  <c r="I29" i="5"/>
  <c r="F36" i="5"/>
  <c r="H42" i="5"/>
  <c r="J48" i="5"/>
  <c r="X5" i="5"/>
  <c r="AR5" i="5"/>
  <c r="BO5" i="5"/>
  <c r="CJ5" i="5"/>
  <c r="HP5" i="5"/>
  <c r="JC5" i="5"/>
  <c r="JP5" i="5"/>
  <c r="NA5" i="5"/>
  <c r="QS5" i="5"/>
  <c r="KR5" i="5"/>
  <c r="PZ5" i="5"/>
  <c r="H18" i="5"/>
  <c r="G30" i="5"/>
  <c r="I36" i="5"/>
  <c r="F43" i="5"/>
  <c r="H49" i="5"/>
  <c r="AA5" i="5"/>
  <c r="AV5" i="5"/>
  <c r="BP5" i="5"/>
  <c r="CM5" i="5"/>
  <c r="DH5" i="5"/>
  <c r="EB5" i="5"/>
  <c r="EY5" i="5"/>
  <c r="FQ5" i="5"/>
  <c r="GF5" i="5"/>
  <c r="GR5" i="5"/>
  <c r="HE5" i="5"/>
  <c r="HS5" i="5"/>
  <c r="IE5" i="5"/>
  <c r="IR5" i="5"/>
  <c r="JD5" i="5"/>
  <c r="JQ5" i="5"/>
  <c r="KE5" i="5"/>
  <c r="KQ5" i="5"/>
  <c r="LD5" i="5"/>
  <c r="LP5" i="5"/>
  <c r="MC5" i="5"/>
  <c r="NW5" i="5"/>
  <c r="PC5" i="5"/>
  <c r="QI5" i="5"/>
  <c r="NC5" i="5"/>
  <c r="F20" i="5"/>
  <c r="G31" i="5"/>
  <c r="I37" i="5"/>
  <c r="F44" i="5"/>
  <c r="H50" i="5"/>
  <c r="AB5" i="5"/>
  <c r="AY5" i="5"/>
  <c r="BT5" i="5"/>
  <c r="CN5" i="5"/>
  <c r="DK5" i="5"/>
  <c r="EF5" i="5"/>
  <c r="EZ5" i="5"/>
  <c r="FT5" i="5"/>
  <c r="GG5" i="5"/>
  <c r="GU5" i="5"/>
  <c r="HG5" i="5"/>
  <c r="HT5" i="5"/>
  <c r="IF5" i="5"/>
  <c r="IS5" i="5"/>
  <c r="LS5" i="5"/>
  <c r="NN5" i="5"/>
  <c r="OI5" i="5"/>
  <c r="PO5" i="5"/>
  <c r="I21" i="5"/>
  <c r="J31" i="5"/>
  <c r="G38" i="5"/>
  <c r="I44" i="5"/>
  <c r="K5" i="5"/>
  <c r="AF5" i="5"/>
  <c r="AZ5" i="5"/>
  <c r="BW5" i="5"/>
  <c r="CR5" i="5"/>
  <c r="DL5" i="5"/>
  <c r="EI5" i="5"/>
  <c r="FD5" i="5"/>
  <c r="FW5" i="5"/>
  <c r="GI5" i="5"/>
  <c r="GV5" i="5"/>
  <c r="HH5" i="5"/>
  <c r="HU5" i="5"/>
  <c r="II5" i="5"/>
  <c r="IU5" i="5"/>
  <c r="JH5" i="5"/>
  <c r="JT5" i="5"/>
  <c r="KG5" i="5"/>
  <c r="KU5" i="5"/>
  <c r="LG5" i="5"/>
  <c r="LT5" i="5"/>
  <c r="MF5" i="5"/>
  <c r="MS5" i="5"/>
  <c r="ND5" i="5"/>
  <c r="NO5" i="5"/>
  <c r="NY5" i="5"/>
  <c r="OJ5" i="5"/>
  <c r="OU5" i="5"/>
  <c r="PE5" i="5"/>
  <c r="PP5" i="5"/>
  <c r="QA5" i="5"/>
  <c r="QK5" i="5"/>
  <c r="G23" i="5"/>
  <c r="J32" i="5"/>
  <c r="G39" i="5"/>
  <c r="I45" i="5"/>
  <c r="L5" i="5"/>
  <c r="AI5" i="5"/>
  <c r="BD5" i="5"/>
  <c r="BX5" i="5"/>
  <c r="CU5" i="5"/>
  <c r="EJ5" i="5"/>
  <c r="FG5" i="5"/>
  <c r="FX5" i="5"/>
  <c r="GJ5" i="5"/>
  <c r="HK5" i="5"/>
  <c r="HW5" i="5"/>
  <c r="IV5" i="5"/>
  <c r="JW5" i="5"/>
  <c r="KV5" i="5"/>
  <c r="MU5" i="5"/>
  <c r="PG5" i="5"/>
  <c r="QB5" i="5"/>
  <c r="QM5" i="5"/>
  <c r="CV5" i="5"/>
  <c r="FH5" i="5"/>
  <c r="FY5" i="5"/>
  <c r="GY5" i="5"/>
  <c r="HL5" i="5"/>
  <c r="HX5" i="5"/>
  <c r="MV5" i="5"/>
  <c r="NQ5" i="5"/>
  <c r="OB5" i="5"/>
  <c r="PH5" i="5"/>
  <c r="MZ5" i="5"/>
  <c r="OQ5" i="5"/>
  <c r="PB5" i="5"/>
  <c r="PW5" i="5"/>
  <c r="QR5" i="5"/>
  <c r="NL5" i="5"/>
  <c r="KF5" i="5"/>
  <c r="DP5" i="5"/>
  <c r="GW5" i="5"/>
  <c r="IJ5" i="5"/>
  <c r="JI5" i="5"/>
  <c r="KI5" i="5"/>
  <c r="LH5" i="5"/>
  <c r="LU5" i="5"/>
  <c r="MI5" i="5"/>
  <c r="NF5" i="5"/>
  <c r="NP5" i="5"/>
  <c r="OA5" i="5"/>
  <c r="OL5" i="5"/>
  <c r="OV5" i="5"/>
  <c r="PR5" i="5"/>
  <c r="EN5" i="5"/>
  <c r="GM5" i="5"/>
  <c r="J24" i="5"/>
  <c r="H33" i="5"/>
  <c r="J39" i="5"/>
  <c r="G46" i="5"/>
  <c r="P5" i="5"/>
  <c r="AJ5" i="5"/>
  <c r="BG5" i="5"/>
  <c r="CB5" i="5"/>
  <c r="DS5" i="5"/>
  <c r="IK5" i="5"/>
  <c r="IY5" i="5"/>
  <c r="JK5" i="5"/>
  <c r="JX5" i="5"/>
  <c r="KJ5" i="5"/>
  <c r="KW5" i="5"/>
  <c r="LK5" i="5"/>
  <c r="LW5" i="5"/>
  <c r="MJ5" i="5"/>
  <c r="NG5" i="5"/>
  <c r="OM5" i="5"/>
  <c r="OW5" i="5"/>
  <c r="PS5" i="5"/>
  <c r="QC5" i="5"/>
  <c r="QN5" i="5"/>
  <c r="NK5" i="5"/>
  <c r="OF5" i="5"/>
  <c r="PL5" i="5"/>
  <c r="QH5" i="5"/>
  <c r="H26" i="5"/>
  <c r="H34" i="5"/>
  <c r="J40" i="5"/>
  <c r="G47" i="5"/>
  <c r="S5" i="5"/>
  <c r="AN5" i="5"/>
  <c r="BH5" i="5"/>
  <c r="CE5" i="5"/>
  <c r="CZ5" i="5"/>
  <c r="DT5" i="5"/>
  <c r="EQ5" i="5"/>
  <c r="FL5" i="5"/>
  <c r="GA5" i="5"/>
  <c r="GN5" i="5"/>
  <c r="GZ5" i="5"/>
  <c r="HM5" i="5"/>
  <c r="IA5" i="5"/>
  <c r="IM5" i="5"/>
  <c r="IZ5" i="5"/>
  <c r="JL5" i="5"/>
  <c r="JY5" i="5"/>
  <c r="KM5" i="5"/>
  <c r="KY5" i="5"/>
  <c r="LL5" i="5"/>
  <c r="LX5" i="5"/>
  <c r="MK5" i="5"/>
  <c r="MX5" i="5"/>
  <c r="NH5" i="5"/>
  <c r="NS5" i="5"/>
  <c r="OD5" i="5"/>
  <c r="ON5" i="5"/>
  <c r="OY5" i="5"/>
  <c r="PJ5" i="5"/>
  <c r="PT5" i="5"/>
  <c r="QE5" i="5"/>
  <c r="QP5" i="5"/>
  <c r="G15" i="5"/>
  <c r="F28" i="5"/>
  <c r="F35" i="5"/>
  <c r="H41" i="5"/>
  <c r="J47" i="5"/>
  <c r="T5" i="5"/>
  <c r="BL5" i="5"/>
  <c r="CF5" i="5"/>
  <c r="DC5" i="5"/>
  <c r="DX5" i="5"/>
  <c r="ER5" i="5"/>
  <c r="FO5" i="5"/>
  <c r="GB5" i="5"/>
  <c r="HC5" i="5"/>
  <c r="IB5" i="5"/>
  <c r="IN5" i="5"/>
  <c r="JA5" i="5"/>
  <c r="JO5" i="5"/>
  <c r="KA5" i="5"/>
  <c r="KN5" i="5"/>
  <c r="MA5" i="5"/>
  <c r="MM5" i="5"/>
  <c r="NI5" i="5"/>
  <c r="NT5" i="5"/>
  <c r="PK5" i="5"/>
  <c r="QF5" i="5"/>
  <c r="DD5" i="5"/>
  <c r="EV5" i="5"/>
  <c r="FP5" i="5"/>
  <c r="GQ5" i="5"/>
  <c r="IC5" i="5"/>
  <c r="IQ5" i="5"/>
  <c r="KB5" i="5"/>
  <c r="KO5" i="5"/>
  <c r="LC5" i="5"/>
  <c r="LO5" i="5"/>
  <c r="MB5" i="5"/>
  <c r="MN5" i="5"/>
  <c r="NV5" i="5"/>
  <c r="OR5" i="5"/>
  <c r="PX5" i="5"/>
  <c r="JS5" i="5"/>
  <c r="ME5" i="5"/>
  <c r="NX5" i="5"/>
  <c r="PD5" i="5"/>
  <c r="K3" i="5" l="1"/>
  <c r="J3" i="5" l="1"/>
  <c r="J2" i="5" l="1"/>
  <c r="Q1" i="5"/>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Gill</author>
  </authors>
  <commentList>
    <comment ref="D41" authorId="0" shapeId="0" xr:uid="{E4C9C5F4-B14F-4192-8AC4-31A1E0B153E3}">
      <text>
        <r>
          <rPr>
            <b/>
            <sz val="9"/>
            <color indexed="81"/>
            <rFont val="Tahoma"/>
            <family val="2"/>
          </rPr>
          <t>Property#KEY_FIGURES#EDITABLE#Equals#ALL</t>
        </r>
      </text>
    </comment>
    <comment ref="D44" authorId="0" shapeId="0" xr:uid="{A69F588F-FB05-4F82-89D7-8D6EEA266E17}">
      <text>
        <r>
          <rPr>
            <b/>
            <sz val="9"/>
            <color indexed="81"/>
            <rFont val="Tahoma"/>
            <family val="2"/>
          </rPr>
          <t>(Property#KEY_FIGURES#EDITABLE#Equals#FUTURE)&amp;&amp;(Property#PERIODID0#PASTCURRENTFUTURE#Equals#C)</t>
        </r>
      </text>
    </comment>
    <comment ref="D47" authorId="0" shapeId="0" xr:uid="{1106107F-E9DF-45DC-95F8-533CD02CA547}">
      <text>
        <r>
          <rPr>
            <b/>
            <sz val="9"/>
            <color indexed="81"/>
            <rFont val="Tahoma"/>
            <family val="2"/>
          </rPr>
          <t>(Property#KEY_FIGURES#EDITABLE#Equals#FUTURE)&amp;&amp;(Property#PERIODID#PASTCURRENTFUTURE#Equals#C)</t>
        </r>
      </text>
    </comment>
    <comment ref="D50" authorId="0" shapeId="0" xr:uid="{A27C622C-3AB1-4079-BFC3-278974C97D6D}">
      <text>
        <r>
          <rPr>
            <b/>
            <sz val="9"/>
            <color indexed="81"/>
            <rFont val="Tahoma"/>
            <family val="2"/>
          </rPr>
          <t>(Property#KEY_FIGURES#EDITABLE#Equals#FUTURE)&amp;&amp;(Property#PERIODID1#PASTCURRENTFUTURE#Equals#CF)</t>
        </r>
      </text>
    </comment>
    <comment ref="D53" authorId="0" shapeId="0" xr:uid="{D69D6D25-5D5F-46CB-8E02-A169881B94CE}">
      <text>
        <r>
          <rPr>
            <b/>
            <sz val="9"/>
            <color indexed="81"/>
            <rFont val="Tahoma"/>
            <family val="2"/>
          </rPr>
          <t>(Property#KEY_FIGURES#EDITABLE#Equals#FUTURE)&amp;&amp;(Property#PERIODID2#PASTCURRENTFUTURE#Equals#CF)</t>
        </r>
      </text>
    </comment>
    <comment ref="D56" authorId="0" shapeId="0" xr:uid="{6424E717-853D-4006-A4AA-FF07F1ED7081}">
      <text>
        <r>
          <rPr>
            <b/>
            <sz val="9"/>
            <color indexed="81"/>
            <rFont val="Tahoma"/>
            <family val="2"/>
          </rPr>
          <t>(Property#KEY_FIGURES#EDITABLE#Equals#FUTURE)&amp;&amp;(Property#PERIODID3#PASTCURRENTFUTURE#Equals#CF)</t>
        </r>
      </text>
    </comment>
    <comment ref="D59" authorId="0" shapeId="0" xr:uid="{113C385B-12B4-4DF6-A0C4-7208EFAB3090}">
      <text>
        <r>
          <rPr>
            <b/>
            <sz val="9"/>
            <color indexed="81"/>
            <rFont val="Tahoma"/>
            <family val="2"/>
          </rPr>
          <t>(Property#KEY_FIGURES#EDITABLE#Equals#FUTURE)&amp;&amp;(Property#PERIODID4#PASTCURRENTFUTURE#Equals#CF)</t>
        </r>
      </text>
    </comment>
    <comment ref="D62" authorId="0" shapeId="0" xr:uid="{982BB3EA-3A27-4AAC-BD59-CDF0FA6FDA06}">
      <text>
        <r>
          <rPr>
            <b/>
            <sz val="9"/>
            <color indexed="81"/>
            <rFont val="Tahoma"/>
            <family val="2"/>
          </rPr>
          <t>(Property#KEY_FIGURES#EDITABLE#Equals#FUTURE)&amp;&amp;(Property#PERIODID5#PASTCURRENTFUTURE#Equals#CF)</t>
        </r>
      </text>
    </comment>
    <comment ref="D65" authorId="0" shapeId="0" xr:uid="{CAE3D4E5-1A75-48F3-9F78-3E93701FCB3E}">
      <text>
        <r>
          <rPr>
            <b/>
            <sz val="9"/>
            <color indexed="81"/>
            <rFont val="Tahoma"/>
            <family val="2"/>
          </rPr>
          <t>(Property#KEY_FIGURES#EDITABLE#Equals#FUTURE)&amp;&amp;(Property#PERIODID#PASTCURRENTFUTURE#Equals#CF)</t>
        </r>
      </text>
    </comment>
    <comment ref="D68" authorId="0" shapeId="0" xr:uid="{0679138B-DA31-4B0E-B3F4-CCF1BDB595C7}">
      <text>
        <r>
          <rPr>
            <b/>
            <sz val="9"/>
            <color indexed="81"/>
            <rFont val="Tahoma"/>
            <family val="2"/>
          </rPr>
          <t>(Property#KEY_FIGURES#EDITABLE#Equals#FUTURE)&amp;&amp;(Property#PERIODID0#PASTCURRENTFUTURE#Equals#F)</t>
        </r>
      </text>
    </comment>
    <comment ref="D71" authorId="0" shapeId="0" xr:uid="{AA1E70F1-2EA5-4920-8AB1-AE91B37CB439}">
      <text>
        <r>
          <rPr>
            <b/>
            <sz val="9"/>
            <color indexed="81"/>
            <rFont val="Tahoma"/>
            <family val="2"/>
          </rPr>
          <t>(Property#KEY_FIGURES#EDITABLE#Equals#FUTURE)&amp;&amp;(Property#PERIODID1#PASTCURRENTFUTURE#Equals#F)</t>
        </r>
      </text>
    </comment>
    <comment ref="D74" authorId="0" shapeId="0" xr:uid="{5B1BB669-9DC1-4391-B0F6-B94720E28614}">
      <text>
        <r>
          <rPr>
            <b/>
            <sz val="9"/>
            <color indexed="81"/>
            <rFont val="Tahoma"/>
            <family val="2"/>
          </rPr>
          <t>(Property#KEY_FIGURES#EDITABLE#Equals#FUTURE)&amp;&amp;(Property#PERIODID2#PASTCURRENTFUTURE#Equals#F)</t>
        </r>
      </text>
    </comment>
    <comment ref="D77" authorId="0" shapeId="0" xr:uid="{5BF86CA0-2503-4FEE-9F9C-F179E8E42082}">
      <text>
        <r>
          <rPr>
            <b/>
            <sz val="9"/>
            <color indexed="81"/>
            <rFont val="Tahoma"/>
            <family val="2"/>
          </rPr>
          <t>(Property#KEY_FIGURES#EDITABLE#Equals#FUTURE)&amp;&amp;(Property#PERIODID3#PASTCURRENTFUTURE#Equals#F)</t>
        </r>
      </text>
    </comment>
    <comment ref="D80" authorId="0" shapeId="0" xr:uid="{8FC52B8A-2B21-4F3C-902D-ECDCD48261A1}">
      <text>
        <r>
          <rPr>
            <b/>
            <sz val="9"/>
            <color indexed="81"/>
            <rFont val="Tahoma"/>
            <family val="2"/>
          </rPr>
          <t>(Property#KEY_FIGURES#EDITABLE#Equals#FUTURE)&amp;&amp;(Property#PERIODID4#PASTCURRENTFUTURE#Equals#F)</t>
        </r>
      </text>
    </comment>
    <comment ref="D83" authorId="0" shapeId="0" xr:uid="{ACE4EB92-5423-4687-A931-029C70F16D46}">
      <text>
        <r>
          <rPr>
            <b/>
            <sz val="9"/>
            <color indexed="81"/>
            <rFont val="Tahoma"/>
            <family val="2"/>
          </rPr>
          <t>(Property#KEY_FIGURES#EDITABLE#Equals#FUTURE)&amp;&amp;(Property#PERIODID5#PASTCURRENTFUTURE#Equals#F)</t>
        </r>
      </text>
    </comment>
    <comment ref="D86" authorId="0" shapeId="0" xr:uid="{3977648B-2EB6-429A-8B4A-F1046B66D0EE}">
      <text>
        <r>
          <rPr>
            <b/>
            <sz val="9"/>
            <color indexed="81"/>
            <rFont val="Tahoma"/>
            <family val="2"/>
          </rPr>
          <t>(Property#KEY_FIGURES#EDITABLE#Equals#FUTURE)&amp;&amp;(Property#PERIODID#PASTCURRENTFUTURE#Equals#F)</t>
        </r>
      </text>
    </comment>
    <comment ref="D89" authorId="0" shapeId="0" xr:uid="{98CA5373-703A-42D4-9DC6-C986A9AD89EF}">
      <text>
        <r>
          <rPr>
            <b/>
            <sz val="9"/>
            <color indexed="81"/>
            <rFont val="Tahoma"/>
            <family val="2"/>
          </rPr>
          <t>(Property#KEY_FIGURES#EDITABLE#Equals#PAST)&amp;&amp;(Property#PERIODID0#PASTCURRENTFUTURE#Equals#P)</t>
        </r>
      </text>
    </comment>
    <comment ref="D92" authorId="0" shapeId="0" xr:uid="{A4C22930-5F03-4387-9C12-8D0B263260B4}">
      <text>
        <r>
          <rPr>
            <b/>
            <sz val="9"/>
            <color indexed="81"/>
            <rFont val="Tahoma"/>
            <family val="2"/>
          </rPr>
          <t>(Property#KEY_FIGURES#EDITABLE#Equals#PAST)&amp;&amp;(Property#PERIODID1#PASTCURRENTFUTURE#Equals#P)</t>
        </r>
      </text>
    </comment>
    <comment ref="D95" authorId="0" shapeId="0" xr:uid="{7B37415F-C771-48F3-92B4-4A6F4B7514EE}">
      <text>
        <r>
          <rPr>
            <b/>
            <sz val="9"/>
            <color indexed="81"/>
            <rFont val="Tahoma"/>
            <family val="2"/>
          </rPr>
          <t>(Property#KEY_FIGURES#EDITABLE#Equals#PAST)&amp;&amp;(Property#PERIODID2#PASTCURRENTFUTURE#Equals#P)</t>
        </r>
      </text>
    </comment>
    <comment ref="D98" authorId="0" shapeId="0" xr:uid="{412E1BD6-0524-4E16-B4F2-83AA7DE3B471}">
      <text>
        <r>
          <rPr>
            <b/>
            <sz val="9"/>
            <color indexed="81"/>
            <rFont val="Tahoma"/>
            <family val="2"/>
          </rPr>
          <t>(Property#KEY_FIGURES#EDITABLE#Equals#PAST)&amp;&amp;(Property#PERIODID3#PASTCURRENTFUTURE#Equals#P)</t>
        </r>
      </text>
    </comment>
    <comment ref="D101" authorId="0" shapeId="0" xr:uid="{B1E2B81E-EB0D-4EE0-BBE1-28B1C23C3780}">
      <text>
        <r>
          <rPr>
            <b/>
            <sz val="9"/>
            <color indexed="81"/>
            <rFont val="Tahoma"/>
            <family val="2"/>
          </rPr>
          <t>(Property#KEY_FIGURES#EDITABLE#Equals#PAST)&amp;&amp;(Property#PERIODID4#PASTCURRENTFUTURE#Equals#P)</t>
        </r>
      </text>
    </comment>
    <comment ref="D104" authorId="0" shapeId="0" xr:uid="{6BAFAC41-741F-44E8-817B-63359C2240BE}">
      <text>
        <r>
          <rPr>
            <b/>
            <sz val="9"/>
            <color indexed="81"/>
            <rFont val="Tahoma"/>
            <family val="2"/>
          </rPr>
          <t>(Property#KEY_FIGURES#EDITABLE#Equals#PAST)&amp;&amp;(Property#PERIODID5#PASTCURRENTFUTURE#Equals#P)</t>
        </r>
      </text>
    </comment>
    <comment ref="D107" authorId="0" shapeId="0" xr:uid="{43EE9328-98A5-4526-8612-8CF875633F56}">
      <text>
        <r>
          <rPr>
            <b/>
            <sz val="9"/>
            <color indexed="81"/>
            <rFont val="Tahoma"/>
            <family val="2"/>
          </rPr>
          <t>(Property#KEY_FIGURES#EDITABLE#Equals#PAST)&amp;&amp;(Property#PERIODID#PASTCURRENTFUTURE#Equals#P)</t>
        </r>
      </text>
    </comment>
    <comment ref="D110" authorId="0" shapeId="0" xr:uid="{EDE9F4FC-D7EA-4CD0-B73D-510C13B2E15D}">
      <text>
        <r>
          <rPr>
            <b/>
            <sz val="9"/>
            <color indexed="81"/>
            <rFont val="Tahoma"/>
            <family val="2"/>
          </rPr>
          <t>TotalMember</t>
        </r>
      </text>
    </comment>
    <comment ref="D113" authorId="0" shapeId="0" xr:uid="{33A8B094-B773-46FF-A5F7-8F75A7ECDADC}">
      <text>
        <r>
          <rPr>
            <b/>
            <sz val="9"/>
            <color indexed="81"/>
            <rFont val="Tahoma"/>
            <family val="2"/>
          </rPr>
          <t>Property#KEY_FIGURES#FIXING#Equals#Y</t>
        </r>
      </text>
    </comment>
    <comment ref="D116" authorId="0" shapeId="0" xr:uid="{223A8CFD-77A1-4110-8A9B-237219AAF9A6}">
      <text>
        <r>
          <rPr>
            <b/>
            <sz val="9"/>
            <color indexed="81"/>
            <rFont val="Tahoma"/>
            <family val="2"/>
          </rPr>
          <t>Members#[KEY_FIGURES].[].[ZGFADJUSTMENTQTYPCT]</t>
        </r>
      </text>
    </comment>
    <comment ref="D119" authorId="0" shapeId="0" xr:uid="{7AD18505-4041-4BAE-AE94-CB7E21C3629F}">
      <text>
        <r>
          <rPr>
            <b/>
            <sz val="9"/>
            <color indexed="81"/>
            <rFont val="Tahoma"/>
            <family val="2"/>
          </rPr>
          <t>Members#[KEY_FIGURES].[].[ZGFSTATFCSTQTY]</t>
        </r>
      </text>
    </comment>
    <comment ref="D122" authorId="0" shapeId="0" xr:uid="{B34AFBDC-FF49-41E1-BAB9-970CD2EEAA09}">
      <text>
        <r>
          <rPr>
            <b/>
            <sz val="9"/>
            <color indexed="81"/>
            <rFont val="Tahoma"/>
            <family val="2"/>
          </rPr>
          <t>Members#[KEY_FIGURES].[].[ZGFSALESORDQTY]</t>
        </r>
      </text>
    </comment>
    <comment ref="D125" authorId="0" shapeId="0" xr:uid="{F54DD155-53F1-4AA7-A0E2-13823C0A809B}">
      <text>
        <r>
          <rPr>
            <b/>
            <sz val="9"/>
            <color indexed="81"/>
            <rFont val="Tahoma"/>
            <family val="2"/>
          </rPr>
          <t>Members#[KEY_FIGURES].[].[ZGFACTCORRINVQTY]</t>
        </r>
      </text>
    </comment>
    <comment ref="D128" authorId="0" shapeId="0" xr:uid="{BB53FD1E-E509-43E2-B229-6E0616DB6E43}">
      <text>
        <r>
          <rPr>
            <b/>
            <sz val="9"/>
            <color indexed="81"/>
            <rFont val="Tahoma"/>
            <family val="2"/>
          </rPr>
          <t>Members#[KEY_FIGURES].[].[ZGFINVQTY]</t>
        </r>
      </text>
    </comment>
    <comment ref="D131" authorId="0" shapeId="0" xr:uid="{45AAFE30-AA0E-4C88-88FA-2644006F3D61}">
      <text>
        <r>
          <rPr>
            <b/>
            <sz val="9"/>
            <color indexed="81"/>
            <rFont val="Tahoma"/>
            <family val="2"/>
          </rPr>
          <t>Members#[KEY_FIGURES].[].[ZGFADJACTINVQTY]</t>
        </r>
      </text>
    </comment>
    <comment ref="D134" authorId="0" shapeId="0" xr:uid="{D5B19AC8-0385-495A-95FC-F8EB009715C5}">
      <text>
        <r>
          <rPr>
            <b/>
            <sz val="9"/>
            <color indexed="81"/>
            <rFont val="Tahoma"/>
            <family val="2"/>
          </rPr>
          <t>Members#[KEY_FIGURES].[].[ZGFBASELINEADJUSTED]</t>
        </r>
      </text>
    </comment>
    <comment ref="D137" authorId="0" shapeId="0" xr:uid="{D4DB5952-5C05-4C66-A427-607C26E912AE}">
      <text>
        <r>
          <rPr>
            <b/>
            <sz val="9"/>
            <color indexed="81"/>
            <rFont val="Tahoma"/>
            <family val="2"/>
          </rPr>
          <t>Members#[KEY_FIGURES].[].[ZGFPROMOINC]</t>
        </r>
      </text>
    </comment>
    <comment ref="D140" authorId="0" shapeId="0" xr:uid="{A5341C54-D369-410F-9435-4D604A2663EE}">
      <text>
        <r>
          <rPr>
            <b/>
            <sz val="9"/>
            <color indexed="81"/>
            <rFont val="Tahoma"/>
            <family val="2"/>
          </rPr>
          <t>Members#[KEY_FIGURES].[].[ZGFPREVAPPROVEDFCSTTY]</t>
        </r>
      </text>
    </comment>
    <comment ref="D143" authorId="0" shapeId="0" xr:uid="{B6C392A7-0B4D-4B79-89B3-C92E28932027}">
      <text>
        <r>
          <rPr>
            <b/>
            <sz val="9"/>
            <color indexed="81"/>
            <rFont val="Tahoma"/>
            <family val="2"/>
          </rPr>
          <t>Members#[KEY_FIGURES].[].[ZGFPROPFACTORDAY]</t>
        </r>
      </text>
    </comment>
    <comment ref="D146" authorId="0" shapeId="0" xr:uid="{DAA5D5ED-9807-4F56-B083-077708AE837F}">
      <text>
        <r>
          <rPr>
            <b/>
            <sz val="9"/>
            <color indexed="81"/>
            <rFont val="Tahoma"/>
            <family val="2"/>
          </rPr>
          <t>Members#[KEY_FIGURES].[].[ZGFAPPROVEDFCSTQTY]</t>
        </r>
      </text>
    </comment>
    <comment ref="D167" authorId="0" shapeId="0" xr:uid="{27BBFDF0-0B46-4AEE-A14D-CEA77B2D1344}">
      <text>
        <r>
          <rPr>
            <b/>
            <sz val="9"/>
            <color indexed="81"/>
            <rFont val="Tahoma"/>
            <family val="2"/>
          </rPr>
          <t>Property#PERIODID#TIMELEVEL#Equals#TOTAL</t>
        </r>
      </text>
    </comment>
    <comment ref="D170" authorId="0" shapeId="0" xr:uid="{7167949C-E7A6-420B-A0F0-F3E97207B8F3}">
      <text>
        <r>
          <rPr>
            <b/>
            <sz val="9"/>
            <color indexed="81"/>
            <rFont val="Tahoma"/>
            <family val="2"/>
          </rPr>
          <t>Property#PERIODID#TIMELEVEL#Equals#PERIODID0</t>
        </r>
      </text>
    </comment>
    <comment ref="D173" authorId="0" shapeId="0" xr:uid="{C3AECB2F-F407-467E-AE49-29FF1CCAEE6B}">
      <text>
        <r>
          <rPr>
            <b/>
            <sz val="9"/>
            <color indexed="81"/>
            <rFont val="Tahoma"/>
            <family val="2"/>
          </rPr>
          <t>Property#PERIODID#TIMELEVEL#Equals#PERIODID1</t>
        </r>
      </text>
    </comment>
    <comment ref="D176" authorId="0" shapeId="0" xr:uid="{E8A53B76-F8D5-4BF8-80E0-B162CA63298F}">
      <text>
        <r>
          <rPr>
            <b/>
            <sz val="9"/>
            <color indexed="81"/>
            <rFont val="Tahoma"/>
            <family val="2"/>
          </rPr>
          <t>Property#PERIODID#TIMELEVEL#Equals#PERIODID2</t>
        </r>
      </text>
    </comment>
    <comment ref="D179" authorId="0" shapeId="0" xr:uid="{64EBD77F-AEDB-4668-861A-6178205F4BD2}">
      <text>
        <r>
          <rPr>
            <b/>
            <sz val="9"/>
            <color indexed="81"/>
            <rFont val="Tahoma"/>
            <family val="2"/>
          </rPr>
          <t>Property#PERIODID#TIMELEVEL#Equals#PERIODID3</t>
        </r>
      </text>
    </comment>
    <comment ref="D182" authorId="0" shapeId="0" xr:uid="{2531F22B-679F-484C-B43A-B21573AA6C94}">
      <text>
        <r>
          <rPr>
            <b/>
            <sz val="9"/>
            <color indexed="81"/>
            <rFont val="Tahoma"/>
            <family val="2"/>
          </rPr>
          <t>Property#PERIODID#TIMELEVEL#Equals#PERIODID4</t>
        </r>
      </text>
    </comment>
    <comment ref="D185" authorId="0" shapeId="0" xr:uid="{755A6370-D6C6-4A2E-9FAE-7EC9E0A93CD5}">
      <text>
        <r>
          <rPr>
            <b/>
            <sz val="9"/>
            <color indexed="81"/>
            <rFont val="Tahoma"/>
            <family val="2"/>
          </rPr>
          <t>Property#PERIODID#TIMELEVEL#Equals#PERIODID5</t>
        </r>
      </text>
    </comment>
  </commentList>
</comments>
</file>

<file path=xl/sharedStrings.xml><?xml version="1.0" encoding="utf-8"?>
<sst xmlns="http://schemas.openxmlformats.org/spreadsheetml/2006/main" count="532" uniqueCount="322">
  <si>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</si>
  <si>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</si>
  <si>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</si>
  <si>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</si>
  <si>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</si>
  <si>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</si>
  <si>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</si>
  <si>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</si>
  <si>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</si>
  <si>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</si>
  <si>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</si>
  <si>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</si>
  <si>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</si>
  <si>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</si>
  <si>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</si>
  <si>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</si>
  <si>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</si>
  <si>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</si>
  <si>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</si>
  <si>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</si>
  <si>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</si>
  <si>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FontColorIndex | Pattern</t>
  </si>
  <si>
    <t xml:space="preserve">KEY_FIGURES.Editable Indicator = ALL </t>
  </si>
  <si>
    <t>Version_1_1</t>
  </si>
  <si>
    <t>Sheet2_SERIES</t>
  </si>
  <si>
    <t>Sheet2_FILTER</t>
  </si>
  <si>
    <t>Sheet2_CHART</t>
  </si>
  <si>
    <t>Jan</t>
  </si>
  <si>
    <t>Feb</t>
  </si>
  <si>
    <t>A</t>
  </si>
  <si>
    <t>B</t>
  </si>
  <si>
    <t>Sheet4_SERIES</t>
  </si>
  <si>
    <t>Sheet4_FILTER</t>
  </si>
  <si>
    <t>Sheet4_CHART</t>
  </si>
  <si>
    <t>Total Member</t>
  </si>
  <si>
    <t>FontBold | FontColorIndex</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</si>
  <si>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</si>
  <si>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</si>
  <si>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</si>
  <si>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</si>
  <si>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</si>
  <si>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</si>
  <si>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</si>
  <si>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</si>
  <si>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FontBold | FontColorIndex | Pattern</t>
  </si>
  <si>
    <t xml:space="preserve">KEY_FIGURES.Fixing Enabled = Y </t>
  </si>
  <si>
    <t>Font</t>
  </si>
  <si>
    <t>IBP Formatting Sheet</t>
  </si>
  <si>
    <t>Sheet2_OFFLINE</t>
  </si>
  <si>
    <t xml:space="preserve">Offline Parameters Columns Count  </t>
  </si>
  <si>
    <t>dataTopLeftRow</t>
  </si>
  <si>
    <t>5</t>
  </si>
  <si>
    <t>dataTopLeftColumn</t>
  </si>
  <si>
    <t>1</t>
  </si>
  <si>
    <t>maxRows</t>
  </si>
  <si>
    <t>maxColumns</t>
  </si>
  <si>
    <t>topLeft</t>
  </si>
  <si>
    <t>K6</t>
  </si>
  <si>
    <t>caMembers</t>
  </si>
  <si>
    <t/>
  </si>
  <si>
    <t>raMembers</t>
  </si>
  <si>
    <t>caHeight</t>
  </si>
  <si>
    <t>caShift</t>
  </si>
  <si>
    <t>raShift</t>
  </si>
  <si>
    <t>raWidth</t>
  </si>
  <si>
    <t>rptWidth</t>
  </si>
  <si>
    <t>3</t>
  </si>
  <si>
    <t>'Integrated Business Planning</t>
  </si>
  <si>
    <t>Sheet6_SERIES</t>
  </si>
  <si>
    <t>Sheet6_FILTER</t>
  </si>
  <si>
    <t>Actuals Adjusted (Inv)</t>
  </si>
  <si>
    <t>Baseline Adjusted</t>
  </si>
  <si>
    <t>Net Forecast</t>
  </si>
  <si>
    <t>Approved Forecast</t>
  </si>
  <si>
    <t>Adjustment (%)</t>
  </si>
  <si>
    <t>Statistical Fcst</t>
  </si>
  <si>
    <t>Sales Order Qty</t>
  </si>
  <si>
    <t>Actuals Corrected (Inv)</t>
  </si>
  <si>
    <t>Invoice Quantity</t>
  </si>
  <si>
    <t>Promotions Increment</t>
  </si>
  <si>
    <t>Prev. Approved Fcst</t>
  </si>
  <si>
    <t>Prop Factor - Days</t>
  </si>
  <si>
    <t>30.01.2023</t>
  </si>
  <si>
    <t>06.02.2023</t>
  </si>
  <si>
    <t>13.02.2023</t>
  </si>
  <si>
    <t>20.02.2023</t>
  </si>
  <si>
    <t>27.02.2023</t>
  </si>
  <si>
    <t>06.03.2023</t>
  </si>
  <si>
    <t>13.03.2023</t>
  </si>
  <si>
    <t>20.03.2023</t>
  </si>
  <si>
    <t>27.03.2023</t>
  </si>
  <si>
    <t>03.04.2023</t>
  </si>
  <si>
    <t>10.04.2023</t>
  </si>
  <si>
    <t>17.04.2023</t>
  </si>
  <si>
    <t>24.04.2023</t>
  </si>
  <si>
    <t>01.05.2023</t>
  </si>
  <si>
    <t>08.05.2023</t>
  </si>
  <si>
    <t>15.05.2023</t>
  </si>
  <si>
    <t>22.05.2023</t>
  </si>
  <si>
    <t>29.05.2023</t>
  </si>
  <si>
    <t>05.06.2023</t>
  </si>
  <si>
    <t>12.06.2023</t>
  </si>
  <si>
    <t>= EPMOlapMemberO("[KEY_FIGURES].[].[ZGFADJACTINVQTY]","","Actuals Adjusted (Inv)","","000")_x000D_
= EPMOlapMemberO("[KEY_FIGURES].[].[ZGFINVQTY]","","Invoice Quantity","","000")_x000D_
= EPMOlapMemberO("[KEY_FIGURES].[].[ZGFBASELINEADJUSTED]","","Baseline Adjusted","","000")_x000D_
= EPMOlapMemberO("[KEY_FIGURES].[].[ZGFNETFORECAST]","","Net Forecast","","000")_x000D_
= EPMOlapMemberO("[KEY_FIGURES].[].[ZGFAPPROVEDFCSTQTY]","","Approved Forecast","","000")</t>
  </si>
  <si>
    <t>19.06.2023</t>
  </si>
  <si>
    <t>26.06.2023</t>
  </si>
  <si>
    <t>03.07.2023</t>
  </si>
  <si>
    <t>10.07.2023</t>
  </si>
  <si>
    <t>17.07.2023</t>
  </si>
  <si>
    <t>24.07.2023</t>
  </si>
  <si>
    <t>31.07.2023</t>
  </si>
  <si>
    <t>07.08.2023</t>
  </si>
  <si>
    <t>14.08.2023</t>
  </si>
  <si>
    <t>21.08.2023</t>
  </si>
  <si>
    <t>28.08.2023</t>
  </si>
  <si>
    <t>04.09.2023</t>
  </si>
  <si>
    <t>11.09.2023</t>
  </si>
  <si>
    <t>Default Formatting</t>
  </si>
  <si>
    <t>Default Format for Non-Editable Cells</t>
  </si>
  <si>
    <t>Default Format for Editable Cells</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</si>
  <si>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</si>
  <si>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</si>
  <si>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(KEY_FIGURES.Editable Indicator = FUTURE ) AND (PERIODID0.Past Current Future Indicator = C )</t>
  </si>
  <si>
    <t>(KEY_FIGURES.Editable Indicator = FUTURE ) AND (PERIODID.Past Current Future Indicator = C )</t>
  </si>
  <si>
    <t>(KEY_FIGURES.Editable Indicator = FUTURE ) AND (PERIODID1.Past Current Future Indicator = CF )</t>
  </si>
  <si>
    <t>(KEY_FIGURES.Editable Indicator = FUTURE ) AND (PERIODID2.Past Current Future Indicator = CF )</t>
  </si>
  <si>
    <t>(KEY_FIGURES.Editable Indicator = FUTURE ) AND (PERIODID3.Past Current Future Indicator = CF )</t>
  </si>
  <si>
    <t>(KEY_FIGURES.Editable Indicator = FUTURE ) AND (PERIODID4.Past Current Future Indicator = CF )</t>
  </si>
  <si>
    <t>(KEY_FIGURES.Editable Indicator = FUTURE ) AND (PERIODID5.Past Current Future Indicator = CF )</t>
  </si>
  <si>
    <t>(KEY_FIGURES.Editable Indicator = FUTURE ) AND (PERIODID.Past Current Future Indicator = CF )</t>
  </si>
  <si>
    <t>(KEY_FIGURES.Editable Indicator = FUTURE ) AND (PERIODID0.Past Current Future Indicator = F )</t>
  </si>
  <si>
    <t>(KEY_FIGURES.Editable Indicator = FUTURE ) AND (PERIODID1.Past Current Future Indicator = F )</t>
  </si>
  <si>
    <t>(KEY_FIGURES.Editable Indicator = FUTURE ) AND (PERIODID2.Past Current Future Indicator = F )</t>
  </si>
  <si>
    <t>(KEY_FIGURES.Editable Indicator = FUTURE ) AND (PERIODID3.Past Current Future Indicator = F )</t>
  </si>
  <si>
    <t>(KEY_FIGURES.Editable Indicator = FUTURE ) AND (PERIODID4.Past Current Future Indicator = F )</t>
  </si>
  <si>
    <t>(KEY_FIGURES.Editable Indicator = FUTURE ) AND (PERIODID5.Past Current Future Indicator = F )</t>
  </si>
  <si>
    <t>(KEY_FIGURES.Editable Indicator = FUTURE ) AND (PERIODID.Past Current Future Indicator = F )</t>
  </si>
  <si>
    <t>(KEY_FIGURES.Editable Indicator = PAST ) AND (PERIODID0.Past Current Future Indicator = P )</t>
  </si>
  <si>
    <t>(KEY_FIGURES.Editable Indicator = PAST ) AND (PERIODID1.Past Current Future Indicator = P )</t>
  </si>
  <si>
    <t>(KEY_FIGURES.Editable Indicator = PAST ) AND (PERIODID2.Past Current Future Indicator = P )</t>
  </si>
  <si>
    <t>(KEY_FIGURES.Editable Indicator = PAST ) AND (PERIODID3.Past Current Future Indicator = P )</t>
  </si>
  <si>
    <t>(KEY_FIGURES.Editable Indicator = PAST ) AND (PERIODID4.Past Current Future Indicator = P )</t>
  </si>
  <si>
    <t>(KEY_FIGURES.Editable Indicator = PAST ) AND (PERIODID5.Past Current Future Indicator = P )</t>
  </si>
  <si>
    <t>(KEY_FIGURES.Editable Indicator = PAST ) AND (PERIODID.Past Current Future Indicator = P )</t>
  </si>
  <si>
    <t>2</t>
  </si>
  <si>
    <t>211</t>
  </si>
  <si>
    <t>[MARKETSEGMENT].[].[__ALL]_x000D_
[ZLPG].[].[__ALL]_x000D_
[ZGFCUSTGROUP].[].[__ALL]_x000D_
[LOCID].[].[__ALL]_x000D_
[KEY_FIGURES].[].[ZGFLYINVQTY]_x000D_
[MARKETSEGMENT].[].[__ALL]_x000D_
[ZLPG].[].[__ALL]_x000D_
[ZGFCUSTGROUP].[].[__ALL]_x000D_
[LOCID].[].[__ALL]_x000D_
[KEY_FIGURES].[].[ZGFLYINVQTY]</t>
  </si>
  <si>
    <t>201</t>
  </si>
  <si>
    <t>[PERIODID4].[].[200473]_x000D_
[PERIODID4].[].[200474]_x000D_
[PERIODID4].[].[200475]_x000D_
[PERIODID4].[].[200476]_x000D_
[PERIODID4].[].[200477]_x000D_
[PERIODID4].[].[200478]_x000D_
[PERIODID4].[].[200479]_x000D_
[PERIODID4].[].[200480]_x000D_
[PERIODID4].[].[200481]_x000D_
[PERIODID4].[].[200482]_x000D_
[PERIODID4].[].[200483]_x000D_
[PERIODID4].[].[200484]_x000D_
[PERIODID4].[].[200485]_x000D_
[PERIODID4].[].[200486]_x000D_
[PERIODID4].[].[200487]_x000D_
[PERIODID4].[].[200488]_x000D_
[PERIODID4].[].[200489]_x000D_
[PERIODID4].[].[200490]_x000D_
[PERIODID4].[].[200491]_x000D_
[PERIODID4].[].[200492]_x000D_
[PERIODID4].[].[200493]_x000D_
[PERIODID4].[].[200494]_x000D_
[PERIODID4].[].[200495]_x000D_
[PERIODID4].[].[200496]_x000D_
[PERIODID4].[].[200497]_x000D_
[PERIODID4].[].[200498]_x000D_
[PERIODID4].[].[200499]_x000D_
[PERIODID4].[].[200500]_x000D_
[PERIODID4].[].[200501]_x000D_
[PERIODID4].[].[200502]_x000D_
[PERIODID4].[].[200503]_x000D_
[PERIODID4].[].[200504]_x000D_
[PERIODID4].[].[200505]_x000D_
[PERIODID4].[].[200506]_x000D_
[PERIODID4].[].[200507]_x000D_
[PERIODID4].[].[200508]_x000D_
[PERIODID4].[].[200509]_x000D_
[PERIODID4].[].[200510]_x000D_
[PERIODID4].[].[200511]_x000D_
[PERIODID4].[].[200512]_x000D_
[PERIODID4].[].[200513]_x000D_
[PERIODID4].[].[200514]_x000D_
[PERIODID4].[].[200515]_x000D_
[PERIODID4].[].[200516]_x000D_
[PERIODID4].[].[200517]_x000D_
[PERIODID4].[].[200518]_x000D_
[PERIODID4].[].[200519]_x000D_
[PERIODID4].[].[200520]_x000D_
[PERIODID4].[].[200521]_x000D_
[PERIODID4].[].[200522]_x000D_
[PERIODID4].[].[200523]_x000D_
[PERIODID4].[].[200524]_x000D_
[PERIODID4].[].[200525]_x000D_
[PERIODID4].[].[200526]_x000D_
[PERIODID4].[].[200527]_x000D_
[PERIODID4].[].[200528]_x000D_
[PERIODID4].[].[200529]_x000D_
[PERIODID4].[].[200530]_x000D_
[PERIODID4].[].[200531]_x000D_
[PERIODID4].[].[200532]_x000D_
[PERIODID4].[].[200533]_x000D_
[PERIODID4].[].[200534]_x000D_
[PERIODID4].[].[200535]_x000D_
[PERIODID4].[].[200536]_x000D_
[PERIODID4].[].[200537]_x000D_
[PERIODID4].[].[200538]_x000D_
[PERIODID4].[].[200539]_x000D_
[PERIODID4].[].[200540]_x000D_
[PERIODID4].[].[200541]_x000D_
[PERIODID4].[].[200542]_x000D_
[PERIODID4].[].[200543]_x000D_
[PERIODID4].[].[200544]_x000D_
[PERIODID4].[].[200545]_x000D_
[PERIODID4].[].[200546]_x000D_
[PERIODID4].[].[200547]_x000D_
[PERIODID4].[].[200548]_x000D_
[PERIODID4].[].[200549]_x000D_
[PERIODID4].[].[200550]_x000D_
[PERIODID4].[].[200551]_x000D_
[PERIODID4].[].[200552]_x000D_
[PERIODID4].[].[200553]_x000D_
[PERIODID4].[].[200554]_x000D_
[PERIODID4].[].[200555]_x000D_
[PERIODID4].[].[200556]_x000D_
[PERIODID4].[].[200557]_x000D_
[PERIODID4].[].[200558]_x000D_
[PERIODID4].[].[200559]_x000D_
[PERIODID4].[].[200560]_x000D_
[PERIODID4].[].[200561]_x000D_
[PERIODID4].[].[200562]_x000D_
[PERIODID4].[].[200563]_x000D_
[PERIODID4].[].[200564]_x000D_
[PERIODID4].[].[200565]_x000D_
[PERIODID4].[].[200566]_x000D_
[PERIODID4].[].[200567]_x000D_
[PERIODID4].[].[200568]_x000D_
[PERIODID4].[].[200569]_x000D_
[PERIODID4].[].[200570]_x000D_
[PERIODID4].[].[200571]_x000D_
[PERIODID4].[].[200572]_x000D_
[PERIODID4].[].[200573]_x000D_
[PERIODID4].[].[200574]_x000D_
[PERIODID4].[].[200575]_x000D_
[PERIODID4].[].[200576]_x000D_
[PERIODID4].[].[200577]_x000D_
[PERIODID4].[].[200578]_x000D_
[PERIODID4].[].[200579]_x000D_
[PERIODID4].[].[200580]_x000D_
[PERIODID4].[].[200581]_x000D_
[PERIODID4].[].[200582]_x000D_
[PERIODID4].[].[200583]_x000D_
[PERIODID4].[].[200584]_x000D_
[PERIODID4].[].[200585]_x000D_
[PERIODID4].[].[200586]_x000D_
[PERIODID4].[].[200587]_x000D_
[PERIODID4].[].[200588]_x000D_
[PERIODID4].[].[200589]_x000D_
[PERIODID4].[].[200590]_x000D_
[PERIODID4].[].[200591]_x000D_
[PERIODID4].[].[200592]_x000D_
[PERIODID4].[].[200593]_x000D_
[PERIODID4].[].[200594]_x000D_
[PERIODID4].[].[200595]_x000D_
[PERIODID4].[].[200596]_x000D_
[PERIODID4].[].[200597]_x000D_
[PERIODID4].[].[200598]_x000D_
[PERIODID4].[].[200599]_x000D_
[PERIODID4].[].[200600]_x000D_
[PERIODID4].[].[200601]_x000D_
[PERIODID4].[].[200602]_x000D_
[PERIODID4].[].[200603]_x000D_
[PERIODID4].[].[200604]_x000D_
[PERIODID4].[].[200605]_x000D_
[PERIODID4].[].[200606]_x000D_
[PERIODID4].[].[200607]_x000D_
[PERIODID4].[].[200608]_x000D_
[PERIODID4].[].[200609]_x000D_
[PERIODID4].[].[200610]_x000D_
[PERIODID4].[].[200611]_x000D_
[PERIODID4].[].[200612]_x000D_
[PERIODID4].[].[200613]_x000D_
[PERIODID4].[].[200614]_x000D_
[PERIODID4].[].[200615]_x000D_
[PERIODID4].[].[200616]_x000D_
[PERIODID4].[].[200617]_x000D_
[PERIODID4].[].[200618]_x000D_
[PERIODID4].[].[200619]_x000D_
[PERIODID4].[].[200620]_x000D_
[PERIODID4].[].[200621]_x000D_
[PERIODID4].[].[200622]_x000D_
[PERIODID4].[].[200623]_x000D_
[PERIODID4].[].[200624]_x000D_
[PERIODID4].[].[200625]_x000D_
[PERIODID4].[].[200626]_x000D_
[PERIODID4].[].[200627]_x000D_
[PERIODID4].[].[200628]_x000D_
[PERIODID4].[].[200629]_x000D_
[PERIODID4].[].[200630]_x000D_
[PERIODID4].[].[200631]_x000D_
[PERIODID4].[].[200632]_x000D_
[PERIODID4].[].[200633]_x000D_
[PERIODID4].[].[200634]_x000D_
[PERIODID4].[].[200635]_x000D_
[PERIODID4].[].[200636]_x000D_
[PERIODID4].[].[200637]_x000D_
[PERIODID4].[].[200638]_x000D_
[PERIODID4].[].[200639]_x000D_
[PERIODID4].[].[200640]_x000D_
[PERIODID4].[].[200641]_x000D_
[PERIODID4].[].[200642]_x000D_
[PERIODID4].[].[200643]_x000D_
[PERIODID4].[].[200644]_x000D_
[PERIODID4].[].[200645]_x000D_
[PERIODID4].[].[200646]_x000D_
[PERIODID4].[].[200647]_x000D_
[PERIODID4].[].[200648]_x000D_
[PERIODID4].[].[200649]_x000D_
[PERIODID4].[].[200650]_x000D_
[PERIODID4].[].[200651]_x000D_
[PERIODID4].[].[200652]_x000D_
[PERIODID4].[].[200653]_x000D_
[PERIODID4].[].[200654]_x000D_
[PERIODID4].[].[200655]_x000D_
[PERIODID4].[].[200656]_x000D_
[PERIODID4].[].[200657]_x000D_
[PERIODID4].[].[200658]_x000D_
[PERIODID4].[].[200659]_x000D_
[PERIODID4].[].[200660]_x000D_
[PERIODID4].[].[200661]_x000D_
[PERIODID4].[].[200662]_x000D_
[PERIODID4].[].[200663]_x000D_
[PERIODID4].[].[200664]_x000D_
[PERIODID4].[].[200665]_x000D_
[PERIODID4].[].[200666]_x000D_
[PERIODID4].[].[200667]_x000D_
[PERIODID4].[].[200668]_x000D_
[PERIODID4].[].[200669]_x000D_
[PERIODID4].[].[200670]_x000D_
[PERIODID4].[].[200671]_x000D_
[PERIODID4].[].[200672]</t>
  </si>
  <si>
    <t>[PERIODID4].[].[200673]</t>
  </si>
  <si>
    <t>[MARKETSEGMENT].[].[G144_01_01]_x000D_
[ZLPG].[].[V7]_x000D_
[ZGFCUSTGROUP].[].[BO]_x000D_
[LOCID].[].[2012]_x000D_
[KEY_FIGURES].[].[ZGFADJINVQTYMAN]_x000D_
[MARKETSEGMENT].[].[G144_01_01]_x000D_
[ZLPG].[].[V7]_x000D_
[ZGFCUSTGROUP].[].[BO]_x000D_
[LOCID].[].[2012]_x000D_
[KEY_FIGURES].[].[ZGFADJACTINVQTY]_x000D_
[MARKETSEGMENT].[].[G144_01_01]_x000D_
[ZLPG].[].[V7]_x000D_
[ZGFCUSTGROUP].[].[BO]_x000D_
[LOCID].[].[2012]_x000D_
[KEY_FIGURES].[].[ZGFSTATFCSTQTY]_x000D_
[MARKETSEGMENT].[].[G144_01_01]_x000D_
[ZLPG].[].[V7]_x000D_
[ZGFCUSTGROUP].[].[BO]_x000D_
[LOCID].[].[2012]_x000D_
[KEY_FIGURES].[].[ZGFADJUSTMENTQTY]_x000D_
[MARKETSEGMENT].[].[G144_01_01]_x000D_
[ZLPG].[].[V7]_x000D_
[ZGFCUSTGROUP].[].[BO]_x000D_
[LOCID].[].[2012]_x000D_
[KEY_FIGURES].[].[ZGFADJUSTMENTQTYPCT]_x000D_
[MARKETSEGMENT].[].[G144_01_01]_x000D_
[ZLPG].[].[V7]_x000D_
[ZGFCUSTGROUP].[].[BO]_x000D_
[LOCID].[].[2012]_x000D_
[KEY_FIGURES].[].[ZGFBASELINEADJUSTED]_x000D_
[MARKETSEGMENT].[].[G144_01_01]_x000D_
[ZLPG].[].[V7]_x000D_
[ZGFCUSTGROUP].[].[BO]_x000D_
[LOCID].[].[2012]_x000D_
[KEY_FIGURES].[].[ZGFPROMOINC]_x000D_
[MARKETSEGMENT].[].[G144_01_01]_x000D_
[ZLPG].[].[V7]_x000D_
[ZGFCUSTGROUP].[].[BO]_x000D_
[LOCID].[].[2012]_x000D_
[KEY_FIGURES].[].[ZGFEVENTADJUSTMENTS1]_x000D_
[MARKETSEGMENT].[].[G144_01_01]_x000D_
[ZLPG].[].[V7]_x000D_
[ZGFCUSTGROUP].[].[BO]_x000D_
[LOCID].[].[2012]_x000D_
[KEY_FIGURES].[].[ZGFEVENTADJUSTMENTS2]_x000D_
[MARKETSEGMENT].[].[G144_01_01]_x000D_
[ZLPG].[].[V7]_x000D_
[ZGFCUSTGROUP].[].[BO]_x000D_
[LOCID].[].[2012]_x000D_
[KEY_FIGURES].[].[ZGFNETFORECAST]_x000D_
[MARKETSEGMENT].[].[G144_01_01]_x000D_
[ZLPG].[].[V7]_x000D_
[ZGFCUSTGROUP].[].[BO]_x000D_
[LOCID].[].[2012]_x000D_
[KEY_FIGURES].[].[ZGFAPPROVEDFCSTQTY]_x000D_
[MARKETSEGMENT].[].[G144_01_01]_x000D_
[ZLPG].[].[V7]_x000D_
[ZGFCUSTGROUP].[].[BO]_x000D_
[LOCID].[].[2012]_x000D_
[KEY_FIGURES].[].[ZGFFCSTOVERWRITEMAN]_x000D_
[MARKETSEGMENT].[].[G144_01_01]_x000D_
[ZLPG].[].[V7]_x000D_
[ZGFCUSTGROUP].[].[BO]_x000D_
[LOCID].[].[2012]_x000D_
[KEY_FIGURES].[].[ZGFPREVAPPROVEDFCSTTY]_x000D_
[MARKETSEGMENT].[].[G144_01_01]_x000D_
[ZLPG].[].[V7]_x000D_
[ZGFCUSTGROUP].[].[BO]_x000D_
[LOCID].[].[2012]_x000D_
[KEY_FIGURES].[].[ZGFPROPFACTORDAY]_x000D_
[MARKETSEGMENT].[].[G144_01_01]_x000D_
[ZLPG].[].[V7]_x000D_
[ZGFCUSTGROUP].[].[BO]_x000D_
[LOCID].[].[2012]_x000D_
[KEY_FIGURES].[].[ZGFPROPFACTORDAYACT]_x000D_
[MARKETSEGMENT].[].[G144_01_01]_x000D_
[ZLPG].[].[V7]_x000D_
[ZGFCUSTGROUP].[].[BO]_x000D_
[LOCID].[].[2013]_x000D_
[KEY_FIGURES].[].[ZGFLYINVQTY]_x000D_
[MARKETSEGMENT].[].[G144_01_01]_x000D_
[ZLPG].[].[V7]_x000D_
[ZGFCUSTGROUP].[].[BO]_x000D_
[LOCID].[].[2013]_x000D_
[KEY_FIGURES].[].[ZGFSALESORDQTY]_x000D_
[MARKETSEGMENT].[].[G144_01_01]_x000D_
[ZLPG].[].[V7]_x000D_
[ZGFCUSTGROUP].[].[BO]_x000D_
[LOCID].[].[2013]_x000D_
[KEY_FIGURES].[].[ZGFINVQTY]_x000D_
[MARKETSEGMENT].[].[G144_01_01]_x000D_
[ZLPG].[].[V7]_x000D_
[ZGFCUSTGROUP].[].[BO]_x000D_
[LOCID].[].[2013]_x000D_
[KEY_FIGURES].[].[ZGFACTCORRINVQTY]_x000D_
[MARKETSEGMENT].[].[G144_01_01]_x000D_
[ZLPG].[].[V7]_x000D_
[ZGFCUSTGROUP].[].[BO]_x000D_
[LOCID].[].[2013]_x000D_
[KEY_FIGURES].[].[ZGFADJINVQTYMAN]_x000D_
[MARKETSEGMENT].[].[G144_01_01]_x000D_
[ZLPG].[].[V7]_x000D_
[ZGFCUSTGROUP].[].[BO]_x000D_
[LOCID].[].[2013]_x000D_
[KEY_FIGURES].[].[ZGFADJACTINVQTY]_x000D_
[MARKETSEGMENT].[].[G144_01_01]_x000D_
[ZLPG].[].[V7]_x000D_
[ZGFCUSTGROUP].[].[BO]_x000D_
[LOCID].[].[2013]_x000D_
[KEY_FIGURES].[].[ZGFSTATFCSTQTY]_x000D_
[MARKETSEGMENT].[].[G144_01_01]_x000D_
[ZLPG].[].[V7]_x000D_
[ZGFCUSTGROUP].[].[BO]_x000D_
[LOCID].[].[2013]_x000D_
[KEY_FIGURES].[].[ZGFADJUSTMENTQTY]_x000D_
[MARKETSEGMENT].[].[G144_01_01]_x000D_
[ZLPG].[].[V7]_x000D_
[ZGFCUSTGROUP].[].[BO]_x000D_
[LOCID].[].[2013]_x000D_
[KEY_FIGURES].[].[ZGFADJUSTMENTQTYPCT]_x000D_
[MARKETSEGMENT].[].[G144_01_01]_x000D_
[ZLPG].[].[V7]_x000D_
[ZGFCUSTGROUP].[].[BO]_x000D_
[LOCID].[].[2013]_x000D_
[KEY_FIGURES].[].[ZGFBASELINEADJUSTED]_x000D_
[MARKETSEGMENT].[].[G144_01_01]_x000D_
[ZLPG].[].[V7]_x000D_
[ZGFCUSTGROUP].[].[BO]_x000D_
[LOCID].[].[2013]_x000D_
[KEY_FIGURES].[].[ZGFPROMOINC]_x000D_
[MARKETSEGMENT].[].[G144_01_01]_x000D_
[ZLPG].[].[V7]_x000D_
[ZGFCUSTGROUP].[].[BO]_x000D_
[LOCID].[].[2013]_x000D_
[KEY_FIGURES].[].[ZGFEVENTADJUSTMENTS1]_x000D_
[MARKETSEGMENT].[].[G144_01_01]_x000D_
[ZLPG].[].[V7]_x000D_
[ZGFCUSTGROUP].[].[BO]_x000D_
[LOCID].[].[2013]_x000D_
[KEY_FIGURES].[].[ZGFEVENTADJUSTMENTS2]_x000D_
[MARKETSEGMENT].[].[G144_01_01]_x000D_
[ZLPG].[].[V7]_x000D_
[ZGFCUSTGROUP].[].[BO]_x000D_
[LOCID].[].[2013]_x000D_
[KEY_FIGURES].[].[ZGFNETFORECAST]_x000D_
[MARKETSEGMENT].[].[G144_01_01]_x000D_
[ZLPG].[].[V7]_x000D_
[ZGFCUSTGROUP].[].[BO]_x000D_
[LOCID].[].[2013]_x000D_
[KEY_FIGURES].[].[ZGFAPPROVEDFCSTQTY]_x000D_
[MARKETSEGMENT].[].[G144_01_01]_x000D_
[ZLPG].[].[V7]_x000D_
[ZGFCUSTGROUP].[].[BO]_x000D_
[LOCID].[].[2013]_x000D_
[KEY_FIGURES].[].[ZGFFCSTOVERWRITEMAN]_x000D_
[MARKETSEGMENT].[].[G144_01_01]_x000D_
[ZLPG].[].[V7]_x000D_
[ZGFCUSTGROUP].[].[BO]_x000D_
[LOCID].[].[2013]_x000D_
[KEY_FIGURES].[].[ZGFPREVAPPROVEDFCSTTY]_x000D_
[MARKETSEGMENT].[].[G144_01_01]_x000D_
[ZLPG].[].[V7]_x000D_
[ZGFCUSTGROUP].[].[BO]_x000D_
[LOCID].[].[2013]_x000D_
[KEY_FIGURES].[].[ZGFPROPFACTORDAY]_x000D_
[MARKETSEGMENT].[].[G144_01_01]_x000D_
[ZLPG].[].[V7]_x000D_
[ZGFCUSTGROUP].[].[BO]_x000D_
[LOCID].[].[2013]_x000D_
[KEY_FIGURES].[].[ZGFPROPFACTORDAYACT]_x000D_
[MARKETSEGMENT].[].[G144_01_01]_x000D_
[ZLPG].[].[V7]_x000D_
[ZGFCUSTGROUP].[].[BO]_x000D_
[LOCID].[].[2022]_x000D_
[KEY_FIGURES].[].[ZGFLYINVQTY]_x000D_
[MARKETSEGMENT].[].[G144_01_01]_x000D_
[ZLPG].[].[V7]_x000D_
[ZGFCUSTGROUP].[].[BO]_x000D_
[LOCID].[].[2022]_x000D_
[KEY_FIGURES].[].[ZGFSALESORDQTY]_x000D_
[MARKETSEGMENT].[].[G144_01_01]_x000D_
[ZLPG].[].[V7]_x000D_
[ZGFCUSTGROUP].[].[BO]_x000D_
[LOCID].[].[2022]_x000D_
[KEY_FIGURES].[].[ZGFINVQTY]_x000D_
[MARKETSEGMENT].[].[G144_01_01]_x000D_
[ZLPG].[].[V7]_x000D_
[ZGFCUSTGROUP].[].[BO]_x000D_
[LOCID].[].[2022]_x000D_
[KEY_FIGURES].[].[ZGFACTCORRINVQTY]_x000D_
[MARKETSEGMENT].[].[G144_01_01]_x000D_
[ZLPG].[].[V7]_x000D_
[ZGFCUSTGROUP].[].[BO]_x000D_
[LOCID].[].[2022]_x000D_
[KEY_FIGURES].[].[ZGFADJINVQTYMAN]_x000D_
[MARKETSEGMENT].[].[G144_01_01]_x000D_
[ZLPG].[].[V7]_x000D_
[ZGFCUSTGROUP].[].[BO]_x000D_
[LOCID].[].[2022]_x000D_
[KEY_FIGURES].[].[ZGFADJACTINVQTY]</t>
  </si>
  <si>
    <t>[MARKETSEGMENT].[].[G144_01_01]_x000D_
[ZLPG].[].[V7]_x000D_
[ZGFCUSTGROUP].[].[BO]_x000D_
[LOCID].[].[2022]_x000D_
[KEY_FIGURES].[].[ZGFSTATFCSTQTY]_x000D_
[MARKETSEGMENT].[].[G144_01_01]_x000D_
[ZLPG].[].[V7]_x000D_
[ZGFCUSTGROUP].[].[BO]_x000D_
[LOCID].[].[2022]_x000D_
[KEY_FIGURES].[].[ZGFADJUSTMENTQTY]_x000D_
[MARKETSEGMENT].[].[G144_01_01]_x000D_
[ZLPG].[].[V7]_x000D_
[ZGFCUSTGROUP].[].[BO]_x000D_
[LOCID].[].[2022]_x000D_
[KEY_FIGURES].[].[ZGFADJUSTMENTQTYPCT]_x000D_
[MARKETSEGMENT].[].[G144_01_01]_x000D_
[ZLPG].[].[V7]_x000D_
[ZGFCUSTGROUP].[].[BO]_x000D_
[LOCID].[].[2022]_x000D_
[KEY_FIGURES].[].[ZGFBASELINEADJUSTED]_x000D_
[MARKETSEGMENT].[].[G144_01_01]_x000D_
[ZLPG].[].[V7]_x000D_
[ZGFCUSTGROUP].[].[BO]_x000D_
[LOCID].[].[2022]_x000D_
[KEY_FIGURES].[].[ZGFPROMOINC]_x000D_
[MARKETSEGMENT].[].[G144_01_01]_x000D_
[ZLPG].[].[V7]_x000D_
[ZGFCUSTGROUP].[].[BO]_x000D_
[LOCID].[].[2022]_x000D_
[KEY_FIGURES].[].[ZGFEVENTADJUSTMENTS1]_x000D_
[MARKETSEGMENT].[].[G144_01_01]_x000D_
[ZLPG].[].[V7]_x000D_
[ZGFCUSTGROUP].[].[BO]_x000D_
[LOCID].[].[2022]_x000D_
[KEY_FIGURES].[].[ZGFEVENTADJUSTMENTS2]_x000D_
[MARKETSEGMENT].[].[G144_01_01]_x000D_
[ZLPG].[].[V7]_x000D_
[ZGFCUSTGROUP].[].[BO]_x000D_
[LOCID].[].[2022]_x000D_
[KEY_FIGURES].[].[ZGFNETFORECAST]_x000D_
[MARKETSEGMENT].[].[G144_01_01]_x000D_
[ZLPG].[].[V7]_x000D_
[ZGFCUSTGROUP].[].[BO]_x000D_
[LOCID].[].[2022]_x000D_
[KEY_FIGURES].[].[ZGFAPPROVEDFCSTQTY]_x000D_
[MARKETSEGMENT].[].[G144_01_01]_x000D_
[ZLPG].[].[V7]_x000D_
[ZGFCUSTGROUP].[].[BO]_x000D_
[LOCID].[].[2022]_x000D_
[KEY_FIGURES].[].[ZGFFCSTOVERWRITEMAN]_x000D_
[MARKETSEGMENT].[].[G144_01_01]_x000D_
[ZLPG].[].[V7]_x000D_
[ZGFCUSTGROUP].[].[BO]_x000D_
[LOCID].[].[2022]_x000D_
[KEY_FIGURES].[].[ZGFPREVAPPROVEDFCSTTY]_x000D_
[MARKETSEGMENT].[].[G144_01_01]_x000D_
[ZLPG].[].[V7]_x000D_
[ZGFCUSTGROUP].[].[BO]_x000D_
[LOCID].[].[2022]_x000D_
[KEY_FIGURES].[].[ZGFPROPFACTORDAY]_x000D_
[MARKETSEGMENT].[].[G144_01_01]_x000D_
[ZLPG].[].[V7]_x000D_
[ZGFCUSTGROUP].[].[BO]_x000D_
[LOCID].[].[2022]_x000D_
[KEY_FIGURES].[].[ZGFPROPFACTORDAYACT]_x000D_
[MARKETSEGMENT].[].[G144_01_01]_x000D_
[ZLPG].[].[V7]_x000D_
[ZGFCUSTGROUP].[].[BO]_x000D_
[LOCID].[].[2023]_x000D_
[KEY_FIGURES].[].[ZGFLYINVQTY]_x000D_
[MARKETSEGMENT].[].[G144_01_01]_x000D_
[ZLPG].[].[V7]_x000D_
[ZGFCUSTGROUP].[].[BO]_x000D_
[LOCID].[].[2023]_x000D_
[KEY_FIGURES].[].[ZGFSALESORDQTY]_x000D_
[MARKETSEGMENT].[].[G144_01_01]_x000D_
[ZLPG].[].[V7]_x000D_
[ZGFCUSTGROUP].[].[BO]_x000D_
[LOCID].[].[2023]_x000D_
[KEY_FIGURES].[].[ZGFINVQTY]_x000D_
[MARKETSEGMENT].[].[G144_01_01]_x000D_
[ZLPG].[].[V7]_x000D_
[ZGFCUSTGROUP].[].[BO]_x000D_
[LOCID].[].[2023]_x000D_
[KEY_FIGURES].[].[ZGFACTCORRINVQTY]_x000D_
[MARKETSEGMENT].[].[G144_01_01]_x000D_
[ZLPG].[].[V7]_x000D_
[ZGFCUSTGROUP].[].[BO]_x000D_
[LOCID].[].[2023]_x000D_
[KEY_FIGURES].[].[ZGFADJINVQTYMAN]_x000D_
[MARKETSEGMENT].[].[G144_01_01]_x000D_
[ZLPG].[].[V7]_x000D_
[ZGFCUSTGROUP].[].[BO]_x000D_
[LOCID].[].[2023]_x000D_
[KEY_FIGURES].[].[ZGFADJACTINVQTY]_x000D_
[MARKETSEGMENT].[].[G144_01_01]_x000D_
[ZLPG].[].[V7]_x000D_
[ZGFCUSTGROUP].[].[BO]_x000D_
[LOCID].[].[2023]_x000D_
[KEY_FIGURES].[].[ZGFSTATFCSTQTY]_x000D_
[MARKETSEGMENT].[].[G144_01_01]_x000D_
[ZLPG].[].[V7]_x000D_
[ZGFCUSTGROUP].[].[BO]_x000D_
[LOCID].[].[2023]_x000D_
[KEY_FIGURES].[].[ZGFADJUSTMENTQTY]_x000D_
[MARKETSEGMENT].[].[G144_01_01]_x000D_
[ZLPG].[].[V7]_x000D_
[ZGFCUSTGROUP].[].[BO]_x000D_
[LOCID].[].[2023]_x000D_
[KEY_FIGURES].[].[ZGFADJUSTMENTQTYPCT]_x000D_
[MARKETSEGMENT].[].[G144_01_01]_x000D_
[ZLPG].[].[V7]_x000D_
[ZGFCUSTGROUP].[].[BO]_x000D_
[LOCID].[].[2023]_x000D_
[KEY_FIGURES].[].[ZGFBASELINEADJUSTED]_x000D_
[MARKETSEGMENT].[].[G144_01_01]_x000D_
[ZLPG].[].[V7]_x000D_
[ZGFCUSTGROUP].[].[BO]_x000D_
[LOCID].[].[2023]_x000D_
[KEY_FIGURES].[].[ZGFPROMOINC]_x000D_
[MARKETSEGMENT].[].[G144_01_01]_x000D_
[ZLPG].[].[V7]_x000D_
[ZGFCUSTGROUP].[].[BO]_x000D_
[LOCID].[].[2023]_x000D_
[KEY_FIGURES].[].[ZGFEVENTADJUSTMENTS1]_x000D_
[MARKETSEGMENT].[].[G144_01_01]_x000D_
[ZLPG].[].[V7]_x000D_
[ZGFCUSTGROUP].[].[BO]_x000D_
[LOCID].[].[2023]_x000D_
[KEY_FIGURES].[].[ZGFEVENTADJUSTMENTS2]_x000D_
[MARKETSEGMENT].[].[G144_01_01]_x000D_
[ZLPG].[].[V7]_x000D_
[ZGFCUSTGROUP].[].[BO]_x000D_
[LOCID].[].[2023]_x000D_
[KEY_FIGURES].[].[ZGFNETFORECAST]_x000D_
[MARKETSEGMENT].[].[G144_01_01]_x000D_
[ZLPG].[].[V7]_x000D_
[ZGFCUSTGROUP].[].[BO]_x000D_
[LOCID].[].[2023]_x000D_
[KEY_FIGURES].[].[ZGFAPPROVEDFCSTQTY]_x000D_
[MARKETSEGMENT].[].[G144_01_01]_x000D_
[ZLPG].[].[V7]_x000D_
[ZGFCUSTGROUP].[].[BO]_x000D_
[LOCID].[].[2023]_x000D_
[KEY_FIGURES].[].[ZGFFCSTOVERWRITEMAN]_x000D_
[MARKETSEGMENT].[].[G144_01_01]_x000D_
[ZLPG].[].[V7]_x000D_
[ZGFCUSTGROUP].[].[BO]_x000D_
[LOCID].[].[2023]_x000D_
[KEY_FIGURES].[].[ZGFPREVAPPROVEDFCSTTY]_x000D_
[MARKETSEGMENT].[].[G144_01_01]_x000D_
[ZLPG].[].[V7]_x000D_
[ZGFCUSTGROUP].[].[BO]_x000D_
[LOCID].[].[2023]_x000D_
[KEY_FIGURES].[].[ZGFPROPFACTORDAY]_x000D_
[MARKETSEGMENT].[].[G144_01_01]_x000D_
[ZLPG].[].[V7]_x000D_
[ZGFCUSTGROUP].[].[BO]_x000D_
[LOCID].[].[2023]_x000D_
[KEY_FIGURES].[].[ZGFPROPFACTORDAYACT]_x000D_
[MARKETSEGMENT].[].[G144_01_01]_x000D_
[ZLPG].[].[V7]_x000D_
[ZGFCUSTGROUP].[].[DI]_x000D_
[LOCID].[].[2013]_x000D_
[KEY_FIGURES].[].[ZGFLYINVQTY]_x000D_
[MARKETSEGMENT].[].[G144_01_01]_x000D_
[ZLPG].[].[V7]_x000D_
[ZGFCUSTGROUP].[].[DI]_x000D_
[LOCID].[].[2013]_x000D_
[KEY_FIGURES].[].[ZGFSALESORDQTY]_x000D_
[MARKETSEGMENT].[].[G144_01_01]_x000D_
[ZLPG].[].[V7]_x000D_
[ZGFCUSTGROUP].[].[DI]_x000D_
[LOCID].[].[2013]_x000D_
[KEY_FIGURES].[].[ZGFINVQTY]_x000D_
[MARKETSEGMENT].[].[G144_01_01]_x000D_
[ZLPG].[].[V7]_x000D_
[ZGFCUSTGROUP].[].[DI]_x000D_
[LOCID].[].[2013]_x000D_
[KEY_FIGURES].[].[ZGFACTCORRINVQTY]_x000D_
[MARKETSEGMENT].[].[G144_01_01]_x000D_
[ZLPG].[].[V7]_x000D_
[ZGFCUSTGROUP].[].[DI]_x000D_
[LOCID].[].[2013]_x000D_
[KEY_FIGURES].[].[ZGFADJINVQTYMAN]_x000D_
[MARKETSEGMENT].[].[G144_01_01]_x000D_
[ZLPG].[].[V7]_x000D_
[ZGFCUSTGROUP].[].[DI]_x000D_
[LOCID].[].[2013]_x000D_
[KEY_FIGURES].[].[ZGFADJACTINVQTY]_x000D_
[MARKETSEGMENT].[].[G144_01_01]_x000D_
[ZLPG].[].[V7]_x000D_
[ZGFCUSTGROUP].[].[DI]_x000D_
[LOCID].[].[2013]_x000D_
[KEY_FIGURES].[].[ZGFSTATFCSTQTY]_x000D_
[MARKETSEGMENT].[].[G144_01_01]_x000D_
[ZLPG].[].[V7]_x000D_
[ZGFCUSTGROUP].[].[DI]_x000D_
[LOCID].[].[2013]_x000D_
[KEY_FIGURES].[].[ZGFADJUSTMENTQTY]</t>
  </si>
  <si>
    <t>[MARKETSEGMENT].[].[G144_01_01]_x000D_
[ZLPG].[].[V7]_x000D_
[ZGFCUSTGROUP].[].[DI]_x000D_
[LOCID].[].[2013]_x000D_
[KEY_FIGURES].[].[ZGFADJUSTMENTQTYPCT]_x000D_
[MARKETSEGMENT].[].[G144_01_01]_x000D_
[ZLPG].[].[V7]_x000D_
[ZGFCUSTGROUP].[].[DI]_x000D_
[LOCID].[].[2013]_x000D_
[KEY_FIGURES].[].[ZGFBASELINEADJUSTED]_x000D_
[MARKETSEGMENT].[].[G144_01_01]_x000D_
[ZLPG].[].[V7]_x000D_
[ZGFCUSTGROUP].[].[DI]_x000D_
[LOCID].[].[2013]_x000D_
[KEY_FIGURES].[].[ZGFPROMOINC]_x000D_
[MARKETSEGMENT].[].[G144_01_01]_x000D_
[ZLPG].[].[V7]_x000D_
[ZGFCUSTGROUP].[].[DI]_x000D_
[LOCID].[].[2013]_x000D_
[KEY_FIGURES].[].[ZGFEVENTADJUSTMENTS1]_x000D_
[MARKETSEGMENT].[].[G144_01_01]_x000D_
[ZLPG].[].[V7]_x000D_
[ZGFCUSTGROUP].[].[DI]_x000D_
[LOCID].[].[2013]_x000D_
[KEY_FIGURES].[].[ZGFEVENTADJUSTMENTS2]_x000D_
[MARKETSEGMENT].[].[G144_01_01]_x000D_
[ZLPG].[].[V7]_x000D_
[ZGFCUSTGROUP].[].[DI]_x000D_
[LOCID].[].[2013]_x000D_
[KEY_FIGURES].[].[ZGFNETFORECAST]_x000D_
[MARKETSEGMENT].[].[G144_01_01]_x000D_
[ZLPG].[].[V7]_x000D_
[ZGFCUSTGROUP].[].[DI]_x000D_
[LOCID].[].[2013]_x000D_
[KEY_FIGURES].[].[ZGFAPPROVEDFCSTQTY]_x000D_
[MARKETSEGMENT].[].[G144_01_01]_x000D_
[ZLPG].[].[V7]_x000D_
[ZGFCUSTGROUP].[].[DI]_x000D_
[LOCID].[].[2013]_x000D_
[KEY_FIGURES].[].[ZGFFCSTOVERWRITEMAN]_x000D_
[MARKETSEGMENT].[].[G144_01_01]_x000D_
[ZLPG].[].[V7]_x000D_
[ZGFCUSTGROUP].[].[DI]_x000D_
[LOCID].[].[2013]_x000D_
[KEY_FIGURES].[].[ZGFPREVAPPROVEDFCSTTY]_x000D_
[MARKETSEGMENT].[].[G144_01_01]_x000D_
[ZLPG].[].[V7]_x000D_
[ZGFCUSTGROUP].[].[DI]_x000D_
[LOCID].[].[2013]_x000D_
[KEY_FIGURES].[].[ZGFPROPFACTORDAY]_x000D_
[MARKETSEGMENT].[].[G144_01_01]_x000D_
[ZLPG].[].[V7]_x000D_
[ZGFCUSTGROUP].[].[DI]_x000D_
[LOCID].[].[2013]_x000D_
[KEY_FIGURES].[].[ZGFPROPFACTORDAYACT]_x000D_
[MARKETSEGMENT].[].[G144_01_01]_x000D_
[ZLPG].[].[V7]_x000D_
[ZGFCUSTGROUP].[].[IN]_x000D_
[LOCID].[].[2013]_x000D_
[KEY_FIGURES].[].[ZGFLYINVQTY]_x000D_
[MARKETSEGMENT].[].[G144_01_01]_x000D_
[ZLPG].[].[V7]_x000D_
[ZGFCUSTGROUP].[].[IN]_x000D_
[LOCID].[].[2013]_x000D_
[KEY_FIGURES].[].[ZGFSALESORDQTY]_x000D_
[MARKETSEGMENT].[].[G144_01_01]_x000D_
[ZLPG].[].[V7]_x000D_
[ZGFCUSTGROUP].[].[IN]_x000D_
[LOCID].[].[2013]_x000D_
[KEY_FIGURES].[].[ZGFINVQTY]_x000D_
[MARKETSEGMENT].[].[G144_01_01]_x000D_
[ZLPG].[].[V7]_x000D_
[ZGFCUSTGROUP].[].[IN]_x000D_
[LOCID].[].[2013]_x000D_
[KEY_FIGURES].[].[ZGFACTCORRINVQTY]_x000D_
[MARKETSEGMENT].[].[G144_01_01]_x000D_
[ZLPG].[].[V7]_x000D_
[ZGFCUSTGROUP].[].[IN]_x000D_
[LOCID].[].[2013]_x000D_
[KEY_FIGURES].[].[ZGFADJINVQTYMAN]_x000D_
[MARKETSEGMENT].[].[G144_01_01]_x000D_
[ZLPG].[].[V7]_x000D_
[ZGFCUSTGROUP].[].[IN]_x000D_
[LOCID].[].[2013]_x000D_
[KEY_FIGURES].[].[ZGFADJACTINVQTY]_x000D_
[MARKETSEGMENT].[].[G144_01_01]_x000D_
[ZLPG].[].[V7]_x000D_
[ZGFCUSTGROUP].[].[IN]_x000D_
[LOCID].[].[2013]_x000D_
[KEY_FIGURES].[].[ZGFSTATFCSTQTY]_x000D_
[MARKETSEGMENT].[].[G144_01_01]_x000D_
[ZLPG].[].[V7]_x000D_
[ZGFCUSTGROUP].[].[IN]_x000D_
[LOCID].[].[2013]_x000D_
[KEY_FIGURES].[].[ZGFADJUSTMENTQTY]_x000D_
[MARKETSEGMENT].[].[G144_01_01]_x000D_
[ZLPG].[].[V7]_x000D_
[ZGFCUSTGROUP].[].[IN]_x000D_
[LOCID].[].[2013]_x000D_
[KEY_FIGURES].[].[ZGFADJUSTMENTQTYPCT]_x000D_
[MARKETSEGMENT].[].[G144_01_01]_x000D_
[ZLPG].[].[V7]_x000D_
[ZGFCUSTGROUP].[].[IN]_x000D_
[LOCID].[].[2013]_x000D_
[KEY_FIGURES].[].[ZGFBASELINEADJUSTED]_x000D_
[MARKETSEGMENT].[].[G144_01_01]_x000D_
[ZLPG].[].[V7]_x000D_
[ZGFCUSTGROUP].[].[IN]_x000D_
[LOCID].[].[2013]_x000D_
[KEY_FIGURES].[].[ZGFPROMOINC]_x000D_
[MARKETSEGMENT].[].[G144_01_01]_x000D_
[ZLPG].[].[V7]_x000D_
[ZGFCUSTGROUP].[].[IN]_x000D_
[LOCID].[].[2013]_x000D_
[KEY_FIGURES].[].[ZGFEVENTADJUSTMENTS1]_x000D_
[MARKETSEGMENT].[].[G144_01_01]_x000D_
[ZLPG].[].[V7]_x000D_
[ZGFCUSTGROUP].[].[IN]_x000D_
[LOCID].[].[2013]_x000D_
[KEY_FIGURES].[].[ZGFEVENTADJUSTMENTS2]_x000D_
[MARKETSEGMENT].[].[G144_01_01]_x000D_
[ZLPG].[].[V7]_x000D_
[ZGFCUSTGROUP].[].[IN]_x000D_
[LOCID].[].[2013]_x000D_
[KEY_FIGURES].[].[ZGFNETFORECAST]_x000D_
[MARKETSEGMENT].[].[G144_01_01]_x000D_
[ZLPG].[].[V7]_x000D_
[ZGFCUSTGROUP].[].[IN]_x000D_
[LOCID].[].[2013]_x000D_
[KEY_FIGURES].[].[ZGFAPPROVEDFCSTQTY]_x000D_
[MARKETSEGMENT].[].[G144_01_01]_x000D_
[ZLPG].[].[V7]_x000D_
[ZGFCUSTGROUP].[].[IN]_x000D_
[LOCID].[].[2013]_x000D_
[KEY_FIGURES].[].[ZGFFCSTOVERWRITEMAN]_x000D_
[MARKETSEGMENT].[].[G144_01_01]_x000D_
[ZLPG].[].[V7]_x000D_
[ZGFCUSTGROUP].[].[IN]_x000D_
[LOCID].[].[2013]_x000D_
[KEY_FIGURES].[].[ZGFPREVAPPROVEDFCSTTY]_x000D_
[MARKETSEGMENT].[].[G144_01_01]_x000D_
[ZLPG].[].[V7]_x000D_
[ZGFCUSTGROUP].[].[IN]_x000D_
[LOCID].[].[2013]_x000D_
[KEY_FIGURES].[].[ZGFPROPFACTORDAY]_x000D_
[MARKETSEGMENT].[].[G144_01_01]_x000D_
[ZLPG].[].[V7]_x000D_
[ZGFCUSTGROUP].[].[IN]_x000D_
[LOCID].[].[2013]_x000D_
[KEY_FIGURES].[].[ZGFPROPFACTORDAYACT]_x000D_
[MARKETSEGMENT].[].[G144_01_01]_x000D_
[ZLPG].[].[V7]_x000D_
[ZGFCUSTGROUP].[].[IN]_x000D_
[LOCID].[].[2023]_x000D_
[KEY_FIGURES].[].[ZGFLYINVQTY]_x000D_
[MARKETSEGMENT].[].[G144_01_01]_x000D_
[ZLPG].[].[V7]_x000D_
[ZGFCUSTGROUP].[].[IN]_x000D_
[LOCID].[].[2023]_x000D_
[KEY_FIGURES].[].[ZGFSALESORDQTY]_x000D_
[MARKETSEGMENT].[].[G144_01_01]_x000D_
[ZLPG].[].[V7]_x000D_
[ZGFCUSTGROUP].[].[IN]_x000D_
[LOCID].[].[2023]_x000D_
[KEY_FIGURES].[].[ZGFINVQTY]_x000D_
[MARKETSEGMENT].[].[G144_01_01]_x000D_
[ZLPG].[].[V7]_x000D_
[ZGFCUSTGROUP].[].[IN]_x000D_
[LOCID].[].[2023]_x000D_
[KEY_FIGURES].[].[ZGFACTCORRINVQTY]_x000D_
[MARKETSEGMENT].[].[G144_01_01]_x000D_
[ZLPG].[].[V7]_x000D_
[ZGFCUSTGROUP].[].[IN]_x000D_
[LOCID].[].[2023]_x000D_
[KEY_FIGURES].[].[ZGFADJINVQTYMAN]_x000D_
[MARKETSEGMENT].[].[G144_01_01]_x000D_
[ZLPG].[].[V7]_x000D_
[ZGFCUSTGROUP].[].[IN]_x000D_
[LOCID].[].[2023]_x000D_
[KEY_FIGURES].[].[ZGFADJACTINVQTY]_x000D_
[MARKETSEGMENT].[].[G144_01_01]_x000D_
[ZLPG].[].[V7]_x000D_
[ZGFCUSTGROUP].[].[IN]_x000D_
[LOCID].[].[2023]_x000D_
[KEY_FIGURES].[].[ZGFSTATFCSTQTY]_x000D_
[MARKETSEGMENT].[].[G144_01_01]_x000D_
[ZLPG].[].[V7]_x000D_
[ZGFCUSTGROUP].[].[IN]_x000D_
[LOCID].[].[2023]_x000D_
[KEY_FIGURES].[].[ZGFADJUSTMENTQTY]_x000D_
[MARKETSEGMENT].[].[G144_01_01]_x000D_
[ZLPG].[].[V7]_x000D_
[ZGFCUSTGROUP].[].[IN]_x000D_
[LOCID].[].[2023]_x000D_
[KEY_FIGURES].[].[ZGFADJUSTMENTQTYPCT]_x000D_
[MARKETSEGMENT].[].[G144_01_01]_x000D_
[ZLPG].[].[V7]_x000D_
[ZGFCUSTGROUP].[].[IN]_x000D_
[LOCID].[].[2023]_x000D_
[KEY_FIGURES].[].[ZGFBASELINEADJUSTED]</t>
  </si>
  <si>
    <t>[MARKETSEGMENT].[].[G144_01_01]_x000D_
[ZLPG].[].[V7]_x000D_
[ZGFCUSTGROUP].[].[IN]_x000D_
[LOCID].[].[2023]_x000D_
[KEY_FIGURES].[].[ZGFPROMOINC]_x000D_
[MARKETSEGMENT].[].[G144_01_01]_x000D_
[ZLPG].[].[V7]_x000D_
[ZGFCUSTGROUP].[].[IN]_x000D_
[LOCID].[].[2023]_x000D_
[KEY_FIGURES].[].[ZGFEVENTADJUSTMENTS1]_x000D_
[MARKETSEGMENT].[].[G144_01_01]_x000D_
[ZLPG].[].[V7]_x000D_
[ZGFCUSTGROUP].[].[IN]_x000D_
[LOCID].[].[2023]_x000D_
[KEY_FIGURES].[].[ZGFEVENTADJUSTMENTS2]_x000D_
[MARKETSEGMENT].[].[G144_01_01]_x000D_
[ZLPG].[].[V7]_x000D_
[ZGFCUSTGROUP].[].[IN]_x000D_
[LOCID].[].[2023]_x000D_
[KEY_FIGURES].[].[ZGFNETFORECAST]_x000D_
[MARKETSEGMENT].[].[G144_01_01]_x000D_
[ZLPG].[].[V7]_x000D_
[ZGFCUSTGROUP].[].[IN]_x000D_
[LOCID].[].[2023]_x000D_
[KEY_FIGURES].[].[ZGFAPPROVEDFCSTQTY]_x000D_
[MARKETSEGMENT].[].[G144_01_01]_x000D_
[ZLPG].[].[V7]_x000D_
[ZGFCUSTGROUP].[].[IN]_x000D_
[LOCID].[].[2023]_x000D_
[KEY_FIGURES].[].[ZGFFCSTOVERWRITEMAN]_x000D_
[MARKETSEGMENT].[].[G144_01_01]_x000D_
[ZLPG].[].[V7]_x000D_
[ZGFCUSTGROUP].[].[IN]_x000D_
[LOCID].[].[2023]_x000D_
[KEY_FIGURES].[].[ZGFPREVAPPROVEDFCSTTY]_x000D_
[MARKETSEGMENT].[].[G144_01_01]_x000D_
[ZLPG].[].[V7]_x000D_
[ZGFCUSTGROUP].[].[IN]_x000D_
[LOCID].[].[2023]_x000D_
[KEY_FIGURES].[].[ZGFPROPFACTORDAY]_x000D_
[MARKETSEGMENT].[].[G144_01_01]_x000D_
[ZLPG].[].[V7]_x000D_
[ZGFCUSTGROUP].[].[IN]_x000D_
[LOCID].[].[2023]_x000D_
[KEY_FIGURES].[].[ZGFPROPFACTORDAYACT]_x000D_
[MARKETSEGMENT].[].[G144_01_01]_x000D_
[ZLPG].[].[V7]_x000D_
[ZGFCUSTGROUP].[].[OO]_x000D_
[LOCID].[].[2012]_x000D_
[KEY_FIGURES].[].[ZGFLYINVQTY]_x000D_
[MARKETSEGMENT].[].[G144_01_01]_x000D_
[ZLPG].[].[V7]_x000D_
[ZGFCUSTGROUP].[].[OO]_x000D_
[LOCID].[].[2012]_x000D_
[KEY_FIGURES].[].[ZGFSALESORDQTY]_x000D_
[MARKETSEGMENT].[].[G144_01_01]_x000D_
[ZLPG].[].[V7]_x000D_
[ZGFCUSTGROUP].[].[OO]_x000D_
[LOCID].[].[2012]_x000D_
[KEY_FIGURES].[].[ZGFINVQTY]_x000D_
[MARKETSEGMENT].[].[G144_01_01]_x000D_
[ZLPG].[].[V7]_x000D_
[ZGFCUSTGROUP].[].[OO]_x000D_
[LOCID].[].[2012]_x000D_
[KEY_FIGURES].[].[ZGFACTCORRINVQTY]_x000D_
[MARKETSEGMENT].[].[G144_01_01]_x000D_
[ZLPG].[].[V7]_x000D_
[ZGFCUSTGROUP].[].[OO]_x000D_
[LOCID].[].[2012]_x000D_
[KEY_FIGURES].[].[ZGFADJINVQTYMAN]_x000D_
[MARKETSEGMENT].[].[G144_01_01]_x000D_
[ZLPG].[].[V7]_x000D_
[ZGFCUSTGROUP].[].[OO]_x000D_
[LOCID].[].[2012]_x000D_
[KEY_FIGURES].[].[ZGFADJACTINVQTY]_x000D_
[MARKETSEGMENT].[].[G144_01_01]_x000D_
[ZLPG].[].[V7]_x000D_
[ZGFCUSTGROUP].[].[OO]_x000D_
[LOCID].[].[2012]_x000D_
[KEY_FIGURES].[].[ZGFSTATFCSTQTY]_x000D_
[MARKETSEGMENT].[].[G144_01_01]_x000D_
[ZLPG].[].[V7]_x000D_
[ZGFCUSTGROUP].[].[OO]_x000D_
[LOCID].[].[2012]_x000D_
[KEY_FIGURES].[].[ZGFADJUSTMENTQTY]_x000D_
[MARKETSEGMENT].[].[G144_01_01]_x000D_
[ZLPG].[].[V7]_x000D_
[ZGFCUSTGROUP].[].[OO]_x000D_
[LOCID].[].[2012]_x000D_
[KEY_FIGURES].[].[ZGFADJUSTMENTQTYPCT]_x000D_
[MARKETSEGMENT].[].[G144_01_01]_x000D_
[ZLPG].[].[V7]_x000D_
[ZGFCUSTGROUP].[].[OO]_x000D_
[LOCID].[].[2012]_x000D_
[KEY_FIGURES].[].[ZGFBASELINEADJUSTED]_x000D_
[MARKETSEGMENT].[].[G144_01_01]_x000D_
[ZLPG].[].[V7]_x000D_
[ZGFCUSTGROUP].[].[OO]_x000D_
[LOCID].[].[2012]_x000D_
[KEY_FIGURES].[].[ZGFPROMOINC]_x000D_
[MARKETSEGMENT].[].[G144_01_01]_x000D_
[ZLPG].[].[V7]_x000D_
[ZGFCUSTGROUP].[].[OO]_x000D_
[LOCID].[].[2012]_x000D_
[KEY_FIGURES].[].[ZGFEVENTADJUSTMENTS1]_x000D_
[MARKETSEGMENT].[].[G144_01_01]_x000D_
[ZLPG].[].[V7]_x000D_
[ZGFCUSTGROUP].[].[OO]_x000D_
[LOCID].[].[2012]_x000D_
[KEY_FIGURES].[].[ZGFEVENTADJUSTMENTS2]_x000D_
[MARKETSEGMENT].[].[G144_01_01]_x000D_
[ZLPG].[].[V7]_x000D_
[ZGFCUSTGROUP].[].[OO]_x000D_
[LOCID].[].[2012]_x000D_
[KEY_FIGURES].[].[ZGFNETFORECAST]_x000D_
[MARKETSEGMENT].[].[G144_01_01]_x000D_
[ZLPG].[].[V7]_x000D_
[ZGFCUSTGROUP].[].[OO]_x000D_
[LOCID].[].[2012]_x000D_
[KEY_FIGURES].[].[ZGFAPPROVEDFCSTQTY]_x000D_
[MARKETSEGMENT].[].[G144_01_01]_x000D_
[ZLPG].[].[V7]_x000D_
[ZGFCUSTGROUP].[].[OO]_x000D_
[LOCID].[].[2012]_x000D_
[KEY_FIGURES].[].[ZGFFCSTOVERWRITEMAN]_x000D_
[MARKETSEGMENT].[].[G144_01_01]_x000D_
[ZLPG].[].[V7]_x000D_
[ZGFCUSTGROUP].[].[OO]_x000D_
[LOCID].[].[2012]_x000D_
[KEY_FIGURES].[].[ZGFPREVAPPROVEDFCSTTY]_x000D_
[MARKETSEGMENT].[].[G144_01_01]_x000D_
[ZLPG].[].[V7]_x000D_
[ZGFCUSTGROUP].[].[OO]_x000D_
[LOCID].[].[2012]_x000D_
[KEY_FIGURES].[].[ZGFPROPFACTORDAY]_x000D_
[MARKETSEGMENT].[].[G144_01_01]_x000D_
[ZLPG].[].[V7]_x000D_
[ZGFCUSTGROUP].[].[OO]_x000D_
[LOCID].[].[2012]_x000D_
[KEY_FIGURES].[].[ZGFPROPFACTORDAYACT]_x000D_
[MARKETSEGMENT].[].[G144_01_01]_x000D_
[ZLPG].[].[V7]_x000D_
[ZGFCUSTGROUP].[].[OO]_x000D_
[LOCID].[].[2023]_x000D_
[KEY_FIGURES].[].[ZGFLYINVQTY]_x000D_
[MARKETSEGMENT].[].[G144_01_01]_x000D_
[ZLPG].[].[V7]_x000D_
[ZGFCUSTGROUP].[].[OO]_x000D_
[LOCID].[].[2023]_x000D_
[KEY_FIGURES].[].[ZGFSALESORDQTY]_x000D_
[MARKETSEGMENT].[].[G144_01_01]_x000D_
[ZLPG].[].[V7]_x000D_
[ZGFCUSTGROUP].[].[OO]_x000D_
[LOCID].[].[2023]_x000D_
[KEY_FIGURES].[].[ZGFINVQTY]_x000D_
[MARKETSEGMENT].[].[G144_01_01]_x000D_
[ZLPG].[].[V7]_x000D_
[ZGFCUSTGROUP].[].[OO]_x000D_
[LOCID].[].[2023]_x000D_
[KEY_FIGURES].[].[ZGFACTCORRINVQTY]_x000D_
[MARKETSEGMENT].[].[G144_01_01]_x000D_
[ZLPG].[].[V7]_x000D_
[ZGFCUSTGROUP].[].[OO]_x000D_
[LOCID].[].[2023]_x000D_
[KEY_FIGURES].[].[ZGFADJINVQTYMAN]_x000D_
[MARKETSEGMENT].[].[G144_01_01]_x000D_
[ZLPG].[].[V7]_x000D_
[ZGFCUSTGROUP].[].[OO]_x000D_
[LOCID].[].[2023]_x000D_
[KEY_FIGURES].[].[ZGFADJACTINVQTY]_x000D_
[MARKETSEGMENT].[].[G144_01_01]_x000D_
[ZLPG].[].[V7]_x000D_
[ZGFCUSTGROUP].[].[OO]_x000D_
[LOCID].[].[2023]_x000D_
[KEY_FIGURES].[].[ZGFSTATFCSTQTY]_x000D_
[MARKETSEGMENT].[].[G144_01_01]_x000D_
[ZLPG].[].[V7]_x000D_
[ZGFCUSTGROUP].[].[OO]_x000D_
[LOCID].[].[2023]_x000D_
[KEY_FIGURES].[].[ZGFADJUSTMENTQTY]_x000D_
[MARKETSEGMENT].[].[G144_01_01]_x000D_
[ZLPG].[].[V7]_x000D_
[ZGFCUSTGROUP].[].[OO]_x000D_
[LOCID].[].[2023]_x000D_
[KEY_FIGURES].[].[ZGFADJUSTMENTQTYPCT]_x000D_
[MARKETSEGMENT].[].[G144_01_01]_x000D_
[ZLPG].[].[V7]_x000D_
[ZGFCUSTGROUP].[].[OO]_x000D_
[LOCID].[].[2023]_x000D_
[KEY_FIGURES].[].[ZGFBASELINEADJUSTED]_x000D_
[MARKETSEGMENT].[].[G144_01_01]_x000D_
[ZLPG].[].[V7]_x000D_
[ZGFCUSTGROUP].[].[OO]_x000D_
[LOCID].[].[2023]_x000D_
[KEY_FIGURES].[].[ZGFPROMOINC]_x000D_
[MARKETSEGMENT].[].[G144_01_01]_x000D_
[ZLPG].[].[V7]_x000D_
[ZGFCUSTGROUP].[].[OO]_x000D_
[LOCID].[].[2023]_x000D_
[KEY_FIGURES].[].[ZGFEVENTADJUSTMENTS1]</t>
  </si>
  <si>
    <t>[MARKETSEGMENT].[].[G144_01_01]_x000D_
[ZLPG].[].[V7]_x000D_
[ZGFCUSTGROUP].[].[OO]_x000D_
[LOCID].[].[2023]_x000D_
[KEY_FIGURES].[].[ZGFEVENTADJUSTMENTS2]_x000D_
[MARKETSEGMENT].[].[G144_01_01]_x000D_
[ZLPG].[].[V7]_x000D_
[ZGFCUSTGROUP].[].[OO]_x000D_
[LOCID].[].[2023]_x000D_
[KEY_FIGURES].[].[ZGFNETFORECAST]_x000D_
[MARKETSEGMENT].[].[G144_01_01]_x000D_
[ZLPG].[].[V7]_x000D_
[ZGFCUSTGROUP].[].[OO]_x000D_
[LOCID].[].[2023]_x000D_
[KEY_FIGURES].[].[ZGFAPPROVEDFCSTQTY]_x000D_
[MARKETSEGMENT].[].[G144_01_01]_x000D_
[ZLPG].[].[V7]_x000D_
[ZGFCUSTGROUP].[].[OO]_x000D_
[LOCID].[].[2023]_x000D_
[KEY_FIGURES].[].[ZGFFCSTOVERWRITEMAN]_x000D_
[MARKETSEGMENT].[].[G144_01_01]_x000D_
[ZLPG].[].[V7]_x000D_
[ZGFCUSTGROUP].[].[OO]_x000D_
[LOCID].[].[2023]_x000D_
[KEY_FIGURES].[].[ZGFPREVAPPROVEDFCSTTY]_x000D_
[MARKETSEGMENT].[].[G144_01_01]_x000D_
[ZLPG].[].[V7]_x000D_
[ZGFCUSTGROUP].[].[OO]_x000D_
[LOCID].[].[2023]_x000D_
[KEY_FIGURES].[].[ZGFPROPFACTORDAY]_x000D_
[MARKETSEGMENT].[].[G144_01_01]_x000D_
[ZLPG].[].[V7]_x000D_
[ZGFCUSTGROUP].[].[OO]_x000D_
[LOCID].[].[2023]_x000D_
[KEY_FIGURES].[].[ZGFPROPFACTORDAYACT]</t>
  </si>
  <si>
    <t>18.09.2023</t>
  </si>
  <si>
    <t>25.09.2023</t>
  </si>
  <si>
    <t>02.10.2023</t>
  </si>
  <si>
    <t>09.10.2023</t>
  </si>
  <si>
    <t>16.10.2023</t>
  </si>
  <si>
    <t>23.10.2023</t>
  </si>
  <si>
    <t>30.10.2023</t>
  </si>
  <si>
    <t>06.11.2023</t>
  </si>
  <si>
    <t>13.11.2023</t>
  </si>
  <si>
    <t>20.11.2023</t>
  </si>
  <si>
    <t>27.11.2023</t>
  </si>
  <si>
    <t>04.12.2023</t>
  </si>
  <si>
    <t>11.12.2023</t>
  </si>
  <si>
    <t>18.12.2023</t>
  </si>
  <si>
    <t>25.12.2023</t>
  </si>
  <si>
    <t>01.01.2024</t>
  </si>
  <si>
    <t>08.01.2024</t>
  </si>
  <si>
    <t>15.01.2024</t>
  </si>
  <si>
    <t>22.01.2024</t>
  </si>
  <si>
    <t>29.01.2024</t>
  </si>
  <si>
    <t>05.02.2024</t>
  </si>
  <si>
    <t>12.02.2024</t>
  </si>
  <si>
    <t>19.02.2024</t>
  </si>
  <si>
    <t>26.02.2024</t>
  </si>
  <si>
    <t>04.03.2024</t>
  </si>
  <si>
    <t>11.03.2024</t>
  </si>
  <si>
    <t>18.03.2024</t>
  </si>
  <si>
    <t>25.03.2024</t>
  </si>
  <si>
    <t>01.04.2024</t>
  </si>
  <si>
    <t>08.04.2024</t>
  </si>
  <si>
    <t>15.04.2024</t>
  </si>
  <si>
    <t>22.04.2024</t>
  </si>
  <si>
    <t>29.04.2024</t>
  </si>
  <si>
    <t>06.05.2024</t>
  </si>
  <si>
    <t>13.05.2024</t>
  </si>
  <si>
    <t>20.05.2024</t>
  </si>
  <si>
    <t>27.05.2024</t>
  </si>
  <si>
    <t>03.06.2024</t>
  </si>
  <si>
    <t>10.06.2024</t>
  </si>
  <si>
    <t>17.06.2024</t>
  </si>
  <si>
    <t>24.06.2024</t>
  </si>
  <si>
    <t>01.07.2024</t>
  </si>
  <si>
    <t>08.07.2024</t>
  </si>
  <si>
    <t>15.07.2024</t>
  </si>
  <si>
    <t>22.07.2024</t>
  </si>
  <si>
    <t>29.07.2024</t>
  </si>
  <si>
    <t>05.08.2024</t>
  </si>
  <si>
    <t>12.08.2024</t>
  </si>
  <si>
    <t>19.08.2024</t>
  </si>
  <si>
    <t>26.08.2024</t>
  </si>
  <si>
    <t>02.09.2024</t>
  </si>
  <si>
    <t>09.09.2024</t>
  </si>
  <si>
    <t>16.09.2024</t>
  </si>
  <si>
    <t>23.09.2024</t>
  </si>
  <si>
    <t>30.09.2024</t>
  </si>
  <si>
    <t>07.10.2024</t>
  </si>
  <si>
    <t>14.10.2024</t>
  </si>
  <si>
    <t>21.10.2024</t>
  </si>
  <si>
    <t>28.10.2024</t>
  </si>
  <si>
    <t>04.11.2024</t>
  </si>
  <si>
    <t>11.11.2024</t>
  </si>
  <si>
    <t>18.11.2024</t>
  </si>
  <si>
    <t>25.11.2024</t>
  </si>
  <si>
    <t>02.12.2024</t>
  </si>
  <si>
    <t>09.12.2024</t>
  </si>
  <si>
    <t>16.12.2024</t>
  </si>
  <si>
    <t>23.12.2024</t>
  </si>
  <si>
    <t>30.12.2024</t>
  </si>
  <si>
    <t>06.01.2025</t>
  </si>
  <si>
    <t>13.01.2025</t>
  </si>
  <si>
    <t>20.01.2025</t>
  </si>
  <si>
    <t>27.01.2025</t>
  </si>
  <si>
    <t>03.02.2025</t>
  </si>
  <si>
    <t>10.02.2025</t>
  </si>
  <si>
    <t>17.02.2025</t>
  </si>
  <si>
    <t>24.02.2025</t>
  </si>
  <si>
    <t>03.03.2025</t>
  </si>
  <si>
    <t>10.03.2025</t>
  </si>
  <si>
    <t>17.03.2025</t>
  </si>
  <si>
    <t>24.03.2025</t>
  </si>
  <si>
    <t>31.03.2025</t>
  </si>
  <si>
    <t>07.04.2025</t>
  </si>
  <si>
    <t>14.04.2025</t>
  </si>
  <si>
    <t>21.04.2025</t>
  </si>
  <si>
    <t>28.04.2025</t>
  </si>
  <si>
    <t>05.05.2025</t>
  </si>
  <si>
    <t>12.05.2025</t>
  </si>
  <si>
    <t>19.05.2025</t>
  </si>
  <si>
    <t>26.05.2025</t>
  </si>
  <si>
    <t>02.06.2025</t>
  </si>
  <si>
    <t>09.06.2025</t>
  </si>
  <si>
    <t>16.06.2025</t>
  </si>
  <si>
    <t>23.06.2025</t>
  </si>
  <si>
    <t>30.06.2025</t>
  </si>
  <si>
    <t>07.07.2025</t>
  </si>
  <si>
    <t>14.07.2025</t>
  </si>
  <si>
    <t>21.07.2025</t>
  </si>
  <si>
    <t>28.07.2025</t>
  </si>
  <si>
    <t>04.08.2025</t>
  </si>
  <si>
    <t>11.08.2025</t>
  </si>
  <si>
    <t>18.08.2025</t>
  </si>
  <si>
    <t>25.08.2025</t>
  </si>
  <si>
    <t>01.09.2025</t>
  </si>
  <si>
    <t>08.09.2025</t>
  </si>
  <si>
    <t>15.09.2025</t>
  </si>
  <si>
    <t>22.09.2025</t>
  </si>
  <si>
    <t>29.09.2025</t>
  </si>
  <si>
    <t>06.10.2025</t>
  </si>
  <si>
    <t>13.10.2025</t>
  </si>
  <si>
    <t>20.10.2025</t>
  </si>
  <si>
    <t>27.10.2025</t>
  </si>
  <si>
    <t>03.11.2025</t>
  </si>
  <si>
    <t>10.11.2025</t>
  </si>
  <si>
    <t>17.11.2025</t>
  </si>
  <si>
    <t>24.11.2025</t>
  </si>
  <si>
    <t>01.12.2025</t>
  </si>
  <si>
    <t>08.12.2025</t>
  </si>
  <si>
    <t>15.12.2025</t>
  </si>
  <si>
    <t>22.12.2025</t>
  </si>
  <si>
    <t>29.12.2025</t>
  </si>
  <si>
    <t>05.01.2026</t>
  </si>
  <si>
    <t>12.01.2026</t>
  </si>
  <si>
    <t>19.01.2026</t>
  </si>
  <si>
    <t>26.01.2026</t>
  </si>
  <si>
    <t>02.02.2026</t>
  </si>
  <si>
    <t>09.02.2026</t>
  </si>
  <si>
    <t>16.02.2026</t>
  </si>
  <si>
    <t>23.02.2026</t>
  </si>
  <si>
    <t>02.03.2026</t>
  </si>
  <si>
    <t>09.03.2026</t>
  </si>
  <si>
    <t>16.03.2026</t>
  </si>
  <si>
    <t>23.03.2026</t>
  </si>
  <si>
    <t>30.03.2026</t>
  </si>
  <si>
    <t>06.04.2026</t>
  </si>
  <si>
    <t>13.04.2026</t>
  </si>
  <si>
    <t>20.04.2026</t>
  </si>
  <si>
    <t>27.04.2026</t>
  </si>
  <si>
    <t>04.05.2026</t>
  </si>
  <si>
    <t>11.05.2026</t>
  </si>
  <si>
    <t>18.05.2026</t>
  </si>
  <si>
    <t>25.05.2026</t>
  </si>
  <si>
    <t>01.06.2026</t>
  </si>
  <si>
    <t>08.06.2026</t>
  </si>
  <si>
    <t>15.06.2026</t>
  </si>
  <si>
    <t>22.06.2026</t>
  </si>
  <si>
    <t>29.06.2026</t>
  </si>
  <si>
    <t>06.07.2026</t>
  </si>
  <si>
    <t>13.07.2026</t>
  </si>
  <si>
    <t>20.07.2026</t>
  </si>
  <si>
    <t>27.07.2026</t>
  </si>
  <si>
    <t>03.08.2026</t>
  </si>
  <si>
    <t>10.08.2026</t>
  </si>
  <si>
    <t>17.08.2026</t>
  </si>
  <si>
    <t>24.08.2026</t>
  </si>
  <si>
    <t>31.08.2026</t>
  </si>
  <si>
    <t>07.09.2026</t>
  </si>
  <si>
    <t>14.09.2026</t>
  </si>
  <si>
    <t>21.09.2026</t>
  </si>
  <si>
    <t>28.09.2026</t>
  </si>
  <si>
    <t>05.10.2026</t>
  </si>
  <si>
    <t>12.10.2026</t>
  </si>
  <si>
    <t>19.10.2026</t>
  </si>
  <si>
    <t>26.10.2026</t>
  </si>
  <si>
    <t>02.11.2026</t>
  </si>
  <si>
    <t>09.11.2026</t>
  </si>
  <si>
    <t>16.11.2026</t>
  </si>
  <si>
    <t>23.11.2026</t>
  </si>
  <si>
    <t>30.11.2026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</si>
</sst>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11"/>
      <color rgb="FFFFFFFF"/>
      <name val="Arial"/>
      <family val="2"/>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
      <b/>
      <sz val="22"/>
      <name val="Calibri"/>
      <family val="2"/>
      <scheme val="minor"/>
    </font>
    <font>
      <sz val="9"/>
      <name val="Calibri"/>
      <family val="2"/>
      <scheme val="minor"/>
    </font>
    <font>
      <sz val="11"/>
      <color theme="1"/>
      <name val="Calibri"/>
      <family val="2"/>
      <scheme val="minor"/>
    </font>
    <font>
      <b/>
      <sz val="9"/>
      <color indexed="81"/>
      <name val="Tahoma"/>
      <family val="2"/>
    </font>
    <font>
      <sz val="11"/>
      <color rgb="FF000000"/>
      <name val="Calibri"/>
      <family val="2"/>
      <scheme val="minor"/>
    </font>
  </fonts>
  <fills count="19">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
      <patternFill patternType="solid">
        <fgColor theme="6"/>
        <bgColor indexed="64"/>
      </patternFill>
    </fill>
    <fill>
      <patternFill patternType="solid">
        <fgColor theme="0"/>
        <bgColor theme="0"/>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3">
    <xf numFmtId="0" fontId="0" fillId="0" borderId="0"/>
    <xf numFmtId="0" fontId="12" fillId="8" borderId="0" applyNumberFormat="0" applyBorder="0" applyAlignment="0" applyProtection="0"/>
    <xf numFmtId="9" fontId="23" fillId="0" borderId="0" applyFont="0" applyFill="0" applyBorder="0" applyAlignment="0" applyProtection="0"/>
  </cellStyleXfs>
  <cellXfs count="116">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Alignment="1">
      <alignment horizont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0" fillId="0" borderId="0" xfId="0" applyFont="1" applyAlignment="1" applyProtection="1">
      <alignment horizontal="left" vertical="center"/>
      <protection locked="0"/>
    </xf>
    <xf numFmtId="3" fontId="10" fillId="7" borderId="0" xfId="0" applyNumberFormat="1" applyFont="1" applyFill="1" applyAlignment="1" applyProtection="1">
      <alignment horizontal="right" vertical="center"/>
      <protection locked="0"/>
    </xf>
    <xf numFmtId="0" fontId="0" fillId="6" borderId="0" xfId="0" applyFill="1"/>
    <xf numFmtId="0" fontId="9" fillId="10" borderId="0" xfId="0" applyFont="1" applyFill="1"/>
    <xf numFmtId="0" fontId="0" fillId="10" borderId="0" xfId="0" applyFill="1"/>
    <xf numFmtId="3" fontId="10" fillId="9" borderId="0" xfId="0" applyNumberFormat="1" applyFont="1" applyFill="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0" fontId="4" fillId="0" borderId="9" xfId="0" applyFont="1" applyBorder="1" applyAlignment="1">
      <alignment horizontal="left" vertical="center"/>
    </xf>
    <xf numFmtId="0" fontId="13" fillId="0" borderId="0" xfId="0" quotePrefix="1" applyFont="1" applyAlignment="1">
      <alignment horizontal="left" vertical="center"/>
    </xf>
    <xf numFmtId="0" fontId="9" fillId="10" borderId="0" xfId="0" applyFont="1" applyFill="1" applyAlignment="1" applyProtection="1">
      <alignment horizontal="right" vertical="center"/>
      <protection locked="0"/>
    </xf>
    <xf numFmtId="0" fontId="14" fillId="0" borderId="0" xfId="0" applyFont="1" applyAlignment="1">
      <alignment horizontal="center"/>
    </xf>
    <xf numFmtId="3" fontId="15" fillId="9" borderId="0" xfId="0" applyNumberFormat="1" applyFont="1" applyFill="1" applyAlignment="1" applyProtection="1">
      <alignment horizontal="right" vertical="center"/>
      <protection locked="0"/>
    </xf>
    <xf numFmtId="0" fontId="0" fillId="0" borderId="0" xfId="0" applyAlignment="1">
      <alignment horizontal="center"/>
    </xf>
    <xf numFmtId="0" fontId="0" fillId="0" borderId="27" xfId="0" applyBorder="1" applyAlignment="1">
      <alignment horizontal="center"/>
    </xf>
    <xf numFmtId="0" fontId="0" fillId="1" borderId="0" xfId="0" applyFill="1" applyAlignment="1">
      <alignment horizontal="center"/>
    </xf>
    <xf numFmtId="0" fontId="0" fillId="1" borderId="1" xfId="0" applyFill="1" applyBorder="1" applyAlignment="1">
      <alignment horizontal="center"/>
    </xf>
    <xf numFmtId="0" fontId="0" fillId="0" borderId="0" xfId="0" applyAlignment="1" applyProtection="1">
      <alignment horizontal="right" vertical="center"/>
      <protection locked="0"/>
    </xf>
    <xf numFmtId="0" fontId="0" fillId="0" borderId="25" xfId="0" applyBorder="1" applyAlignment="1">
      <alignment horizontal="center"/>
    </xf>
    <xf numFmtId="0" fontId="0" fillId="1" borderId="25" xfId="0" applyFill="1" applyBorder="1" applyAlignment="1">
      <alignment horizontal="center"/>
    </xf>
    <xf numFmtId="0" fontId="0" fillId="0" borderId="0" xfId="0" applyAlignment="1" applyProtection="1">
      <alignment horizontal="left" vertical="center"/>
      <protection locked="0"/>
    </xf>
    <xf numFmtId="0" fontId="17" fillId="0" borderId="0" xfId="0" applyFont="1" applyAlignment="1" applyProtection="1">
      <alignment horizontal="left" vertical="center"/>
      <protection locked="0"/>
    </xf>
    <xf numFmtId="0" fontId="16" fillId="0" borderId="0" xfId="0" applyFont="1" applyAlignment="1" applyProtection="1">
      <alignment horizontal="left" vertical="center"/>
      <protection locked="0"/>
    </xf>
    <xf numFmtId="0" fontId="0" fillId="11" borderId="0" xfId="0" applyFill="1" applyAlignment="1" applyProtection="1">
      <alignment horizontal="lef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16" fillId="0" borderId="0" xfId="0" applyFont="1" applyAlignment="1" applyProtection="1">
      <alignment horizontal="right" vertical="center"/>
      <protection locked="0"/>
    </xf>
    <xf numFmtId="0" fontId="18" fillId="0" borderId="0" xfId="0" quotePrefix="1" applyFont="1" applyAlignment="1">
      <alignment horizontal="left" vertical="center"/>
    </xf>
    <xf numFmtId="0" fontId="18" fillId="0" borderId="0" xfId="0" quotePrefix="1" applyFont="1" applyAlignment="1" applyProtection="1">
      <alignment horizontal="right" vertical="center"/>
      <protection locked="0"/>
    </xf>
    <xf numFmtId="0" fontId="1" fillId="0" borderId="12" xfId="0" applyFont="1" applyBorder="1" applyAlignment="1">
      <alignment horizontal="center"/>
    </xf>
    <xf numFmtId="0" fontId="4" fillId="0" borderId="0" xfId="0" applyFont="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24" xfId="0" applyFont="1" applyBorder="1" applyAlignment="1">
      <alignment horizontal="center"/>
    </xf>
    <xf numFmtId="0" fontId="1" fillId="0" borderId="7" xfId="0" applyFont="1" applyBorder="1" applyAlignment="1" applyProtection="1">
      <alignment horizontal="left" vertical="center"/>
      <protection locked="0"/>
    </xf>
    <xf numFmtId="3" fontId="0" fillId="9" borderId="0" xfId="0" applyNumberFormat="1" applyFill="1" applyAlignment="1" applyProtection="1">
      <alignment horizontal="right" vertical="center"/>
      <protection locked="0"/>
    </xf>
    <xf numFmtId="0" fontId="0" fillId="0" borderId="0" xfId="0" quotePrefix="1" applyAlignment="1">
      <alignment wrapText="1"/>
    </xf>
    <xf numFmtId="0" fontId="0" fillId="0" borderId="0" xfId="0" quotePrefix="1"/>
    <xf numFmtId="0" fontId="15" fillId="17" borderId="0" xfId="0" quotePrefix="1" applyFont="1" applyFill="1" applyAlignment="1">
      <alignment vertical="top"/>
    </xf>
    <xf numFmtId="0" fontId="10" fillId="17" borderId="0" xfId="0" applyFont="1" applyFill="1"/>
    <xf numFmtId="0" fontId="10" fillId="17" borderId="0" xfId="0" applyFont="1" applyFill="1" applyAlignment="1">
      <alignment horizontal="right" vertical="center"/>
    </xf>
    <xf numFmtId="0" fontId="15" fillId="17" borderId="0" xfId="0" applyFont="1" applyFill="1" applyAlignment="1">
      <alignment horizontal="left" vertical="center"/>
    </xf>
    <xf numFmtId="0" fontId="10" fillId="17" borderId="0" xfId="1" applyFont="1" applyFill="1" applyBorder="1" applyAlignment="1"/>
    <xf numFmtId="0" fontId="22" fillId="17" borderId="0" xfId="0" quotePrefix="1" applyFont="1" applyFill="1" applyAlignment="1">
      <alignment vertical="top" wrapText="1"/>
    </xf>
    <xf numFmtId="0" fontId="21" fillId="17" borderId="0" xfId="0" applyFont="1" applyFill="1" applyAlignment="1">
      <alignment horizontal="left" vertical="center"/>
    </xf>
    <xf numFmtId="0" fontId="10" fillId="17" borderId="0" xfId="0" applyFont="1" applyFill="1" applyAlignment="1">
      <alignment horizontal="right" vertical="top" wrapText="1"/>
    </xf>
    <xf numFmtId="0" fontId="15" fillId="17" borderId="0" xfId="0" quotePrefix="1" applyFont="1" applyFill="1" applyAlignment="1">
      <alignment vertical="top" wrapText="1"/>
    </xf>
    <xf numFmtId="0" fontId="1" fillId="9" borderId="7" xfId="0" applyFont="1" applyFill="1" applyBorder="1" applyAlignment="1" applyProtection="1">
      <alignment horizontal="left" vertical="center"/>
      <protection locked="0"/>
    </xf>
    <xf numFmtId="164" fontId="0" fillId="18" borderId="0" xfId="2" applyNumberFormat="1" applyFont="1" applyFill="1" applyBorder="1" applyAlignment="1" applyProtection="1">
      <alignment horizontal="right" vertical="center"/>
      <protection locked="0"/>
    </xf>
    <xf numFmtId="3" fontId="0" fillId="0" borderId="0" xfId="0" applyNumberFormat="1" applyAlignment="1" applyProtection="1">
      <alignment horizontal="right" vertical="center"/>
      <protection locked="0"/>
    </xf>
    <xf numFmtId="0" fontId="1" fillId="0" borderId="36" xfId="0" applyFont="1" applyBorder="1" applyAlignment="1">
      <alignment horizontal="center"/>
    </xf>
    <xf numFmtId="0" fontId="1" fillId="1" borderId="36" xfId="0" applyFont="1" applyFill="1" applyBorder="1" applyAlignment="1">
      <alignment horizontal="center"/>
    </xf>
    <xf numFmtId="0" fontId="0" fillId="1" borderId="36" xfId="0"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5" fillId="0" borderId="0" xfId="0" applyFont="1" applyAlignment="1" applyProtection="1">
      <alignment horizontal="left" vertical="center"/>
      <protection locked="0"/>
    </xf>
    <xf numFmtId="3" fontId="25" fillId="0" borderId="0" xfId="0" applyNumberFormat="1" applyFont="1" applyAlignment="1" applyProtection="1">
      <alignment horizontal="right" vertical="center"/>
      <protection locked="0"/>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1" fillId="0" borderId="8" xfId="0" applyFont="1" applyBorder="1" applyAlignment="1">
      <alignment horizontal="center"/>
    </xf>
    <xf numFmtId="0" fontId="6" fillId="5" borderId="33" xfId="0" applyFont="1" applyFill="1" applyBorder="1" applyAlignment="1" applyProtection="1">
      <alignment horizontal="center" vertical="center"/>
      <protection hidden="1"/>
    </xf>
    <xf numFmtId="0" fontId="0" fillId="6" borderId="0" xfId="0" applyFill="1" applyAlignment="1">
      <alignment horizontal="left" vertical="top" wrapText="1"/>
    </xf>
    <xf numFmtId="0" fontId="21" fillId="17" borderId="0" xfId="0" applyFont="1" applyFill="1" applyAlignment="1">
      <alignment horizontal="left" vertical="center"/>
    </xf>
    <xf numFmtId="0" fontId="10" fillId="17" borderId="0" xfId="0" applyFont="1" applyFill="1" applyAlignment="1">
      <alignment horizontal="right" vertical="top" wrapText="1"/>
    </xf>
    <xf numFmtId="0" fontId="10" fillId="17" borderId="0" xfId="0" applyFont="1" applyFill="1" applyAlignment="1">
      <alignment horizontal="left" vertical="top"/>
    </xf>
  </cellXfs>
  <cellStyles count="3">
    <cellStyle name="Accent6" xfId="1" builtinId="49"/>
    <cellStyle name="Normal" xfId="0" builtinId="0"/>
    <cellStyle name="Percent" xfId="2" builtinId="5"/>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customXml" Target="../customXml/item5.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647670760395146"/>
          <c:h val="0.83800649918760151"/>
        </c:manualLayout>
      </c:layout>
      <c:barChart>
        <c:barDir val="col"/>
        <c:grouping val="clustered"/>
        <c:varyColors val="0"/>
        <c:ser>
          <c:idx val="0"/>
          <c:order val="0"/>
          <c:tx>
            <c:v>Actuals Adjusted (Inv)</c:v>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SapIbpChartFeeder!$C$3:$GU$3</c:f>
              <c:strCache>
                <c:ptCount val="201"/>
                <c:pt idx="0">
                  <c:v>30.01.2023</c:v>
                </c:pt>
                <c:pt idx="1">
                  <c:v>06.02.2023</c:v>
                </c:pt>
                <c:pt idx="2">
                  <c:v>13.02.2023</c:v>
                </c:pt>
                <c:pt idx="3">
                  <c:v>20.02.2023</c:v>
                </c:pt>
                <c:pt idx="4">
                  <c:v>27.02.2023</c:v>
                </c:pt>
                <c:pt idx="5">
                  <c:v>06.03.2023</c:v>
                </c:pt>
                <c:pt idx="6">
                  <c:v>13.03.2023</c:v>
                </c:pt>
                <c:pt idx="7">
                  <c:v>20.03.2023</c:v>
                </c:pt>
                <c:pt idx="8">
                  <c:v>27.03.2023</c:v>
                </c:pt>
                <c:pt idx="9">
                  <c:v>03.04.2023</c:v>
                </c:pt>
                <c:pt idx="10">
                  <c:v>10.04.2023</c:v>
                </c:pt>
                <c:pt idx="11">
                  <c:v>17.04.2023</c:v>
                </c:pt>
                <c:pt idx="12">
                  <c:v>24.04.2023</c:v>
                </c:pt>
                <c:pt idx="13">
                  <c:v>01.05.2023</c:v>
                </c:pt>
                <c:pt idx="14">
                  <c:v>08.05.2023</c:v>
                </c:pt>
                <c:pt idx="15">
                  <c:v>15.05.2023</c:v>
                </c:pt>
                <c:pt idx="16">
                  <c:v>22.05.2023</c:v>
                </c:pt>
                <c:pt idx="17">
                  <c:v>29.05.2023</c:v>
                </c:pt>
                <c:pt idx="18">
                  <c:v>05.06.2023</c:v>
                </c:pt>
                <c:pt idx="19">
                  <c:v>12.06.2023</c:v>
                </c:pt>
                <c:pt idx="20">
                  <c:v>19.06.2023</c:v>
                </c:pt>
                <c:pt idx="21">
                  <c:v>26.06.2023</c:v>
                </c:pt>
                <c:pt idx="22">
                  <c:v>03.07.2023</c:v>
                </c:pt>
                <c:pt idx="23">
                  <c:v>10.07.2023</c:v>
                </c:pt>
                <c:pt idx="24">
                  <c:v>17.07.2023</c:v>
                </c:pt>
                <c:pt idx="25">
                  <c:v>24.07.2023</c:v>
                </c:pt>
                <c:pt idx="26">
                  <c:v>31.07.2023</c:v>
                </c:pt>
                <c:pt idx="27">
                  <c:v>07.08.2023</c:v>
                </c:pt>
                <c:pt idx="28">
                  <c:v>14.08.2023</c:v>
                </c:pt>
                <c:pt idx="29">
                  <c:v>21.08.2023</c:v>
                </c:pt>
                <c:pt idx="30">
                  <c:v>28.08.2023</c:v>
                </c:pt>
                <c:pt idx="31">
                  <c:v>04.09.2023</c:v>
                </c:pt>
                <c:pt idx="32">
                  <c:v>11.09.2023</c:v>
                </c:pt>
                <c:pt idx="33">
                  <c:v>18.09.2023</c:v>
                </c:pt>
                <c:pt idx="34">
                  <c:v>25.09.2023</c:v>
                </c:pt>
                <c:pt idx="35">
                  <c:v>02.10.2023</c:v>
                </c:pt>
                <c:pt idx="36">
                  <c:v>09.10.2023</c:v>
                </c:pt>
                <c:pt idx="37">
                  <c:v>16.10.2023</c:v>
                </c:pt>
                <c:pt idx="38">
                  <c:v>23.10.2023</c:v>
                </c:pt>
                <c:pt idx="39">
                  <c:v>30.10.2023</c:v>
                </c:pt>
                <c:pt idx="40">
                  <c:v>06.11.2023</c:v>
                </c:pt>
                <c:pt idx="41">
                  <c:v>13.11.2023</c:v>
                </c:pt>
                <c:pt idx="42">
                  <c:v>20.11.2023</c:v>
                </c:pt>
                <c:pt idx="43">
                  <c:v>27.11.2023</c:v>
                </c:pt>
                <c:pt idx="44">
                  <c:v>04.12.2023</c:v>
                </c:pt>
                <c:pt idx="45">
                  <c:v>11.12.2023</c:v>
                </c:pt>
                <c:pt idx="46">
                  <c:v>18.12.2023</c:v>
                </c:pt>
                <c:pt idx="47">
                  <c:v>25.12.2023</c:v>
                </c:pt>
                <c:pt idx="48">
                  <c:v>01.01.2024</c:v>
                </c:pt>
                <c:pt idx="49">
                  <c:v>08.01.2024</c:v>
                </c:pt>
                <c:pt idx="50">
                  <c:v>15.01.2024</c:v>
                </c:pt>
                <c:pt idx="51">
                  <c:v>22.01.2024</c:v>
                </c:pt>
                <c:pt idx="52">
                  <c:v>29.01.2024</c:v>
                </c:pt>
                <c:pt idx="53">
                  <c:v>05.02.2024</c:v>
                </c:pt>
                <c:pt idx="54">
                  <c:v>12.02.2024</c:v>
                </c:pt>
                <c:pt idx="55">
                  <c:v>19.02.2024</c:v>
                </c:pt>
                <c:pt idx="56">
                  <c:v>26.02.2024</c:v>
                </c:pt>
                <c:pt idx="57">
                  <c:v>04.03.2024</c:v>
                </c:pt>
                <c:pt idx="58">
                  <c:v>11.03.2024</c:v>
                </c:pt>
                <c:pt idx="59">
                  <c:v>18.03.2024</c:v>
                </c:pt>
                <c:pt idx="60">
                  <c:v>25.03.2024</c:v>
                </c:pt>
                <c:pt idx="61">
                  <c:v>01.04.2024</c:v>
                </c:pt>
                <c:pt idx="62">
                  <c:v>08.04.2024</c:v>
                </c:pt>
                <c:pt idx="63">
                  <c:v>15.04.2024</c:v>
                </c:pt>
                <c:pt idx="64">
                  <c:v>22.04.2024</c:v>
                </c:pt>
                <c:pt idx="65">
                  <c:v>29.04.2024</c:v>
                </c:pt>
                <c:pt idx="66">
                  <c:v>06.05.2024</c:v>
                </c:pt>
                <c:pt idx="67">
                  <c:v>13.05.2024</c:v>
                </c:pt>
                <c:pt idx="68">
                  <c:v>20.05.2024</c:v>
                </c:pt>
                <c:pt idx="69">
                  <c:v>27.05.2024</c:v>
                </c:pt>
                <c:pt idx="70">
                  <c:v>03.06.2024</c:v>
                </c:pt>
                <c:pt idx="71">
                  <c:v>10.06.2024</c:v>
                </c:pt>
                <c:pt idx="72">
                  <c:v>17.06.2024</c:v>
                </c:pt>
                <c:pt idx="73">
                  <c:v>24.06.2024</c:v>
                </c:pt>
                <c:pt idx="74">
                  <c:v>01.07.2024</c:v>
                </c:pt>
                <c:pt idx="75">
                  <c:v>08.07.2024</c:v>
                </c:pt>
                <c:pt idx="76">
                  <c:v>15.07.2024</c:v>
                </c:pt>
                <c:pt idx="77">
                  <c:v>22.07.2024</c:v>
                </c:pt>
                <c:pt idx="78">
                  <c:v>29.07.2024</c:v>
                </c:pt>
                <c:pt idx="79">
                  <c:v>05.08.2024</c:v>
                </c:pt>
                <c:pt idx="80">
                  <c:v>12.08.2024</c:v>
                </c:pt>
                <c:pt idx="81">
                  <c:v>19.08.2024</c:v>
                </c:pt>
                <c:pt idx="82">
                  <c:v>26.08.2024</c:v>
                </c:pt>
                <c:pt idx="83">
                  <c:v>02.09.2024</c:v>
                </c:pt>
                <c:pt idx="84">
                  <c:v>09.09.2024</c:v>
                </c:pt>
                <c:pt idx="85">
                  <c:v>16.09.2024</c:v>
                </c:pt>
                <c:pt idx="86">
                  <c:v>23.09.2024</c:v>
                </c:pt>
                <c:pt idx="87">
                  <c:v>30.09.2024</c:v>
                </c:pt>
                <c:pt idx="88">
                  <c:v>07.10.2024</c:v>
                </c:pt>
                <c:pt idx="89">
                  <c:v>14.10.2024</c:v>
                </c:pt>
                <c:pt idx="90">
                  <c:v>21.10.2024</c:v>
                </c:pt>
                <c:pt idx="91">
                  <c:v>28.10.2024</c:v>
                </c:pt>
                <c:pt idx="92">
                  <c:v>04.11.2024</c:v>
                </c:pt>
                <c:pt idx="93">
                  <c:v>11.11.2024</c:v>
                </c:pt>
                <c:pt idx="94">
                  <c:v>18.11.2024</c:v>
                </c:pt>
                <c:pt idx="95">
                  <c:v>25.11.2024</c:v>
                </c:pt>
                <c:pt idx="96">
                  <c:v>02.12.2024</c:v>
                </c:pt>
                <c:pt idx="97">
                  <c:v>09.12.2024</c:v>
                </c:pt>
                <c:pt idx="98">
                  <c:v>16.12.2024</c:v>
                </c:pt>
                <c:pt idx="99">
                  <c:v>23.12.2024</c:v>
                </c:pt>
                <c:pt idx="100">
                  <c:v>30.12.2024</c:v>
                </c:pt>
                <c:pt idx="101">
                  <c:v>06.01.2025</c:v>
                </c:pt>
                <c:pt idx="102">
                  <c:v>13.01.2025</c:v>
                </c:pt>
                <c:pt idx="103">
                  <c:v>20.01.2025</c:v>
                </c:pt>
                <c:pt idx="104">
                  <c:v>27.01.2025</c:v>
                </c:pt>
                <c:pt idx="105">
                  <c:v>03.02.2025</c:v>
                </c:pt>
                <c:pt idx="106">
                  <c:v>10.02.2025</c:v>
                </c:pt>
                <c:pt idx="107">
                  <c:v>17.02.2025</c:v>
                </c:pt>
                <c:pt idx="108">
                  <c:v>24.02.2025</c:v>
                </c:pt>
                <c:pt idx="109">
                  <c:v>03.03.2025</c:v>
                </c:pt>
                <c:pt idx="110">
                  <c:v>10.03.2025</c:v>
                </c:pt>
                <c:pt idx="111">
                  <c:v>17.03.2025</c:v>
                </c:pt>
                <c:pt idx="112">
                  <c:v>24.03.2025</c:v>
                </c:pt>
                <c:pt idx="113">
                  <c:v>31.03.2025</c:v>
                </c:pt>
                <c:pt idx="114">
                  <c:v>07.04.2025</c:v>
                </c:pt>
                <c:pt idx="115">
                  <c:v>14.04.2025</c:v>
                </c:pt>
                <c:pt idx="116">
                  <c:v>21.04.2025</c:v>
                </c:pt>
                <c:pt idx="117">
                  <c:v>28.04.2025</c:v>
                </c:pt>
                <c:pt idx="118">
                  <c:v>05.05.2025</c:v>
                </c:pt>
                <c:pt idx="119">
                  <c:v>12.05.2025</c:v>
                </c:pt>
                <c:pt idx="120">
                  <c:v>19.05.2025</c:v>
                </c:pt>
                <c:pt idx="121">
                  <c:v>26.05.2025</c:v>
                </c:pt>
                <c:pt idx="122">
                  <c:v>02.06.2025</c:v>
                </c:pt>
                <c:pt idx="123">
                  <c:v>09.06.2025</c:v>
                </c:pt>
                <c:pt idx="124">
                  <c:v>16.06.2025</c:v>
                </c:pt>
                <c:pt idx="125">
                  <c:v>23.06.2025</c:v>
                </c:pt>
                <c:pt idx="126">
                  <c:v>30.06.2025</c:v>
                </c:pt>
                <c:pt idx="127">
                  <c:v>07.07.2025</c:v>
                </c:pt>
                <c:pt idx="128">
                  <c:v>14.07.2025</c:v>
                </c:pt>
                <c:pt idx="129">
                  <c:v>21.07.2025</c:v>
                </c:pt>
                <c:pt idx="130">
                  <c:v>28.07.2025</c:v>
                </c:pt>
                <c:pt idx="131">
                  <c:v>04.08.2025</c:v>
                </c:pt>
                <c:pt idx="132">
                  <c:v>11.08.2025</c:v>
                </c:pt>
                <c:pt idx="133">
                  <c:v>18.08.2025</c:v>
                </c:pt>
                <c:pt idx="134">
                  <c:v>25.08.2025</c:v>
                </c:pt>
                <c:pt idx="135">
                  <c:v>01.09.2025</c:v>
                </c:pt>
                <c:pt idx="136">
                  <c:v>08.09.2025</c:v>
                </c:pt>
                <c:pt idx="137">
                  <c:v>15.09.2025</c:v>
                </c:pt>
                <c:pt idx="138">
                  <c:v>22.09.2025</c:v>
                </c:pt>
                <c:pt idx="139">
                  <c:v>29.09.2025</c:v>
                </c:pt>
                <c:pt idx="140">
                  <c:v>06.10.2025</c:v>
                </c:pt>
                <c:pt idx="141">
                  <c:v>13.10.2025</c:v>
                </c:pt>
                <c:pt idx="142">
                  <c:v>20.10.2025</c:v>
                </c:pt>
                <c:pt idx="143">
                  <c:v>27.10.2025</c:v>
                </c:pt>
                <c:pt idx="144">
                  <c:v>03.11.2025</c:v>
                </c:pt>
                <c:pt idx="145">
                  <c:v>10.11.2025</c:v>
                </c:pt>
                <c:pt idx="146">
                  <c:v>17.11.2025</c:v>
                </c:pt>
                <c:pt idx="147">
                  <c:v>24.11.2025</c:v>
                </c:pt>
                <c:pt idx="148">
                  <c:v>01.12.2025</c:v>
                </c:pt>
                <c:pt idx="149">
                  <c:v>08.12.2025</c:v>
                </c:pt>
                <c:pt idx="150">
                  <c:v>15.12.2025</c:v>
                </c:pt>
                <c:pt idx="151">
                  <c:v>22.12.2025</c:v>
                </c:pt>
                <c:pt idx="152">
                  <c:v>29.12.2025</c:v>
                </c:pt>
                <c:pt idx="153">
                  <c:v>05.01.2026</c:v>
                </c:pt>
                <c:pt idx="154">
                  <c:v>12.01.2026</c:v>
                </c:pt>
                <c:pt idx="155">
                  <c:v>19.01.2026</c:v>
                </c:pt>
                <c:pt idx="156">
                  <c:v>26.01.2026</c:v>
                </c:pt>
                <c:pt idx="157">
                  <c:v>02.02.2026</c:v>
                </c:pt>
                <c:pt idx="158">
                  <c:v>09.02.2026</c:v>
                </c:pt>
                <c:pt idx="159">
                  <c:v>16.02.2026</c:v>
                </c:pt>
                <c:pt idx="160">
                  <c:v>23.02.2026</c:v>
                </c:pt>
                <c:pt idx="161">
                  <c:v>02.03.2026</c:v>
                </c:pt>
                <c:pt idx="162">
                  <c:v>09.03.2026</c:v>
                </c:pt>
                <c:pt idx="163">
                  <c:v>16.03.2026</c:v>
                </c:pt>
                <c:pt idx="164">
                  <c:v>23.03.2026</c:v>
                </c:pt>
                <c:pt idx="165">
                  <c:v>30.03.2026</c:v>
                </c:pt>
                <c:pt idx="166">
                  <c:v>06.04.2026</c:v>
                </c:pt>
                <c:pt idx="167">
                  <c:v>13.04.2026</c:v>
                </c:pt>
                <c:pt idx="168">
                  <c:v>20.04.2026</c:v>
                </c:pt>
                <c:pt idx="169">
                  <c:v>27.04.2026</c:v>
                </c:pt>
                <c:pt idx="170">
                  <c:v>04.05.2026</c:v>
                </c:pt>
                <c:pt idx="171">
                  <c:v>11.05.2026</c:v>
                </c:pt>
                <c:pt idx="172">
                  <c:v>18.05.2026</c:v>
                </c:pt>
                <c:pt idx="173">
                  <c:v>25.05.2026</c:v>
                </c:pt>
                <c:pt idx="174">
                  <c:v>01.06.2026</c:v>
                </c:pt>
                <c:pt idx="175">
                  <c:v>08.06.2026</c:v>
                </c:pt>
                <c:pt idx="176">
                  <c:v>15.06.2026</c:v>
                </c:pt>
                <c:pt idx="177">
                  <c:v>22.06.2026</c:v>
                </c:pt>
                <c:pt idx="178">
                  <c:v>29.06.2026</c:v>
                </c:pt>
                <c:pt idx="179">
                  <c:v>06.07.2026</c:v>
                </c:pt>
                <c:pt idx="180">
                  <c:v>13.07.2026</c:v>
                </c:pt>
                <c:pt idx="181">
                  <c:v>20.07.2026</c:v>
                </c:pt>
                <c:pt idx="182">
                  <c:v>27.07.2026</c:v>
                </c:pt>
                <c:pt idx="183">
                  <c:v>03.08.2026</c:v>
                </c:pt>
                <c:pt idx="184">
                  <c:v>10.08.2026</c:v>
                </c:pt>
                <c:pt idx="185">
                  <c:v>17.08.2026</c:v>
                </c:pt>
                <c:pt idx="186">
                  <c:v>24.08.2026</c:v>
                </c:pt>
                <c:pt idx="187">
                  <c:v>31.08.2026</c:v>
                </c:pt>
                <c:pt idx="188">
                  <c:v>07.09.2026</c:v>
                </c:pt>
                <c:pt idx="189">
                  <c:v>14.09.2026</c:v>
                </c:pt>
                <c:pt idx="190">
                  <c:v>21.09.2026</c:v>
                </c:pt>
                <c:pt idx="191">
                  <c:v>28.09.2026</c:v>
                </c:pt>
                <c:pt idx="192">
                  <c:v>05.10.2026</c:v>
                </c:pt>
                <c:pt idx="193">
                  <c:v>12.10.2026</c:v>
                </c:pt>
                <c:pt idx="194">
                  <c:v>19.10.2026</c:v>
                </c:pt>
                <c:pt idx="195">
                  <c:v>26.10.2026</c:v>
                </c:pt>
                <c:pt idx="196">
                  <c:v>02.11.2026</c:v>
                </c:pt>
                <c:pt idx="197">
                  <c:v>09.11.2026</c:v>
                </c:pt>
                <c:pt idx="198">
                  <c:v>16.11.2026</c:v>
                </c:pt>
                <c:pt idx="199">
                  <c:v>23.11.2026</c:v>
                </c:pt>
                <c:pt idx="200">
                  <c:v>30.11.2026</c:v>
                </c:pt>
              </c:strCache>
            </c:strRef>
          </c:cat>
          <c:val>
            <c:numRef>
              <c:f>SapIbpChartFeeder!$C$4:$GU$4</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E05-4D36-B083-579CDC86F057}"/>
            </c:ext>
          </c:extLst>
        </c:ser>
        <c:ser>
          <c:idx val="1"/>
          <c:order val="1"/>
          <c:tx>
            <c:v>Invoice Quantity</c:v>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SapIbpChartFeeder!$C$3:$GU$3</c:f>
              <c:strCache>
                <c:ptCount val="201"/>
                <c:pt idx="0">
                  <c:v>30.01.2023</c:v>
                </c:pt>
                <c:pt idx="1">
                  <c:v>06.02.2023</c:v>
                </c:pt>
                <c:pt idx="2">
                  <c:v>13.02.2023</c:v>
                </c:pt>
                <c:pt idx="3">
                  <c:v>20.02.2023</c:v>
                </c:pt>
                <c:pt idx="4">
                  <c:v>27.02.2023</c:v>
                </c:pt>
                <c:pt idx="5">
                  <c:v>06.03.2023</c:v>
                </c:pt>
                <c:pt idx="6">
                  <c:v>13.03.2023</c:v>
                </c:pt>
                <c:pt idx="7">
                  <c:v>20.03.2023</c:v>
                </c:pt>
                <c:pt idx="8">
                  <c:v>27.03.2023</c:v>
                </c:pt>
                <c:pt idx="9">
                  <c:v>03.04.2023</c:v>
                </c:pt>
                <c:pt idx="10">
                  <c:v>10.04.2023</c:v>
                </c:pt>
                <c:pt idx="11">
                  <c:v>17.04.2023</c:v>
                </c:pt>
                <c:pt idx="12">
                  <c:v>24.04.2023</c:v>
                </c:pt>
                <c:pt idx="13">
                  <c:v>01.05.2023</c:v>
                </c:pt>
                <c:pt idx="14">
                  <c:v>08.05.2023</c:v>
                </c:pt>
                <c:pt idx="15">
                  <c:v>15.05.2023</c:v>
                </c:pt>
                <c:pt idx="16">
                  <c:v>22.05.2023</c:v>
                </c:pt>
                <c:pt idx="17">
                  <c:v>29.05.2023</c:v>
                </c:pt>
                <c:pt idx="18">
                  <c:v>05.06.2023</c:v>
                </c:pt>
                <c:pt idx="19">
                  <c:v>12.06.2023</c:v>
                </c:pt>
                <c:pt idx="20">
                  <c:v>19.06.2023</c:v>
                </c:pt>
                <c:pt idx="21">
                  <c:v>26.06.2023</c:v>
                </c:pt>
                <c:pt idx="22">
                  <c:v>03.07.2023</c:v>
                </c:pt>
                <c:pt idx="23">
                  <c:v>10.07.2023</c:v>
                </c:pt>
                <c:pt idx="24">
                  <c:v>17.07.2023</c:v>
                </c:pt>
                <c:pt idx="25">
                  <c:v>24.07.2023</c:v>
                </c:pt>
                <c:pt idx="26">
                  <c:v>31.07.2023</c:v>
                </c:pt>
                <c:pt idx="27">
                  <c:v>07.08.2023</c:v>
                </c:pt>
                <c:pt idx="28">
                  <c:v>14.08.2023</c:v>
                </c:pt>
                <c:pt idx="29">
                  <c:v>21.08.2023</c:v>
                </c:pt>
                <c:pt idx="30">
                  <c:v>28.08.2023</c:v>
                </c:pt>
                <c:pt idx="31">
                  <c:v>04.09.2023</c:v>
                </c:pt>
                <c:pt idx="32">
                  <c:v>11.09.2023</c:v>
                </c:pt>
                <c:pt idx="33">
                  <c:v>18.09.2023</c:v>
                </c:pt>
                <c:pt idx="34">
                  <c:v>25.09.2023</c:v>
                </c:pt>
                <c:pt idx="35">
                  <c:v>02.10.2023</c:v>
                </c:pt>
                <c:pt idx="36">
                  <c:v>09.10.2023</c:v>
                </c:pt>
                <c:pt idx="37">
                  <c:v>16.10.2023</c:v>
                </c:pt>
                <c:pt idx="38">
                  <c:v>23.10.2023</c:v>
                </c:pt>
                <c:pt idx="39">
                  <c:v>30.10.2023</c:v>
                </c:pt>
                <c:pt idx="40">
                  <c:v>06.11.2023</c:v>
                </c:pt>
                <c:pt idx="41">
                  <c:v>13.11.2023</c:v>
                </c:pt>
                <c:pt idx="42">
                  <c:v>20.11.2023</c:v>
                </c:pt>
                <c:pt idx="43">
                  <c:v>27.11.2023</c:v>
                </c:pt>
                <c:pt idx="44">
                  <c:v>04.12.2023</c:v>
                </c:pt>
                <c:pt idx="45">
                  <c:v>11.12.2023</c:v>
                </c:pt>
                <c:pt idx="46">
                  <c:v>18.12.2023</c:v>
                </c:pt>
                <c:pt idx="47">
                  <c:v>25.12.2023</c:v>
                </c:pt>
                <c:pt idx="48">
                  <c:v>01.01.2024</c:v>
                </c:pt>
                <c:pt idx="49">
                  <c:v>08.01.2024</c:v>
                </c:pt>
                <c:pt idx="50">
                  <c:v>15.01.2024</c:v>
                </c:pt>
                <c:pt idx="51">
                  <c:v>22.01.2024</c:v>
                </c:pt>
                <c:pt idx="52">
                  <c:v>29.01.2024</c:v>
                </c:pt>
                <c:pt idx="53">
                  <c:v>05.02.2024</c:v>
                </c:pt>
                <c:pt idx="54">
                  <c:v>12.02.2024</c:v>
                </c:pt>
                <c:pt idx="55">
                  <c:v>19.02.2024</c:v>
                </c:pt>
                <c:pt idx="56">
                  <c:v>26.02.2024</c:v>
                </c:pt>
                <c:pt idx="57">
                  <c:v>04.03.2024</c:v>
                </c:pt>
                <c:pt idx="58">
                  <c:v>11.03.2024</c:v>
                </c:pt>
                <c:pt idx="59">
                  <c:v>18.03.2024</c:v>
                </c:pt>
                <c:pt idx="60">
                  <c:v>25.03.2024</c:v>
                </c:pt>
                <c:pt idx="61">
                  <c:v>01.04.2024</c:v>
                </c:pt>
                <c:pt idx="62">
                  <c:v>08.04.2024</c:v>
                </c:pt>
                <c:pt idx="63">
                  <c:v>15.04.2024</c:v>
                </c:pt>
                <c:pt idx="64">
                  <c:v>22.04.2024</c:v>
                </c:pt>
                <c:pt idx="65">
                  <c:v>29.04.2024</c:v>
                </c:pt>
                <c:pt idx="66">
                  <c:v>06.05.2024</c:v>
                </c:pt>
                <c:pt idx="67">
                  <c:v>13.05.2024</c:v>
                </c:pt>
                <c:pt idx="68">
                  <c:v>20.05.2024</c:v>
                </c:pt>
                <c:pt idx="69">
                  <c:v>27.05.2024</c:v>
                </c:pt>
                <c:pt idx="70">
                  <c:v>03.06.2024</c:v>
                </c:pt>
                <c:pt idx="71">
                  <c:v>10.06.2024</c:v>
                </c:pt>
                <c:pt idx="72">
                  <c:v>17.06.2024</c:v>
                </c:pt>
                <c:pt idx="73">
                  <c:v>24.06.2024</c:v>
                </c:pt>
                <c:pt idx="74">
                  <c:v>01.07.2024</c:v>
                </c:pt>
                <c:pt idx="75">
                  <c:v>08.07.2024</c:v>
                </c:pt>
                <c:pt idx="76">
                  <c:v>15.07.2024</c:v>
                </c:pt>
                <c:pt idx="77">
                  <c:v>22.07.2024</c:v>
                </c:pt>
                <c:pt idx="78">
                  <c:v>29.07.2024</c:v>
                </c:pt>
                <c:pt idx="79">
                  <c:v>05.08.2024</c:v>
                </c:pt>
                <c:pt idx="80">
                  <c:v>12.08.2024</c:v>
                </c:pt>
                <c:pt idx="81">
                  <c:v>19.08.2024</c:v>
                </c:pt>
                <c:pt idx="82">
                  <c:v>26.08.2024</c:v>
                </c:pt>
                <c:pt idx="83">
                  <c:v>02.09.2024</c:v>
                </c:pt>
                <c:pt idx="84">
                  <c:v>09.09.2024</c:v>
                </c:pt>
                <c:pt idx="85">
                  <c:v>16.09.2024</c:v>
                </c:pt>
                <c:pt idx="86">
                  <c:v>23.09.2024</c:v>
                </c:pt>
                <c:pt idx="87">
                  <c:v>30.09.2024</c:v>
                </c:pt>
                <c:pt idx="88">
                  <c:v>07.10.2024</c:v>
                </c:pt>
                <c:pt idx="89">
                  <c:v>14.10.2024</c:v>
                </c:pt>
                <c:pt idx="90">
                  <c:v>21.10.2024</c:v>
                </c:pt>
                <c:pt idx="91">
                  <c:v>28.10.2024</c:v>
                </c:pt>
                <c:pt idx="92">
                  <c:v>04.11.2024</c:v>
                </c:pt>
                <c:pt idx="93">
                  <c:v>11.11.2024</c:v>
                </c:pt>
                <c:pt idx="94">
                  <c:v>18.11.2024</c:v>
                </c:pt>
                <c:pt idx="95">
                  <c:v>25.11.2024</c:v>
                </c:pt>
                <c:pt idx="96">
                  <c:v>02.12.2024</c:v>
                </c:pt>
                <c:pt idx="97">
                  <c:v>09.12.2024</c:v>
                </c:pt>
                <c:pt idx="98">
                  <c:v>16.12.2024</c:v>
                </c:pt>
                <c:pt idx="99">
                  <c:v>23.12.2024</c:v>
                </c:pt>
                <c:pt idx="100">
                  <c:v>30.12.2024</c:v>
                </c:pt>
                <c:pt idx="101">
                  <c:v>06.01.2025</c:v>
                </c:pt>
                <c:pt idx="102">
                  <c:v>13.01.2025</c:v>
                </c:pt>
                <c:pt idx="103">
                  <c:v>20.01.2025</c:v>
                </c:pt>
                <c:pt idx="104">
                  <c:v>27.01.2025</c:v>
                </c:pt>
                <c:pt idx="105">
                  <c:v>03.02.2025</c:v>
                </c:pt>
                <c:pt idx="106">
                  <c:v>10.02.2025</c:v>
                </c:pt>
                <c:pt idx="107">
                  <c:v>17.02.2025</c:v>
                </c:pt>
                <c:pt idx="108">
                  <c:v>24.02.2025</c:v>
                </c:pt>
                <c:pt idx="109">
                  <c:v>03.03.2025</c:v>
                </c:pt>
                <c:pt idx="110">
                  <c:v>10.03.2025</c:v>
                </c:pt>
                <c:pt idx="111">
                  <c:v>17.03.2025</c:v>
                </c:pt>
                <c:pt idx="112">
                  <c:v>24.03.2025</c:v>
                </c:pt>
                <c:pt idx="113">
                  <c:v>31.03.2025</c:v>
                </c:pt>
                <c:pt idx="114">
                  <c:v>07.04.2025</c:v>
                </c:pt>
                <c:pt idx="115">
                  <c:v>14.04.2025</c:v>
                </c:pt>
                <c:pt idx="116">
                  <c:v>21.04.2025</c:v>
                </c:pt>
                <c:pt idx="117">
                  <c:v>28.04.2025</c:v>
                </c:pt>
                <c:pt idx="118">
                  <c:v>05.05.2025</c:v>
                </c:pt>
                <c:pt idx="119">
                  <c:v>12.05.2025</c:v>
                </c:pt>
                <c:pt idx="120">
                  <c:v>19.05.2025</c:v>
                </c:pt>
                <c:pt idx="121">
                  <c:v>26.05.2025</c:v>
                </c:pt>
                <c:pt idx="122">
                  <c:v>02.06.2025</c:v>
                </c:pt>
                <c:pt idx="123">
                  <c:v>09.06.2025</c:v>
                </c:pt>
                <c:pt idx="124">
                  <c:v>16.06.2025</c:v>
                </c:pt>
                <c:pt idx="125">
                  <c:v>23.06.2025</c:v>
                </c:pt>
                <c:pt idx="126">
                  <c:v>30.06.2025</c:v>
                </c:pt>
                <c:pt idx="127">
                  <c:v>07.07.2025</c:v>
                </c:pt>
                <c:pt idx="128">
                  <c:v>14.07.2025</c:v>
                </c:pt>
                <c:pt idx="129">
                  <c:v>21.07.2025</c:v>
                </c:pt>
                <c:pt idx="130">
                  <c:v>28.07.2025</c:v>
                </c:pt>
                <c:pt idx="131">
                  <c:v>04.08.2025</c:v>
                </c:pt>
                <c:pt idx="132">
                  <c:v>11.08.2025</c:v>
                </c:pt>
                <c:pt idx="133">
                  <c:v>18.08.2025</c:v>
                </c:pt>
                <c:pt idx="134">
                  <c:v>25.08.2025</c:v>
                </c:pt>
                <c:pt idx="135">
                  <c:v>01.09.2025</c:v>
                </c:pt>
                <c:pt idx="136">
                  <c:v>08.09.2025</c:v>
                </c:pt>
                <c:pt idx="137">
                  <c:v>15.09.2025</c:v>
                </c:pt>
                <c:pt idx="138">
                  <c:v>22.09.2025</c:v>
                </c:pt>
                <c:pt idx="139">
                  <c:v>29.09.2025</c:v>
                </c:pt>
                <c:pt idx="140">
                  <c:v>06.10.2025</c:v>
                </c:pt>
                <c:pt idx="141">
                  <c:v>13.10.2025</c:v>
                </c:pt>
                <c:pt idx="142">
                  <c:v>20.10.2025</c:v>
                </c:pt>
                <c:pt idx="143">
                  <c:v>27.10.2025</c:v>
                </c:pt>
                <c:pt idx="144">
                  <c:v>03.11.2025</c:v>
                </c:pt>
                <c:pt idx="145">
                  <c:v>10.11.2025</c:v>
                </c:pt>
                <c:pt idx="146">
                  <c:v>17.11.2025</c:v>
                </c:pt>
                <c:pt idx="147">
                  <c:v>24.11.2025</c:v>
                </c:pt>
                <c:pt idx="148">
                  <c:v>01.12.2025</c:v>
                </c:pt>
                <c:pt idx="149">
                  <c:v>08.12.2025</c:v>
                </c:pt>
                <c:pt idx="150">
                  <c:v>15.12.2025</c:v>
                </c:pt>
                <c:pt idx="151">
                  <c:v>22.12.2025</c:v>
                </c:pt>
                <c:pt idx="152">
                  <c:v>29.12.2025</c:v>
                </c:pt>
                <c:pt idx="153">
                  <c:v>05.01.2026</c:v>
                </c:pt>
                <c:pt idx="154">
                  <c:v>12.01.2026</c:v>
                </c:pt>
                <c:pt idx="155">
                  <c:v>19.01.2026</c:v>
                </c:pt>
                <c:pt idx="156">
                  <c:v>26.01.2026</c:v>
                </c:pt>
                <c:pt idx="157">
                  <c:v>02.02.2026</c:v>
                </c:pt>
                <c:pt idx="158">
                  <c:v>09.02.2026</c:v>
                </c:pt>
                <c:pt idx="159">
                  <c:v>16.02.2026</c:v>
                </c:pt>
                <c:pt idx="160">
                  <c:v>23.02.2026</c:v>
                </c:pt>
                <c:pt idx="161">
                  <c:v>02.03.2026</c:v>
                </c:pt>
                <c:pt idx="162">
                  <c:v>09.03.2026</c:v>
                </c:pt>
                <c:pt idx="163">
                  <c:v>16.03.2026</c:v>
                </c:pt>
                <c:pt idx="164">
                  <c:v>23.03.2026</c:v>
                </c:pt>
                <c:pt idx="165">
                  <c:v>30.03.2026</c:v>
                </c:pt>
                <c:pt idx="166">
                  <c:v>06.04.2026</c:v>
                </c:pt>
                <c:pt idx="167">
                  <c:v>13.04.2026</c:v>
                </c:pt>
                <c:pt idx="168">
                  <c:v>20.04.2026</c:v>
                </c:pt>
                <c:pt idx="169">
                  <c:v>27.04.2026</c:v>
                </c:pt>
                <c:pt idx="170">
                  <c:v>04.05.2026</c:v>
                </c:pt>
                <c:pt idx="171">
                  <c:v>11.05.2026</c:v>
                </c:pt>
                <c:pt idx="172">
                  <c:v>18.05.2026</c:v>
                </c:pt>
                <c:pt idx="173">
                  <c:v>25.05.2026</c:v>
                </c:pt>
                <c:pt idx="174">
                  <c:v>01.06.2026</c:v>
                </c:pt>
                <c:pt idx="175">
                  <c:v>08.06.2026</c:v>
                </c:pt>
                <c:pt idx="176">
                  <c:v>15.06.2026</c:v>
                </c:pt>
                <c:pt idx="177">
                  <c:v>22.06.2026</c:v>
                </c:pt>
                <c:pt idx="178">
                  <c:v>29.06.2026</c:v>
                </c:pt>
                <c:pt idx="179">
                  <c:v>06.07.2026</c:v>
                </c:pt>
                <c:pt idx="180">
                  <c:v>13.07.2026</c:v>
                </c:pt>
                <c:pt idx="181">
                  <c:v>20.07.2026</c:v>
                </c:pt>
                <c:pt idx="182">
                  <c:v>27.07.2026</c:v>
                </c:pt>
                <c:pt idx="183">
                  <c:v>03.08.2026</c:v>
                </c:pt>
                <c:pt idx="184">
                  <c:v>10.08.2026</c:v>
                </c:pt>
                <c:pt idx="185">
                  <c:v>17.08.2026</c:v>
                </c:pt>
                <c:pt idx="186">
                  <c:v>24.08.2026</c:v>
                </c:pt>
                <c:pt idx="187">
                  <c:v>31.08.2026</c:v>
                </c:pt>
                <c:pt idx="188">
                  <c:v>07.09.2026</c:v>
                </c:pt>
                <c:pt idx="189">
                  <c:v>14.09.2026</c:v>
                </c:pt>
                <c:pt idx="190">
                  <c:v>21.09.2026</c:v>
                </c:pt>
                <c:pt idx="191">
                  <c:v>28.09.2026</c:v>
                </c:pt>
                <c:pt idx="192">
                  <c:v>05.10.2026</c:v>
                </c:pt>
                <c:pt idx="193">
                  <c:v>12.10.2026</c:v>
                </c:pt>
                <c:pt idx="194">
                  <c:v>19.10.2026</c:v>
                </c:pt>
                <c:pt idx="195">
                  <c:v>26.10.2026</c:v>
                </c:pt>
                <c:pt idx="196">
                  <c:v>02.11.2026</c:v>
                </c:pt>
                <c:pt idx="197">
                  <c:v>09.11.2026</c:v>
                </c:pt>
                <c:pt idx="198">
                  <c:v>16.11.2026</c:v>
                </c:pt>
                <c:pt idx="199">
                  <c:v>23.11.2026</c:v>
                </c:pt>
                <c:pt idx="200">
                  <c:v>30.11.2026</c:v>
                </c:pt>
              </c:strCache>
            </c:strRef>
          </c:cat>
          <c:val>
            <c:numRef>
              <c:f>SapIbpChartFeeder!$C$5:$GU$5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2E1-43FB-92F9-895028F2A241}"/>
            </c:ext>
          </c:extLst>
        </c:ser>
        <c:ser>
          <c:idx val="2"/>
          <c:order val="2"/>
          <c:tx>
            <c:v>Baseline Adjusted</c:v>
          </c:tx>
          <c:spPr>
            <a:solidFill>
              <a:schemeClr val="accent5"/>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SapIbpChartFeeder!$C$3:$GU$3</c:f>
              <c:strCache>
                <c:ptCount val="201"/>
                <c:pt idx="0">
                  <c:v>30.01.2023</c:v>
                </c:pt>
                <c:pt idx="1">
                  <c:v>06.02.2023</c:v>
                </c:pt>
                <c:pt idx="2">
                  <c:v>13.02.2023</c:v>
                </c:pt>
                <c:pt idx="3">
                  <c:v>20.02.2023</c:v>
                </c:pt>
                <c:pt idx="4">
                  <c:v>27.02.2023</c:v>
                </c:pt>
                <c:pt idx="5">
                  <c:v>06.03.2023</c:v>
                </c:pt>
                <c:pt idx="6">
                  <c:v>13.03.2023</c:v>
                </c:pt>
                <c:pt idx="7">
                  <c:v>20.03.2023</c:v>
                </c:pt>
                <c:pt idx="8">
                  <c:v>27.03.2023</c:v>
                </c:pt>
                <c:pt idx="9">
                  <c:v>03.04.2023</c:v>
                </c:pt>
                <c:pt idx="10">
                  <c:v>10.04.2023</c:v>
                </c:pt>
                <c:pt idx="11">
                  <c:v>17.04.2023</c:v>
                </c:pt>
                <c:pt idx="12">
                  <c:v>24.04.2023</c:v>
                </c:pt>
                <c:pt idx="13">
                  <c:v>01.05.2023</c:v>
                </c:pt>
                <c:pt idx="14">
                  <c:v>08.05.2023</c:v>
                </c:pt>
                <c:pt idx="15">
                  <c:v>15.05.2023</c:v>
                </c:pt>
                <c:pt idx="16">
                  <c:v>22.05.2023</c:v>
                </c:pt>
                <c:pt idx="17">
                  <c:v>29.05.2023</c:v>
                </c:pt>
                <c:pt idx="18">
                  <c:v>05.06.2023</c:v>
                </c:pt>
                <c:pt idx="19">
                  <c:v>12.06.2023</c:v>
                </c:pt>
                <c:pt idx="20">
                  <c:v>19.06.2023</c:v>
                </c:pt>
                <c:pt idx="21">
                  <c:v>26.06.2023</c:v>
                </c:pt>
                <c:pt idx="22">
                  <c:v>03.07.2023</c:v>
                </c:pt>
                <c:pt idx="23">
                  <c:v>10.07.2023</c:v>
                </c:pt>
                <c:pt idx="24">
                  <c:v>17.07.2023</c:v>
                </c:pt>
                <c:pt idx="25">
                  <c:v>24.07.2023</c:v>
                </c:pt>
                <c:pt idx="26">
                  <c:v>31.07.2023</c:v>
                </c:pt>
                <c:pt idx="27">
                  <c:v>07.08.2023</c:v>
                </c:pt>
                <c:pt idx="28">
                  <c:v>14.08.2023</c:v>
                </c:pt>
                <c:pt idx="29">
                  <c:v>21.08.2023</c:v>
                </c:pt>
                <c:pt idx="30">
                  <c:v>28.08.2023</c:v>
                </c:pt>
                <c:pt idx="31">
                  <c:v>04.09.2023</c:v>
                </c:pt>
                <c:pt idx="32">
                  <c:v>11.09.2023</c:v>
                </c:pt>
                <c:pt idx="33">
                  <c:v>18.09.2023</c:v>
                </c:pt>
                <c:pt idx="34">
                  <c:v>25.09.2023</c:v>
                </c:pt>
                <c:pt idx="35">
                  <c:v>02.10.2023</c:v>
                </c:pt>
                <c:pt idx="36">
                  <c:v>09.10.2023</c:v>
                </c:pt>
                <c:pt idx="37">
                  <c:v>16.10.2023</c:v>
                </c:pt>
                <c:pt idx="38">
                  <c:v>23.10.2023</c:v>
                </c:pt>
                <c:pt idx="39">
                  <c:v>30.10.2023</c:v>
                </c:pt>
                <c:pt idx="40">
                  <c:v>06.11.2023</c:v>
                </c:pt>
                <c:pt idx="41">
                  <c:v>13.11.2023</c:v>
                </c:pt>
                <c:pt idx="42">
                  <c:v>20.11.2023</c:v>
                </c:pt>
                <c:pt idx="43">
                  <c:v>27.11.2023</c:v>
                </c:pt>
                <c:pt idx="44">
                  <c:v>04.12.2023</c:v>
                </c:pt>
                <c:pt idx="45">
                  <c:v>11.12.2023</c:v>
                </c:pt>
                <c:pt idx="46">
                  <c:v>18.12.2023</c:v>
                </c:pt>
                <c:pt idx="47">
                  <c:v>25.12.2023</c:v>
                </c:pt>
                <c:pt idx="48">
                  <c:v>01.01.2024</c:v>
                </c:pt>
                <c:pt idx="49">
                  <c:v>08.01.2024</c:v>
                </c:pt>
                <c:pt idx="50">
                  <c:v>15.01.2024</c:v>
                </c:pt>
                <c:pt idx="51">
                  <c:v>22.01.2024</c:v>
                </c:pt>
                <c:pt idx="52">
                  <c:v>29.01.2024</c:v>
                </c:pt>
                <c:pt idx="53">
                  <c:v>05.02.2024</c:v>
                </c:pt>
                <c:pt idx="54">
                  <c:v>12.02.2024</c:v>
                </c:pt>
                <c:pt idx="55">
                  <c:v>19.02.2024</c:v>
                </c:pt>
                <c:pt idx="56">
                  <c:v>26.02.2024</c:v>
                </c:pt>
                <c:pt idx="57">
                  <c:v>04.03.2024</c:v>
                </c:pt>
                <c:pt idx="58">
                  <c:v>11.03.2024</c:v>
                </c:pt>
                <c:pt idx="59">
                  <c:v>18.03.2024</c:v>
                </c:pt>
                <c:pt idx="60">
                  <c:v>25.03.2024</c:v>
                </c:pt>
                <c:pt idx="61">
                  <c:v>01.04.2024</c:v>
                </c:pt>
                <c:pt idx="62">
                  <c:v>08.04.2024</c:v>
                </c:pt>
                <c:pt idx="63">
                  <c:v>15.04.2024</c:v>
                </c:pt>
                <c:pt idx="64">
                  <c:v>22.04.2024</c:v>
                </c:pt>
                <c:pt idx="65">
                  <c:v>29.04.2024</c:v>
                </c:pt>
                <c:pt idx="66">
                  <c:v>06.05.2024</c:v>
                </c:pt>
                <c:pt idx="67">
                  <c:v>13.05.2024</c:v>
                </c:pt>
                <c:pt idx="68">
                  <c:v>20.05.2024</c:v>
                </c:pt>
                <c:pt idx="69">
                  <c:v>27.05.2024</c:v>
                </c:pt>
                <c:pt idx="70">
                  <c:v>03.06.2024</c:v>
                </c:pt>
                <c:pt idx="71">
                  <c:v>10.06.2024</c:v>
                </c:pt>
                <c:pt idx="72">
                  <c:v>17.06.2024</c:v>
                </c:pt>
                <c:pt idx="73">
                  <c:v>24.06.2024</c:v>
                </c:pt>
                <c:pt idx="74">
                  <c:v>01.07.2024</c:v>
                </c:pt>
                <c:pt idx="75">
                  <c:v>08.07.2024</c:v>
                </c:pt>
                <c:pt idx="76">
                  <c:v>15.07.2024</c:v>
                </c:pt>
                <c:pt idx="77">
                  <c:v>22.07.2024</c:v>
                </c:pt>
                <c:pt idx="78">
                  <c:v>29.07.2024</c:v>
                </c:pt>
                <c:pt idx="79">
                  <c:v>05.08.2024</c:v>
                </c:pt>
                <c:pt idx="80">
                  <c:v>12.08.2024</c:v>
                </c:pt>
                <c:pt idx="81">
                  <c:v>19.08.2024</c:v>
                </c:pt>
                <c:pt idx="82">
                  <c:v>26.08.2024</c:v>
                </c:pt>
                <c:pt idx="83">
                  <c:v>02.09.2024</c:v>
                </c:pt>
                <c:pt idx="84">
                  <c:v>09.09.2024</c:v>
                </c:pt>
                <c:pt idx="85">
                  <c:v>16.09.2024</c:v>
                </c:pt>
                <c:pt idx="86">
                  <c:v>23.09.2024</c:v>
                </c:pt>
                <c:pt idx="87">
                  <c:v>30.09.2024</c:v>
                </c:pt>
                <c:pt idx="88">
                  <c:v>07.10.2024</c:v>
                </c:pt>
                <c:pt idx="89">
                  <c:v>14.10.2024</c:v>
                </c:pt>
                <c:pt idx="90">
                  <c:v>21.10.2024</c:v>
                </c:pt>
                <c:pt idx="91">
                  <c:v>28.10.2024</c:v>
                </c:pt>
                <c:pt idx="92">
                  <c:v>04.11.2024</c:v>
                </c:pt>
                <c:pt idx="93">
                  <c:v>11.11.2024</c:v>
                </c:pt>
                <c:pt idx="94">
                  <c:v>18.11.2024</c:v>
                </c:pt>
                <c:pt idx="95">
                  <c:v>25.11.2024</c:v>
                </c:pt>
                <c:pt idx="96">
                  <c:v>02.12.2024</c:v>
                </c:pt>
                <c:pt idx="97">
                  <c:v>09.12.2024</c:v>
                </c:pt>
                <c:pt idx="98">
                  <c:v>16.12.2024</c:v>
                </c:pt>
                <c:pt idx="99">
                  <c:v>23.12.2024</c:v>
                </c:pt>
                <c:pt idx="100">
                  <c:v>30.12.2024</c:v>
                </c:pt>
                <c:pt idx="101">
                  <c:v>06.01.2025</c:v>
                </c:pt>
                <c:pt idx="102">
                  <c:v>13.01.2025</c:v>
                </c:pt>
                <c:pt idx="103">
                  <c:v>20.01.2025</c:v>
                </c:pt>
                <c:pt idx="104">
                  <c:v>27.01.2025</c:v>
                </c:pt>
                <c:pt idx="105">
                  <c:v>03.02.2025</c:v>
                </c:pt>
                <c:pt idx="106">
                  <c:v>10.02.2025</c:v>
                </c:pt>
                <c:pt idx="107">
                  <c:v>17.02.2025</c:v>
                </c:pt>
                <c:pt idx="108">
                  <c:v>24.02.2025</c:v>
                </c:pt>
                <c:pt idx="109">
                  <c:v>03.03.2025</c:v>
                </c:pt>
                <c:pt idx="110">
                  <c:v>10.03.2025</c:v>
                </c:pt>
                <c:pt idx="111">
                  <c:v>17.03.2025</c:v>
                </c:pt>
                <c:pt idx="112">
                  <c:v>24.03.2025</c:v>
                </c:pt>
                <c:pt idx="113">
                  <c:v>31.03.2025</c:v>
                </c:pt>
                <c:pt idx="114">
                  <c:v>07.04.2025</c:v>
                </c:pt>
                <c:pt idx="115">
                  <c:v>14.04.2025</c:v>
                </c:pt>
                <c:pt idx="116">
                  <c:v>21.04.2025</c:v>
                </c:pt>
                <c:pt idx="117">
                  <c:v>28.04.2025</c:v>
                </c:pt>
                <c:pt idx="118">
                  <c:v>05.05.2025</c:v>
                </c:pt>
                <c:pt idx="119">
                  <c:v>12.05.2025</c:v>
                </c:pt>
                <c:pt idx="120">
                  <c:v>19.05.2025</c:v>
                </c:pt>
                <c:pt idx="121">
                  <c:v>26.05.2025</c:v>
                </c:pt>
                <c:pt idx="122">
                  <c:v>02.06.2025</c:v>
                </c:pt>
                <c:pt idx="123">
                  <c:v>09.06.2025</c:v>
                </c:pt>
                <c:pt idx="124">
                  <c:v>16.06.2025</c:v>
                </c:pt>
                <c:pt idx="125">
                  <c:v>23.06.2025</c:v>
                </c:pt>
                <c:pt idx="126">
                  <c:v>30.06.2025</c:v>
                </c:pt>
                <c:pt idx="127">
                  <c:v>07.07.2025</c:v>
                </c:pt>
                <c:pt idx="128">
                  <c:v>14.07.2025</c:v>
                </c:pt>
                <c:pt idx="129">
                  <c:v>21.07.2025</c:v>
                </c:pt>
                <c:pt idx="130">
                  <c:v>28.07.2025</c:v>
                </c:pt>
                <c:pt idx="131">
                  <c:v>04.08.2025</c:v>
                </c:pt>
                <c:pt idx="132">
                  <c:v>11.08.2025</c:v>
                </c:pt>
                <c:pt idx="133">
                  <c:v>18.08.2025</c:v>
                </c:pt>
                <c:pt idx="134">
                  <c:v>25.08.2025</c:v>
                </c:pt>
                <c:pt idx="135">
                  <c:v>01.09.2025</c:v>
                </c:pt>
                <c:pt idx="136">
                  <c:v>08.09.2025</c:v>
                </c:pt>
                <c:pt idx="137">
                  <c:v>15.09.2025</c:v>
                </c:pt>
                <c:pt idx="138">
                  <c:v>22.09.2025</c:v>
                </c:pt>
                <c:pt idx="139">
                  <c:v>29.09.2025</c:v>
                </c:pt>
                <c:pt idx="140">
                  <c:v>06.10.2025</c:v>
                </c:pt>
                <c:pt idx="141">
                  <c:v>13.10.2025</c:v>
                </c:pt>
                <c:pt idx="142">
                  <c:v>20.10.2025</c:v>
                </c:pt>
                <c:pt idx="143">
                  <c:v>27.10.2025</c:v>
                </c:pt>
                <c:pt idx="144">
                  <c:v>03.11.2025</c:v>
                </c:pt>
                <c:pt idx="145">
                  <c:v>10.11.2025</c:v>
                </c:pt>
                <c:pt idx="146">
                  <c:v>17.11.2025</c:v>
                </c:pt>
                <c:pt idx="147">
                  <c:v>24.11.2025</c:v>
                </c:pt>
                <c:pt idx="148">
                  <c:v>01.12.2025</c:v>
                </c:pt>
                <c:pt idx="149">
                  <c:v>08.12.2025</c:v>
                </c:pt>
                <c:pt idx="150">
                  <c:v>15.12.2025</c:v>
                </c:pt>
                <c:pt idx="151">
                  <c:v>22.12.2025</c:v>
                </c:pt>
                <c:pt idx="152">
                  <c:v>29.12.2025</c:v>
                </c:pt>
                <c:pt idx="153">
                  <c:v>05.01.2026</c:v>
                </c:pt>
                <c:pt idx="154">
                  <c:v>12.01.2026</c:v>
                </c:pt>
                <c:pt idx="155">
                  <c:v>19.01.2026</c:v>
                </c:pt>
                <c:pt idx="156">
                  <c:v>26.01.2026</c:v>
                </c:pt>
                <c:pt idx="157">
                  <c:v>02.02.2026</c:v>
                </c:pt>
                <c:pt idx="158">
                  <c:v>09.02.2026</c:v>
                </c:pt>
                <c:pt idx="159">
                  <c:v>16.02.2026</c:v>
                </c:pt>
                <c:pt idx="160">
                  <c:v>23.02.2026</c:v>
                </c:pt>
                <c:pt idx="161">
                  <c:v>02.03.2026</c:v>
                </c:pt>
                <c:pt idx="162">
                  <c:v>09.03.2026</c:v>
                </c:pt>
                <c:pt idx="163">
                  <c:v>16.03.2026</c:v>
                </c:pt>
                <c:pt idx="164">
                  <c:v>23.03.2026</c:v>
                </c:pt>
                <c:pt idx="165">
                  <c:v>30.03.2026</c:v>
                </c:pt>
                <c:pt idx="166">
                  <c:v>06.04.2026</c:v>
                </c:pt>
                <c:pt idx="167">
                  <c:v>13.04.2026</c:v>
                </c:pt>
                <c:pt idx="168">
                  <c:v>20.04.2026</c:v>
                </c:pt>
                <c:pt idx="169">
                  <c:v>27.04.2026</c:v>
                </c:pt>
                <c:pt idx="170">
                  <c:v>04.05.2026</c:v>
                </c:pt>
                <c:pt idx="171">
                  <c:v>11.05.2026</c:v>
                </c:pt>
                <c:pt idx="172">
                  <c:v>18.05.2026</c:v>
                </c:pt>
                <c:pt idx="173">
                  <c:v>25.05.2026</c:v>
                </c:pt>
                <c:pt idx="174">
                  <c:v>01.06.2026</c:v>
                </c:pt>
                <c:pt idx="175">
                  <c:v>08.06.2026</c:v>
                </c:pt>
                <c:pt idx="176">
                  <c:v>15.06.2026</c:v>
                </c:pt>
                <c:pt idx="177">
                  <c:v>22.06.2026</c:v>
                </c:pt>
                <c:pt idx="178">
                  <c:v>29.06.2026</c:v>
                </c:pt>
                <c:pt idx="179">
                  <c:v>06.07.2026</c:v>
                </c:pt>
                <c:pt idx="180">
                  <c:v>13.07.2026</c:v>
                </c:pt>
                <c:pt idx="181">
                  <c:v>20.07.2026</c:v>
                </c:pt>
                <c:pt idx="182">
                  <c:v>27.07.2026</c:v>
                </c:pt>
                <c:pt idx="183">
                  <c:v>03.08.2026</c:v>
                </c:pt>
                <c:pt idx="184">
                  <c:v>10.08.2026</c:v>
                </c:pt>
                <c:pt idx="185">
                  <c:v>17.08.2026</c:v>
                </c:pt>
                <c:pt idx="186">
                  <c:v>24.08.2026</c:v>
                </c:pt>
                <c:pt idx="187">
                  <c:v>31.08.2026</c:v>
                </c:pt>
                <c:pt idx="188">
                  <c:v>07.09.2026</c:v>
                </c:pt>
                <c:pt idx="189">
                  <c:v>14.09.2026</c:v>
                </c:pt>
                <c:pt idx="190">
                  <c:v>21.09.2026</c:v>
                </c:pt>
                <c:pt idx="191">
                  <c:v>28.09.2026</c:v>
                </c:pt>
                <c:pt idx="192">
                  <c:v>05.10.2026</c:v>
                </c:pt>
                <c:pt idx="193">
                  <c:v>12.10.2026</c:v>
                </c:pt>
                <c:pt idx="194">
                  <c:v>19.10.2026</c:v>
                </c:pt>
                <c:pt idx="195">
                  <c:v>26.10.2026</c:v>
                </c:pt>
                <c:pt idx="196">
                  <c:v>02.11.2026</c:v>
                </c:pt>
                <c:pt idx="197">
                  <c:v>09.11.2026</c:v>
                </c:pt>
                <c:pt idx="198">
                  <c:v>16.11.2026</c:v>
                </c:pt>
                <c:pt idx="199">
                  <c:v>23.11.2026</c:v>
                </c:pt>
                <c:pt idx="200">
                  <c:v>30.11.2026</c:v>
                </c:pt>
              </c:strCache>
            </c:strRef>
          </c:cat>
          <c:val>
            <c:numRef>
              <c:f>SapIbpChartFeeder!$C$6:$GU$6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E2E1-43FB-92F9-895028F2A241}"/>
            </c:ext>
          </c:extLst>
        </c:ser>
        <c:ser>
          <c:idx val="3"/>
          <c:order val="3"/>
          <c:tx>
            <c:v>Net Forecast</c:v>
          </c:tx>
          <c:spPr>
            <a:solidFill>
              <a:schemeClr val="accent1">
                <a:lumMod val="60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SapIbpChartFeeder!$C$3:$GU$3</c:f>
              <c:strCache>
                <c:ptCount val="201"/>
                <c:pt idx="0">
                  <c:v>30.01.2023</c:v>
                </c:pt>
                <c:pt idx="1">
                  <c:v>06.02.2023</c:v>
                </c:pt>
                <c:pt idx="2">
                  <c:v>13.02.2023</c:v>
                </c:pt>
                <c:pt idx="3">
                  <c:v>20.02.2023</c:v>
                </c:pt>
                <c:pt idx="4">
                  <c:v>27.02.2023</c:v>
                </c:pt>
                <c:pt idx="5">
                  <c:v>06.03.2023</c:v>
                </c:pt>
                <c:pt idx="6">
                  <c:v>13.03.2023</c:v>
                </c:pt>
                <c:pt idx="7">
                  <c:v>20.03.2023</c:v>
                </c:pt>
                <c:pt idx="8">
                  <c:v>27.03.2023</c:v>
                </c:pt>
                <c:pt idx="9">
                  <c:v>03.04.2023</c:v>
                </c:pt>
                <c:pt idx="10">
                  <c:v>10.04.2023</c:v>
                </c:pt>
                <c:pt idx="11">
                  <c:v>17.04.2023</c:v>
                </c:pt>
                <c:pt idx="12">
                  <c:v>24.04.2023</c:v>
                </c:pt>
                <c:pt idx="13">
                  <c:v>01.05.2023</c:v>
                </c:pt>
                <c:pt idx="14">
                  <c:v>08.05.2023</c:v>
                </c:pt>
                <c:pt idx="15">
                  <c:v>15.05.2023</c:v>
                </c:pt>
                <c:pt idx="16">
                  <c:v>22.05.2023</c:v>
                </c:pt>
                <c:pt idx="17">
                  <c:v>29.05.2023</c:v>
                </c:pt>
                <c:pt idx="18">
                  <c:v>05.06.2023</c:v>
                </c:pt>
                <c:pt idx="19">
                  <c:v>12.06.2023</c:v>
                </c:pt>
                <c:pt idx="20">
                  <c:v>19.06.2023</c:v>
                </c:pt>
                <c:pt idx="21">
                  <c:v>26.06.2023</c:v>
                </c:pt>
                <c:pt idx="22">
                  <c:v>03.07.2023</c:v>
                </c:pt>
                <c:pt idx="23">
                  <c:v>10.07.2023</c:v>
                </c:pt>
                <c:pt idx="24">
                  <c:v>17.07.2023</c:v>
                </c:pt>
                <c:pt idx="25">
                  <c:v>24.07.2023</c:v>
                </c:pt>
                <c:pt idx="26">
                  <c:v>31.07.2023</c:v>
                </c:pt>
                <c:pt idx="27">
                  <c:v>07.08.2023</c:v>
                </c:pt>
                <c:pt idx="28">
                  <c:v>14.08.2023</c:v>
                </c:pt>
                <c:pt idx="29">
                  <c:v>21.08.2023</c:v>
                </c:pt>
                <c:pt idx="30">
                  <c:v>28.08.2023</c:v>
                </c:pt>
                <c:pt idx="31">
                  <c:v>04.09.2023</c:v>
                </c:pt>
                <c:pt idx="32">
                  <c:v>11.09.2023</c:v>
                </c:pt>
                <c:pt idx="33">
                  <c:v>18.09.2023</c:v>
                </c:pt>
                <c:pt idx="34">
                  <c:v>25.09.2023</c:v>
                </c:pt>
                <c:pt idx="35">
                  <c:v>02.10.2023</c:v>
                </c:pt>
                <c:pt idx="36">
                  <c:v>09.10.2023</c:v>
                </c:pt>
                <c:pt idx="37">
                  <c:v>16.10.2023</c:v>
                </c:pt>
                <c:pt idx="38">
                  <c:v>23.10.2023</c:v>
                </c:pt>
                <c:pt idx="39">
                  <c:v>30.10.2023</c:v>
                </c:pt>
                <c:pt idx="40">
                  <c:v>06.11.2023</c:v>
                </c:pt>
                <c:pt idx="41">
                  <c:v>13.11.2023</c:v>
                </c:pt>
                <c:pt idx="42">
                  <c:v>20.11.2023</c:v>
                </c:pt>
                <c:pt idx="43">
                  <c:v>27.11.2023</c:v>
                </c:pt>
                <c:pt idx="44">
                  <c:v>04.12.2023</c:v>
                </c:pt>
                <c:pt idx="45">
                  <c:v>11.12.2023</c:v>
                </c:pt>
                <c:pt idx="46">
                  <c:v>18.12.2023</c:v>
                </c:pt>
                <c:pt idx="47">
                  <c:v>25.12.2023</c:v>
                </c:pt>
                <c:pt idx="48">
                  <c:v>01.01.2024</c:v>
                </c:pt>
                <c:pt idx="49">
                  <c:v>08.01.2024</c:v>
                </c:pt>
                <c:pt idx="50">
                  <c:v>15.01.2024</c:v>
                </c:pt>
                <c:pt idx="51">
                  <c:v>22.01.2024</c:v>
                </c:pt>
                <c:pt idx="52">
                  <c:v>29.01.2024</c:v>
                </c:pt>
                <c:pt idx="53">
                  <c:v>05.02.2024</c:v>
                </c:pt>
                <c:pt idx="54">
                  <c:v>12.02.2024</c:v>
                </c:pt>
                <c:pt idx="55">
                  <c:v>19.02.2024</c:v>
                </c:pt>
                <c:pt idx="56">
                  <c:v>26.02.2024</c:v>
                </c:pt>
                <c:pt idx="57">
                  <c:v>04.03.2024</c:v>
                </c:pt>
                <c:pt idx="58">
                  <c:v>11.03.2024</c:v>
                </c:pt>
                <c:pt idx="59">
                  <c:v>18.03.2024</c:v>
                </c:pt>
                <c:pt idx="60">
                  <c:v>25.03.2024</c:v>
                </c:pt>
                <c:pt idx="61">
                  <c:v>01.04.2024</c:v>
                </c:pt>
                <c:pt idx="62">
                  <c:v>08.04.2024</c:v>
                </c:pt>
                <c:pt idx="63">
                  <c:v>15.04.2024</c:v>
                </c:pt>
                <c:pt idx="64">
                  <c:v>22.04.2024</c:v>
                </c:pt>
                <c:pt idx="65">
                  <c:v>29.04.2024</c:v>
                </c:pt>
                <c:pt idx="66">
                  <c:v>06.05.2024</c:v>
                </c:pt>
                <c:pt idx="67">
                  <c:v>13.05.2024</c:v>
                </c:pt>
                <c:pt idx="68">
                  <c:v>20.05.2024</c:v>
                </c:pt>
                <c:pt idx="69">
                  <c:v>27.05.2024</c:v>
                </c:pt>
                <c:pt idx="70">
                  <c:v>03.06.2024</c:v>
                </c:pt>
                <c:pt idx="71">
                  <c:v>10.06.2024</c:v>
                </c:pt>
                <c:pt idx="72">
                  <c:v>17.06.2024</c:v>
                </c:pt>
                <c:pt idx="73">
                  <c:v>24.06.2024</c:v>
                </c:pt>
                <c:pt idx="74">
                  <c:v>01.07.2024</c:v>
                </c:pt>
                <c:pt idx="75">
                  <c:v>08.07.2024</c:v>
                </c:pt>
                <c:pt idx="76">
                  <c:v>15.07.2024</c:v>
                </c:pt>
                <c:pt idx="77">
                  <c:v>22.07.2024</c:v>
                </c:pt>
                <c:pt idx="78">
                  <c:v>29.07.2024</c:v>
                </c:pt>
                <c:pt idx="79">
                  <c:v>05.08.2024</c:v>
                </c:pt>
                <c:pt idx="80">
                  <c:v>12.08.2024</c:v>
                </c:pt>
                <c:pt idx="81">
                  <c:v>19.08.2024</c:v>
                </c:pt>
                <c:pt idx="82">
                  <c:v>26.08.2024</c:v>
                </c:pt>
                <c:pt idx="83">
                  <c:v>02.09.2024</c:v>
                </c:pt>
                <c:pt idx="84">
                  <c:v>09.09.2024</c:v>
                </c:pt>
                <c:pt idx="85">
                  <c:v>16.09.2024</c:v>
                </c:pt>
                <c:pt idx="86">
                  <c:v>23.09.2024</c:v>
                </c:pt>
                <c:pt idx="87">
                  <c:v>30.09.2024</c:v>
                </c:pt>
                <c:pt idx="88">
                  <c:v>07.10.2024</c:v>
                </c:pt>
                <c:pt idx="89">
                  <c:v>14.10.2024</c:v>
                </c:pt>
                <c:pt idx="90">
                  <c:v>21.10.2024</c:v>
                </c:pt>
                <c:pt idx="91">
                  <c:v>28.10.2024</c:v>
                </c:pt>
                <c:pt idx="92">
                  <c:v>04.11.2024</c:v>
                </c:pt>
                <c:pt idx="93">
                  <c:v>11.11.2024</c:v>
                </c:pt>
                <c:pt idx="94">
                  <c:v>18.11.2024</c:v>
                </c:pt>
                <c:pt idx="95">
                  <c:v>25.11.2024</c:v>
                </c:pt>
                <c:pt idx="96">
                  <c:v>02.12.2024</c:v>
                </c:pt>
                <c:pt idx="97">
                  <c:v>09.12.2024</c:v>
                </c:pt>
                <c:pt idx="98">
                  <c:v>16.12.2024</c:v>
                </c:pt>
                <c:pt idx="99">
                  <c:v>23.12.2024</c:v>
                </c:pt>
                <c:pt idx="100">
                  <c:v>30.12.2024</c:v>
                </c:pt>
                <c:pt idx="101">
                  <c:v>06.01.2025</c:v>
                </c:pt>
                <c:pt idx="102">
                  <c:v>13.01.2025</c:v>
                </c:pt>
                <c:pt idx="103">
                  <c:v>20.01.2025</c:v>
                </c:pt>
                <c:pt idx="104">
                  <c:v>27.01.2025</c:v>
                </c:pt>
                <c:pt idx="105">
                  <c:v>03.02.2025</c:v>
                </c:pt>
                <c:pt idx="106">
                  <c:v>10.02.2025</c:v>
                </c:pt>
                <c:pt idx="107">
                  <c:v>17.02.2025</c:v>
                </c:pt>
                <c:pt idx="108">
                  <c:v>24.02.2025</c:v>
                </c:pt>
                <c:pt idx="109">
                  <c:v>03.03.2025</c:v>
                </c:pt>
                <c:pt idx="110">
                  <c:v>10.03.2025</c:v>
                </c:pt>
                <c:pt idx="111">
                  <c:v>17.03.2025</c:v>
                </c:pt>
                <c:pt idx="112">
                  <c:v>24.03.2025</c:v>
                </c:pt>
                <c:pt idx="113">
                  <c:v>31.03.2025</c:v>
                </c:pt>
                <c:pt idx="114">
                  <c:v>07.04.2025</c:v>
                </c:pt>
                <c:pt idx="115">
                  <c:v>14.04.2025</c:v>
                </c:pt>
                <c:pt idx="116">
                  <c:v>21.04.2025</c:v>
                </c:pt>
                <c:pt idx="117">
                  <c:v>28.04.2025</c:v>
                </c:pt>
                <c:pt idx="118">
                  <c:v>05.05.2025</c:v>
                </c:pt>
                <c:pt idx="119">
                  <c:v>12.05.2025</c:v>
                </c:pt>
                <c:pt idx="120">
                  <c:v>19.05.2025</c:v>
                </c:pt>
                <c:pt idx="121">
                  <c:v>26.05.2025</c:v>
                </c:pt>
                <c:pt idx="122">
                  <c:v>02.06.2025</c:v>
                </c:pt>
                <c:pt idx="123">
                  <c:v>09.06.2025</c:v>
                </c:pt>
                <c:pt idx="124">
                  <c:v>16.06.2025</c:v>
                </c:pt>
                <c:pt idx="125">
                  <c:v>23.06.2025</c:v>
                </c:pt>
                <c:pt idx="126">
                  <c:v>30.06.2025</c:v>
                </c:pt>
                <c:pt idx="127">
                  <c:v>07.07.2025</c:v>
                </c:pt>
                <c:pt idx="128">
                  <c:v>14.07.2025</c:v>
                </c:pt>
                <c:pt idx="129">
                  <c:v>21.07.2025</c:v>
                </c:pt>
                <c:pt idx="130">
                  <c:v>28.07.2025</c:v>
                </c:pt>
                <c:pt idx="131">
                  <c:v>04.08.2025</c:v>
                </c:pt>
                <c:pt idx="132">
                  <c:v>11.08.2025</c:v>
                </c:pt>
                <c:pt idx="133">
                  <c:v>18.08.2025</c:v>
                </c:pt>
                <c:pt idx="134">
                  <c:v>25.08.2025</c:v>
                </c:pt>
                <c:pt idx="135">
                  <c:v>01.09.2025</c:v>
                </c:pt>
                <c:pt idx="136">
                  <c:v>08.09.2025</c:v>
                </c:pt>
                <c:pt idx="137">
                  <c:v>15.09.2025</c:v>
                </c:pt>
                <c:pt idx="138">
                  <c:v>22.09.2025</c:v>
                </c:pt>
                <c:pt idx="139">
                  <c:v>29.09.2025</c:v>
                </c:pt>
                <c:pt idx="140">
                  <c:v>06.10.2025</c:v>
                </c:pt>
                <c:pt idx="141">
                  <c:v>13.10.2025</c:v>
                </c:pt>
                <c:pt idx="142">
                  <c:v>20.10.2025</c:v>
                </c:pt>
                <c:pt idx="143">
                  <c:v>27.10.2025</c:v>
                </c:pt>
                <c:pt idx="144">
                  <c:v>03.11.2025</c:v>
                </c:pt>
                <c:pt idx="145">
                  <c:v>10.11.2025</c:v>
                </c:pt>
                <c:pt idx="146">
                  <c:v>17.11.2025</c:v>
                </c:pt>
                <c:pt idx="147">
                  <c:v>24.11.2025</c:v>
                </c:pt>
                <c:pt idx="148">
                  <c:v>01.12.2025</c:v>
                </c:pt>
                <c:pt idx="149">
                  <c:v>08.12.2025</c:v>
                </c:pt>
                <c:pt idx="150">
                  <c:v>15.12.2025</c:v>
                </c:pt>
                <c:pt idx="151">
                  <c:v>22.12.2025</c:v>
                </c:pt>
                <c:pt idx="152">
                  <c:v>29.12.2025</c:v>
                </c:pt>
                <c:pt idx="153">
                  <c:v>05.01.2026</c:v>
                </c:pt>
                <c:pt idx="154">
                  <c:v>12.01.2026</c:v>
                </c:pt>
                <c:pt idx="155">
                  <c:v>19.01.2026</c:v>
                </c:pt>
                <c:pt idx="156">
                  <c:v>26.01.2026</c:v>
                </c:pt>
                <c:pt idx="157">
                  <c:v>02.02.2026</c:v>
                </c:pt>
                <c:pt idx="158">
                  <c:v>09.02.2026</c:v>
                </c:pt>
                <c:pt idx="159">
                  <c:v>16.02.2026</c:v>
                </c:pt>
                <c:pt idx="160">
                  <c:v>23.02.2026</c:v>
                </c:pt>
                <c:pt idx="161">
                  <c:v>02.03.2026</c:v>
                </c:pt>
                <c:pt idx="162">
                  <c:v>09.03.2026</c:v>
                </c:pt>
                <c:pt idx="163">
                  <c:v>16.03.2026</c:v>
                </c:pt>
                <c:pt idx="164">
                  <c:v>23.03.2026</c:v>
                </c:pt>
                <c:pt idx="165">
                  <c:v>30.03.2026</c:v>
                </c:pt>
                <c:pt idx="166">
                  <c:v>06.04.2026</c:v>
                </c:pt>
                <c:pt idx="167">
                  <c:v>13.04.2026</c:v>
                </c:pt>
                <c:pt idx="168">
                  <c:v>20.04.2026</c:v>
                </c:pt>
                <c:pt idx="169">
                  <c:v>27.04.2026</c:v>
                </c:pt>
                <c:pt idx="170">
                  <c:v>04.05.2026</c:v>
                </c:pt>
                <c:pt idx="171">
                  <c:v>11.05.2026</c:v>
                </c:pt>
                <c:pt idx="172">
                  <c:v>18.05.2026</c:v>
                </c:pt>
                <c:pt idx="173">
                  <c:v>25.05.2026</c:v>
                </c:pt>
                <c:pt idx="174">
                  <c:v>01.06.2026</c:v>
                </c:pt>
                <c:pt idx="175">
                  <c:v>08.06.2026</c:v>
                </c:pt>
                <c:pt idx="176">
                  <c:v>15.06.2026</c:v>
                </c:pt>
                <c:pt idx="177">
                  <c:v>22.06.2026</c:v>
                </c:pt>
                <c:pt idx="178">
                  <c:v>29.06.2026</c:v>
                </c:pt>
                <c:pt idx="179">
                  <c:v>06.07.2026</c:v>
                </c:pt>
                <c:pt idx="180">
                  <c:v>13.07.2026</c:v>
                </c:pt>
                <c:pt idx="181">
                  <c:v>20.07.2026</c:v>
                </c:pt>
                <c:pt idx="182">
                  <c:v>27.07.2026</c:v>
                </c:pt>
                <c:pt idx="183">
                  <c:v>03.08.2026</c:v>
                </c:pt>
                <c:pt idx="184">
                  <c:v>10.08.2026</c:v>
                </c:pt>
                <c:pt idx="185">
                  <c:v>17.08.2026</c:v>
                </c:pt>
                <c:pt idx="186">
                  <c:v>24.08.2026</c:v>
                </c:pt>
                <c:pt idx="187">
                  <c:v>31.08.2026</c:v>
                </c:pt>
                <c:pt idx="188">
                  <c:v>07.09.2026</c:v>
                </c:pt>
                <c:pt idx="189">
                  <c:v>14.09.2026</c:v>
                </c:pt>
                <c:pt idx="190">
                  <c:v>21.09.2026</c:v>
                </c:pt>
                <c:pt idx="191">
                  <c:v>28.09.2026</c:v>
                </c:pt>
                <c:pt idx="192">
                  <c:v>05.10.2026</c:v>
                </c:pt>
                <c:pt idx="193">
                  <c:v>12.10.2026</c:v>
                </c:pt>
                <c:pt idx="194">
                  <c:v>19.10.2026</c:v>
                </c:pt>
                <c:pt idx="195">
                  <c:v>26.10.2026</c:v>
                </c:pt>
                <c:pt idx="196">
                  <c:v>02.11.2026</c:v>
                </c:pt>
                <c:pt idx="197">
                  <c:v>09.11.2026</c:v>
                </c:pt>
                <c:pt idx="198">
                  <c:v>16.11.2026</c:v>
                </c:pt>
                <c:pt idx="199">
                  <c:v>23.11.2026</c:v>
                </c:pt>
                <c:pt idx="200">
                  <c:v>30.11.2026</c:v>
                </c:pt>
              </c:strCache>
            </c:strRef>
          </c:cat>
          <c:val>
            <c:numRef>
              <c:f>SapIbpChartFeeder!$C$7:$GU$7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3-E2E1-43FB-92F9-895028F2A241}"/>
            </c:ext>
          </c:extLst>
        </c:ser>
        <c:ser>
          <c:idx val="4"/>
          <c:order val="4"/>
          <c:tx>
            <c:v>Approved Forecast</c:v>
          </c:tx>
          <c:spPr>
            <a:solidFill>
              <a:schemeClr val="accent3">
                <a:lumMod val="60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SapIbpChartFeeder!$C$3:$GU$3</c:f>
              <c:strCache>
                <c:ptCount val="201"/>
                <c:pt idx="0">
                  <c:v>30.01.2023</c:v>
                </c:pt>
                <c:pt idx="1">
                  <c:v>06.02.2023</c:v>
                </c:pt>
                <c:pt idx="2">
                  <c:v>13.02.2023</c:v>
                </c:pt>
                <c:pt idx="3">
                  <c:v>20.02.2023</c:v>
                </c:pt>
                <c:pt idx="4">
                  <c:v>27.02.2023</c:v>
                </c:pt>
                <c:pt idx="5">
                  <c:v>06.03.2023</c:v>
                </c:pt>
                <c:pt idx="6">
                  <c:v>13.03.2023</c:v>
                </c:pt>
                <c:pt idx="7">
                  <c:v>20.03.2023</c:v>
                </c:pt>
                <c:pt idx="8">
                  <c:v>27.03.2023</c:v>
                </c:pt>
                <c:pt idx="9">
                  <c:v>03.04.2023</c:v>
                </c:pt>
                <c:pt idx="10">
                  <c:v>10.04.2023</c:v>
                </c:pt>
                <c:pt idx="11">
                  <c:v>17.04.2023</c:v>
                </c:pt>
                <c:pt idx="12">
                  <c:v>24.04.2023</c:v>
                </c:pt>
                <c:pt idx="13">
                  <c:v>01.05.2023</c:v>
                </c:pt>
                <c:pt idx="14">
                  <c:v>08.05.2023</c:v>
                </c:pt>
                <c:pt idx="15">
                  <c:v>15.05.2023</c:v>
                </c:pt>
                <c:pt idx="16">
                  <c:v>22.05.2023</c:v>
                </c:pt>
                <c:pt idx="17">
                  <c:v>29.05.2023</c:v>
                </c:pt>
                <c:pt idx="18">
                  <c:v>05.06.2023</c:v>
                </c:pt>
                <c:pt idx="19">
                  <c:v>12.06.2023</c:v>
                </c:pt>
                <c:pt idx="20">
                  <c:v>19.06.2023</c:v>
                </c:pt>
                <c:pt idx="21">
                  <c:v>26.06.2023</c:v>
                </c:pt>
                <c:pt idx="22">
                  <c:v>03.07.2023</c:v>
                </c:pt>
                <c:pt idx="23">
                  <c:v>10.07.2023</c:v>
                </c:pt>
                <c:pt idx="24">
                  <c:v>17.07.2023</c:v>
                </c:pt>
                <c:pt idx="25">
                  <c:v>24.07.2023</c:v>
                </c:pt>
                <c:pt idx="26">
                  <c:v>31.07.2023</c:v>
                </c:pt>
                <c:pt idx="27">
                  <c:v>07.08.2023</c:v>
                </c:pt>
                <c:pt idx="28">
                  <c:v>14.08.2023</c:v>
                </c:pt>
                <c:pt idx="29">
                  <c:v>21.08.2023</c:v>
                </c:pt>
                <c:pt idx="30">
                  <c:v>28.08.2023</c:v>
                </c:pt>
                <c:pt idx="31">
                  <c:v>04.09.2023</c:v>
                </c:pt>
                <c:pt idx="32">
                  <c:v>11.09.2023</c:v>
                </c:pt>
                <c:pt idx="33">
                  <c:v>18.09.2023</c:v>
                </c:pt>
                <c:pt idx="34">
                  <c:v>25.09.2023</c:v>
                </c:pt>
                <c:pt idx="35">
                  <c:v>02.10.2023</c:v>
                </c:pt>
                <c:pt idx="36">
                  <c:v>09.10.2023</c:v>
                </c:pt>
                <c:pt idx="37">
                  <c:v>16.10.2023</c:v>
                </c:pt>
                <c:pt idx="38">
                  <c:v>23.10.2023</c:v>
                </c:pt>
                <c:pt idx="39">
                  <c:v>30.10.2023</c:v>
                </c:pt>
                <c:pt idx="40">
                  <c:v>06.11.2023</c:v>
                </c:pt>
                <c:pt idx="41">
                  <c:v>13.11.2023</c:v>
                </c:pt>
                <c:pt idx="42">
                  <c:v>20.11.2023</c:v>
                </c:pt>
                <c:pt idx="43">
                  <c:v>27.11.2023</c:v>
                </c:pt>
                <c:pt idx="44">
                  <c:v>04.12.2023</c:v>
                </c:pt>
                <c:pt idx="45">
                  <c:v>11.12.2023</c:v>
                </c:pt>
                <c:pt idx="46">
                  <c:v>18.12.2023</c:v>
                </c:pt>
                <c:pt idx="47">
                  <c:v>25.12.2023</c:v>
                </c:pt>
                <c:pt idx="48">
                  <c:v>01.01.2024</c:v>
                </c:pt>
                <c:pt idx="49">
                  <c:v>08.01.2024</c:v>
                </c:pt>
                <c:pt idx="50">
                  <c:v>15.01.2024</c:v>
                </c:pt>
                <c:pt idx="51">
                  <c:v>22.01.2024</c:v>
                </c:pt>
                <c:pt idx="52">
                  <c:v>29.01.2024</c:v>
                </c:pt>
                <c:pt idx="53">
                  <c:v>05.02.2024</c:v>
                </c:pt>
                <c:pt idx="54">
                  <c:v>12.02.2024</c:v>
                </c:pt>
                <c:pt idx="55">
                  <c:v>19.02.2024</c:v>
                </c:pt>
                <c:pt idx="56">
                  <c:v>26.02.2024</c:v>
                </c:pt>
                <c:pt idx="57">
                  <c:v>04.03.2024</c:v>
                </c:pt>
                <c:pt idx="58">
                  <c:v>11.03.2024</c:v>
                </c:pt>
                <c:pt idx="59">
                  <c:v>18.03.2024</c:v>
                </c:pt>
                <c:pt idx="60">
                  <c:v>25.03.2024</c:v>
                </c:pt>
                <c:pt idx="61">
                  <c:v>01.04.2024</c:v>
                </c:pt>
                <c:pt idx="62">
                  <c:v>08.04.2024</c:v>
                </c:pt>
                <c:pt idx="63">
                  <c:v>15.04.2024</c:v>
                </c:pt>
                <c:pt idx="64">
                  <c:v>22.04.2024</c:v>
                </c:pt>
                <c:pt idx="65">
                  <c:v>29.04.2024</c:v>
                </c:pt>
                <c:pt idx="66">
                  <c:v>06.05.2024</c:v>
                </c:pt>
                <c:pt idx="67">
                  <c:v>13.05.2024</c:v>
                </c:pt>
                <c:pt idx="68">
                  <c:v>20.05.2024</c:v>
                </c:pt>
                <c:pt idx="69">
                  <c:v>27.05.2024</c:v>
                </c:pt>
                <c:pt idx="70">
                  <c:v>03.06.2024</c:v>
                </c:pt>
                <c:pt idx="71">
                  <c:v>10.06.2024</c:v>
                </c:pt>
                <c:pt idx="72">
                  <c:v>17.06.2024</c:v>
                </c:pt>
                <c:pt idx="73">
                  <c:v>24.06.2024</c:v>
                </c:pt>
                <c:pt idx="74">
                  <c:v>01.07.2024</c:v>
                </c:pt>
                <c:pt idx="75">
                  <c:v>08.07.2024</c:v>
                </c:pt>
                <c:pt idx="76">
                  <c:v>15.07.2024</c:v>
                </c:pt>
                <c:pt idx="77">
                  <c:v>22.07.2024</c:v>
                </c:pt>
                <c:pt idx="78">
                  <c:v>29.07.2024</c:v>
                </c:pt>
                <c:pt idx="79">
                  <c:v>05.08.2024</c:v>
                </c:pt>
                <c:pt idx="80">
                  <c:v>12.08.2024</c:v>
                </c:pt>
                <c:pt idx="81">
                  <c:v>19.08.2024</c:v>
                </c:pt>
                <c:pt idx="82">
                  <c:v>26.08.2024</c:v>
                </c:pt>
                <c:pt idx="83">
                  <c:v>02.09.2024</c:v>
                </c:pt>
                <c:pt idx="84">
                  <c:v>09.09.2024</c:v>
                </c:pt>
                <c:pt idx="85">
                  <c:v>16.09.2024</c:v>
                </c:pt>
                <c:pt idx="86">
                  <c:v>23.09.2024</c:v>
                </c:pt>
                <c:pt idx="87">
                  <c:v>30.09.2024</c:v>
                </c:pt>
                <c:pt idx="88">
                  <c:v>07.10.2024</c:v>
                </c:pt>
                <c:pt idx="89">
                  <c:v>14.10.2024</c:v>
                </c:pt>
                <c:pt idx="90">
                  <c:v>21.10.2024</c:v>
                </c:pt>
                <c:pt idx="91">
                  <c:v>28.10.2024</c:v>
                </c:pt>
                <c:pt idx="92">
                  <c:v>04.11.2024</c:v>
                </c:pt>
                <c:pt idx="93">
                  <c:v>11.11.2024</c:v>
                </c:pt>
                <c:pt idx="94">
                  <c:v>18.11.2024</c:v>
                </c:pt>
                <c:pt idx="95">
                  <c:v>25.11.2024</c:v>
                </c:pt>
                <c:pt idx="96">
                  <c:v>02.12.2024</c:v>
                </c:pt>
                <c:pt idx="97">
                  <c:v>09.12.2024</c:v>
                </c:pt>
                <c:pt idx="98">
                  <c:v>16.12.2024</c:v>
                </c:pt>
                <c:pt idx="99">
                  <c:v>23.12.2024</c:v>
                </c:pt>
                <c:pt idx="100">
                  <c:v>30.12.2024</c:v>
                </c:pt>
                <c:pt idx="101">
                  <c:v>06.01.2025</c:v>
                </c:pt>
                <c:pt idx="102">
                  <c:v>13.01.2025</c:v>
                </c:pt>
                <c:pt idx="103">
                  <c:v>20.01.2025</c:v>
                </c:pt>
                <c:pt idx="104">
                  <c:v>27.01.2025</c:v>
                </c:pt>
                <c:pt idx="105">
                  <c:v>03.02.2025</c:v>
                </c:pt>
                <c:pt idx="106">
                  <c:v>10.02.2025</c:v>
                </c:pt>
                <c:pt idx="107">
                  <c:v>17.02.2025</c:v>
                </c:pt>
                <c:pt idx="108">
                  <c:v>24.02.2025</c:v>
                </c:pt>
                <c:pt idx="109">
                  <c:v>03.03.2025</c:v>
                </c:pt>
                <c:pt idx="110">
                  <c:v>10.03.2025</c:v>
                </c:pt>
                <c:pt idx="111">
                  <c:v>17.03.2025</c:v>
                </c:pt>
                <c:pt idx="112">
                  <c:v>24.03.2025</c:v>
                </c:pt>
                <c:pt idx="113">
                  <c:v>31.03.2025</c:v>
                </c:pt>
                <c:pt idx="114">
                  <c:v>07.04.2025</c:v>
                </c:pt>
                <c:pt idx="115">
                  <c:v>14.04.2025</c:v>
                </c:pt>
                <c:pt idx="116">
                  <c:v>21.04.2025</c:v>
                </c:pt>
                <c:pt idx="117">
                  <c:v>28.04.2025</c:v>
                </c:pt>
                <c:pt idx="118">
                  <c:v>05.05.2025</c:v>
                </c:pt>
                <c:pt idx="119">
                  <c:v>12.05.2025</c:v>
                </c:pt>
                <c:pt idx="120">
                  <c:v>19.05.2025</c:v>
                </c:pt>
                <c:pt idx="121">
                  <c:v>26.05.2025</c:v>
                </c:pt>
                <c:pt idx="122">
                  <c:v>02.06.2025</c:v>
                </c:pt>
                <c:pt idx="123">
                  <c:v>09.06.2025</c:v>
                </c:pt>
                <c:pt idx="124">
                  <c:v>16.06.2025</c:v>
                </c:pt>
                <c:pt idx="125">
                  <c:v>23.06.2025</c:v>
                </c:pt>
                <c:pt idx="126">
                  <c:v>30.06.2025</c:v>
                </c:pt>
                <c:pt idx="127">
                  <c:v>07.07.2025</c:v>
                </c:pt>
                <c:pt idx="128">
                  <c:v>14.07.2025</c:v>
                </c:pt>
                <c:pt idx="129">
                  <c:v>21.07.2025</c:v>
                </c:pt>
                <c:pt idx="130">
                  <c:v>28.07.2025</c:v>
                </c:pt>
                <c:pt idx="131">
                  <c:v>04.08.2025</c:v>
                </c:pt>
                <c:pt idx="132">
                  <c:v>11.08.2025</c:v>
                </c:pt>
                <c:pt idx="133">
                  <c:v>18.08.2025</c:v>
                </c:pt>
                <c:pt idx="134">
                  <c:v>25.08.2025</c:v>
                </c:pt>
                <c:pt idx="135">
                  <c:v>01.09.2025</c:v>
                </c:pt>
                <c:pt idx="136">
                  <c:v>08.09.2025</c:v>
                </c:pt>
                <c:pt idx="137">
                  <c:v>15.09.2025</c:v>
                </c:pt>
                <c:pt idx="138">
                  <c:v>22.09.2025</c:v>
                </c:pt>
                <c:pt idx="139">
                  <c:v>29.09.2025</c:v>
                </c:pt>
                <c:pt idx="140">
                  <c:v>06.10.2025</c:v>
                </c:pt>
                <c:pt idx="141">
                  <c:v>13.10.2025</c:v>
                </c:pt>
                <c:pt idx="142">
                  <c:v>20.10.2025</c:v>
                </c:pt>
                <c:pt idx="143">
                  <c:v>27.10.2025</c:v>
                </c:pt>
                <c:pt idx="144">
                  <c:v>03.11.2025</c:v>
                </c:pt>
                <c:pt idx="145">
                  <c:v>10.11.2025</c:v>
                </c:pt>
                <c:pt idx="146">
                  <c:v>17.11.2025</c:v>
                </c:pt>
                <c:pt idx="147">
                  <c:v>24.11.2025</c:v>
                </c:pt>
                <c:pt idx="148">
                  <c:v>01.12.2025</c:v>
                </c:pt>
                <c:pt idx="149">
                  <c:v>08.12.2025</c:v>
                </c:pt>
                <c:pt idx="150">
                  <c:v>15.12.2025</c:v>
                </c:pt>
                <c:pt idx="151">
                  <c:v>22.12.2025</c:v>
                </c:pt>
                <c:pt idx="152">
                  <c:v>29.12.2025</c:v>
                </c:pt>
                <c:pt idx="153">
                  <c:v>05.01.2026</c:v>
                </c:pt>
                <c:pt idx="154">
                  <c:v>12.01.2026</c:v>
                </c:pt>
                <c:pt idx="155">
                  <c:v>19.01.2026</c:v>
                </c:pt>
                <c:pt idx="156">
                  <c:v>26.01.2026</c:v>
                </c:pt>
                <c:pt idx="157">
                  <c:v>02.02.2026</c:v>
                </c:pt>
                <c:pt idx="158">
                  <c:v>09.02.2026</c:v>
                </c:pt>
                <c:pt idx="159">
                  <c:v>16.02.2026</c:v>
                </c:pt>
                <c:pt idx="160">
                  <c:v>23.02.2026</c:v>
                </c:pt>
                <c:pt idx="161">
                  <c:v>02.03.2026</c:v>
                </c:pt>
                <c:pt idx="162">
                  <c:v>09.03.2026</c:v>
                </c:pt>
                <c:pt idx="163">
                  <c:v>16.03.2026</c:v>
                </c:pt>
                <c:pt idx="164">
                  <c:v>23.03.2026</c:v>
                </c:pt>
                <c:pt idx="165">
                  <c:v>30.03.2026</c:v>
                </c:pt>
                <c:pt idx="166">
                  <c:v>06.04.2026</c:v>
                </c:pt>
                <c:pt idx="167">
                  <c:v>13.04.2026</c:v>
                </c:pt>
                <c:pt idx="168">
                  <c:v>20.04.2026</c:v>
                </c:pt>
                <c:pt idx="169">
                  <c:v>27.04.2026</c:v>
                </c:pt>
                <c:pt idx="170">
                  <c:v>04.05.2026</c:v>
                </c:pt>
                <c:pt idx="171">
                  <c:v>11.05.2026</c:v>
                </c:pt>
                <c:pt idx="172">
                  <c:v>18.05.2026</c:v>
                </c:pt>
                <c:pt idx="173">
                  <c:v>25.05.2026</c:v>
                </c:pt>
                <c:pt idx="174">
                  <c:v>01.06.2026</c:v>
                </c:pt>
                <c:pt idx="175">
                  <c:v>08.06.2026</c:v>
                </c:pt>
                <c:pt idx="176">
                  <c:v>15.06.2026</c:v>
                </c:pt>
                <c:pt idx="177">
                  <c:v>22.06.2026</c:v>
                </c:pt>
                <c:pt idx="178">
                  <c:v>29.06.2026</c:v>
                </c:pt>
                <c:pt idx="179">
                  <c:v>06.07.2026</c:v>
                </c:pt>
                <c:pt idx="180">
                  <c:v>13.07.2026</c:v>
                </c:pt>
                <c:pt idx="181">
                  <c:v>20.07.2026</c:v>
                </c:pt>
                <c:pt idx="182">
                  <c:v>27.07.2026</c:v>
                </c:pt>
                <c:pt idx="183">
                  <c:v>03.08.2026</c:v>
                </c:pt>
                <c:pt idx="184">
                  <c:v>10.08.2026</c:v>
                </c:pt>
                <c:pt idx="185">
                  <c:v>17.08.2026</c:v>
                </c:pt>
                <c:pt idx="186">
                  <c:v>24.08.2026</c:v>
                </c:pt>
                <c:pt idx="187">
                  <c:v>31.08.2026</c:v>
                </c:pt>
                <c:pt idx="188">
                  <c:v>07.09.2026</c:v>
                </c:pt>
                <c:pt idx="189">
                  <c:v>14.09.2026</c:v>
                </c:pt>
                <c:pt idx="190">
                  <c:v>21.09.2026</c:v>
                </c:pt>
                <c:pt idx="191">
                  <c:v>28.09.2026</c:v>
                </c:pt>
                <c:pt idx="192">
                  <c:v>05.10.2026</c:v>
                </c:pt>
                <c:pt idx="193">
                  <c:v>12.10.2026</c:v>
                </c:pt>
                <c:pt idx="194">
                  <c:v>19.10.2026</c:v>
                </c:pt>
                <c:pt idx="195">
                  <c:v>26.10.2026</c:v>
                </c:pt>
                <c:pt idx="196">
                  <c:v>02.11.2026</c:v>
                </c:pt>
                <c:pt idx="197">
                  <c:v>09.11.2026</c:v>
                </c:pt>
                <c:pt idx="198">
                  <c:v>16.11.2026</c:v>
                </c:pt>
                <c:pt idx="199">
                  <c:v>23.11.2026</c:v>
                </c:pt>
                <c:pt idx="200">
                  <c:v>30.11.2026</c:v>
                </c:pt>
              </c:strCache>
            </c:strRef>
          </c:cat>
          <c:val>
            <c:numRef>
              <c:f>SapIbpChartFeeder!$C$8:$GU$8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C1B9-4DCF-8CD5-91DDF08DCA8A}"/>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4.2382060210848262E-2"/>
          <c:h val="0.15611141172088067"/>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6.jpeg"/><Relationship Id="rId2" Type="http://schemas.openxmlformats.org/officeDocument/2006/relationships/image" Target="../media/image25.png"/><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8.emf"/><Relationship Id="rId18" Type="http://schemas.openxmlformats.org/officeDocument/2006/relationships/image" Target="../media/image2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6.emf"/><Relationship Id="rId17" Type="http://schemas.openxmlformats.org/officeDocument/2006/relationships/image" Target="../media/image22.emf"/><Relationship Id="rId2" Type="http://schemas.openxmlformats.org/officeDocument/2006/relationships/image" Target="../media/image12.emf"/><Relationship Id="rId16" Type="http://schemas.openxmlformats.org/officeDocument/2006/relationships/image" Target="../media/image2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7.emf"/><Relationship Id="rId5" Type="http://schemas.openxmlformats.org/officeDocument/2006/relationships/image" Target="../media/image15.emf"/><Relationship Id="rId15" Type="http://schemas.openxmlformats.org/officeDocument/2006/relationships/image" Target="../media/image20.emf"/><Relationship Id="rId10" Type="http://schemas.openxmlformats.org/officeDocument/2006/relationships/image" Target="../media/image8.emf"/><Relationship Id="rId19" Type="http://schemas.openxmlformats.org/officeDocument/2006/relationships/image" Target="../media/image24.emf"/><Relationship Id="rId4" Type="http://schemas.openxmlformats.org/officeDocument/2006/relationships/image" Target="../media/image14.emf"/><Relationship Id="rId9" Type="http://schemas.openxmlformats.org/officeDocument/2006/relationships/image" Target="../media/image10.emf"/><Relationship Id="rId1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66675</xdr:rowOff>
        </xdr:from>
        <xdr:to>
          <xdr:col>7</xdr:col>
          <xdr:colOff>1609725</xdr:colOff>
          <xdr:row>4</xdr:row>
          <xdr:rowOff>342900</xdr:rowOff>
        </xdr:to>
        <xdr:sp macro="" textlink="">
          <xdr:nvSpPr>
            <xdr:cNvPr id="18433" name="cbApplyLevelFormatting"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18434" name="Group Box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2619375</xdr:colOff>
          <xdr:row>5</xdr:row>
          <xdr:rowOff>276225</xdr:rowOff>
        </xdr:to>
        <xdr:sp macro="" textlink="">
          <xdr:nvSpPr>
            <xdr:cNvPr id="18435" name="obLevelRowFirst"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18436" name="obLevelColumnFirst"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2752725</xdr:colOff>
          <xdr:row>5</xdr:row>
          <xdr:rowOff>0</xdr:rowOff>
        </xdr:from>
        <xdr:to>
          <xdr:col>8</xdr:col>
          <xdr:colOff>180975</xdr:colOff>
          <xdr:row>6</xdr:row>
          <xdr:rowOff>0</xdr:rowOff>
        </xdr:to>
        <xdr:sp macro="" textlink="">
          <xdr:nvSpPr>
            <xdr:cNvPr id="18437" name="Group Box 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12</xdr:row>
          <xdr:rowOff>0</xdr:rowOff>
        </xdr:from>
        <xdr:to>
          <xdr:col>12</xdr:col>
          <xdr:colOff>0</xdr:colOff>
          <xdr:row>14</xdr:row>
          <xdr:rowOff>0</xdr:rowOff>
        </xdr:to>
        <xdr:sp macro="" textlink="">
          <xdr:nvSpPr>
            <xdr:cNvPr id="18442" name="Group Box 10"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14</xdr:row>
          <xdr:rowOff>200025</xdr:rowOff>
        </xdr:from>
        <xdr:to>
          <xdr:col>2</xdr:col>
          <xdr:colOff>1019175</xdr:colOff>
          <xdr:row>17</xdr:row>
          <xdr:rowOff>38100</xdr:rowOff>
        </xdr:to>
        <xdr:sp macro="" textlink="">
          <xdr:nvSpPr>
            <xdr:cNvPr id="18445" name="cbUseDefaultLevelFirst" hidden="1">
              <a:extLst>
                <a:ext uri="{63B3BB69-23CF-44E3-9099-C40C66FF867C}">
                  <a14:compatExt spid="_x0000_s18445"/>
                </a:ext>
                <a:ext uri="{FF2B5EF4-FFF2-40B4-BE49-F238E27FC236}">
                  <a16:creationId xmlns:a16="http://schemas.microsoft.com/office/drawing/2014/main" id="{00000000-0008-0000-0100-00000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6</xdr:row>
          <xdr:rowOff>0</xdr:rowOff>
        </xdr:from>
        <xdr:to>
          <xdr:col>12</xdr:col>
          <xdr:colOff>0</xdr:colOff>
          <xdr:row>8</xdr:row>
          <xdr:rowOff>0</xdr:rowOff>
        </xdr:to>
        <xdr:sp macro="" textlink="">
          <xdr:nvSpPr>
            <xdr:cNvPr id="18451" name="Group Box 19" hidden="1">
              <a:extLst>
                <a:ext uri="{63B3BB69-23CF-44E3-9099-C40C66FF867C}">
                  <a14:compatExt spid="_x0000_s18451"/>
                </a:ext>
                <a:ext uri="{FF2B5EF4-FFF2-40B4-BE49-F238E27FC236}">
                  <a16:creationId xmlns:a16="http://schemas.microsoft.com/office/drawing/2014/main" id="{00000000-0008-0000-0100-000013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38100</xdr:rowOff>
        </xdr:to>
        <xdr:sp macro="" textlink="">
          <xdr:nvSpPr>
            <xdr:cNvPr id="18454" name="cbUseDefaultLevelSecond" hidden="1">
              <a:extLst>
                <a:ext uri="{63B3BB69-23CF-44E3-9099-C40C66FF867C}">
                  <a14:compatExt spid="_x0000_s18454"/>
                </a:ext>
                <a:ext uri="{FF2B5EF4-FFF2-40B4-BE49-F238E27FC236}">
                  <a16:creationId xmlns:a16="http://schemas.microsoft.com/office/drawing/2014/main" id="{00000000-0008-0000-0100-00001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21</xdr:row>
          <xdr:rowOff>66675</xdr:rowOff>
        </xdr:from>
        <xdr:to>
          <xdr:col>9</xdr:col>
          <xdr:colOff>600075</xdr:colOff>
          <xdr:row>21</xdr:row>
          <xdr:rowOff>342900</xdr:rowOff>
        </xdr:to>
        <xdr:sp macro="" textlink="">
          <xdr:nvSpPr>
            <xdr:cNvPr id="18459" name="cbApplyMemberFormatting" hidden="1">
              <a:extLst>
                <a:ext uri="{63B3BB69-23CF-44E3-9099-C40C66FF867C}">
                  <a14:compatExt spid="_x0000_s18459"/>
                </a:ext>
                <a:ext uri="{FF2B5EF4-FFF2-40B4-BE49-F238E27FC236}">
                  <a16:creationId xmlns:a16="http://schemas.microsoft.com/office/drawing/2014/main" id="{00000000-0008-0000-01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1276350</xdr:colOff>
          <xdr:row>23</xdr:row>
          <xdr:rowOff>0</xdr:rowOff>
        </xdr:to>
        <xdr:sp macro="" textlink="">
          <xdr:nvSpPr>
            <xdr:cNvPr id="18460" name="Group Box 28" hidden="1">
              <a:extLst>
                <a:ext uri="{63B3BB69-23CF-44E3-9099-C40C66FF867C}">
                  <a14:compatExt spid="_x0000_s18460"/>
                </a:ext>
                <a:ext uri="{FF2B5EF4-FFF2-40B4-BE49-F238E27FC236}">
                  <a16:creationId xmlns:a16="http://schemas.microsoft.com/office/drawing/2014/main" id="{00000000-0008-0000-0100-00001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22</xdr:row>
          <xdr:rowOff>57150</xdr:rowOff>
        </xdr:from>
        <xdr:to>
          <xdr:col>3</xdr:col>
          <xdr:colOff>2619375</xdr:colOff>
          <xdr:row>22</xdr:row>
          <xdr:rowOff>276225</xdr:rowOff>
        </xdr:to>
        <xdr:sp macro="" textlink="">
          <xdr:nvSpPr>
            <xdr:cNvPr id="18461" name="obMemberRowFirst" hidden="1">
              <a:extLst>
                <a:ext uri="{63B3BB69-23CF-44E3-9099-C40C66FF867C}">
                  <a14:compatExt spid="_x0000_s18461"/>
                </a:ext>
                <a:ext uri="{FF2B5EF4-FFF2-40B4-BE49-F238E27FC236}">
                  <a16:creationId xmlns:a16="http://schemas.microsoft.com/office/drawing/2014/main" id="{00000000-0008-0000-0100-00001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22</xdr:row>
          <xdr:rowOff>57150</xdr:rowOff>
        </xdr:from>
        <xdr:to>
          <xdr:col>3</xdr:col>
          <xdr:colOff>447675</xdr:colOff>
          <xdr:row>22</xdr:row>
          <xdr:rowOff>276225</xdr:rowOff>
        </xdr:to>
        <xdr:sp macro="" textlink="">
          <xdr:nvSpPr>
            <xdr:cNvPr id="18462" name="obMemberColumnFirst" hidden="1">
              <a:extLst>
                <a:ext uri="{63B3BB69-23CF-44E3-9099-C40C66FF867C}">
                  <a14:compatExt spid="_x0000_s18462"/>
                </a:ext>
                <a:ext uri="{FF2B5EF4-FFF2-40B4-BE49-F238E27FC236}">
                  <a16:creationId xmlns:a16="http://schemas.microsoft.com/office/drawing/2014/main" id="{00000000-0008-0000-0100-00001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25</xdr:row>
          <xdr:rowOff>0</xdr:rowOff>
        </xdr:from>
        <xdr:to>
          <xdr:col>2</xdr:col>
          <xdr:colOff>1019175</xdr:colOff>
          <xdr:row>28</xdr:row>
          <xdr:rowOff>0</xdr:rowOff>
        </xdr:to>
        <xdr:sp macro="" textlink="">
          <xdr:nvSpPr>
            <xdr:cNvPr id="18464" name="cbApplyCalculatedMemberFirst" hidden="1">
              <a:extLst>
                <a:ext uri="{63B3BB69-23CF-44E3-9099-C40C66FF867C}">
                  <a14:compatExt spid="_x0000_s18464"/>
                </a:ext>
                <a:ext uri="{FF2B5EF4-FFF2-40B4-BE49-F238E27FC236}">
                  <a16:creationId xmlns:a16="http://schemas.microsoft.com/office/drawing/2014/main" id="{00000000-0008-0000-0100-00002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28</xdr:row>
          <xdr:rowOff>0</xdr:rowOff>
        </xdr:from>
        <xdr:to>
          <xdr:col>2</xdr:col>
          <xdr:colOff>1019175</xdr:colOff>
          <xdr:row>30</xdr:row>
          <xdr:rowOff>38100</xdr:rowOff>
        </xdr:to>
        <xdr:sp macro="" textlink="">
          <xdr:nvSpPr>
            <xdr:cNvPr id="18465" name="cbApplyImputableMemberFirst" hidden="1">
              <a:extLst>
                <a:ext uri="{63B3BB69-23CF-44E3-9099-C40C66FF867C}">
                  <a14:compatExt spid="_x0000_s18465"/>
                </a:ext>
                <a:ext uri="{FF2B5EF4-FFF2-40B4-BE49-F238E27FC236}">
                  <a16:creationId xmlns:a16="http://schemas.microsoft.com/office/drawing/2014/main" id="{00000000-0008-0000-0100-00002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31</xdr:row>
          <xdr:rowOff>0</xdr:rowOff>
        </xdr:from>
        <xdr:to>
          <xdr:col>2</xdr:col>
          <xdr:colOff>1019175</xdr:colOff>
          <xdr:row>33</xdr:row>
          <xdr:rowOff>38100</xdr:rowOff>
        </xdr:to>
        <xdr:sp macro="" textlink="">
          <xdr:nvSpPr>
            <xdr:cNvPr id="18466" name="cbApplyLocalMemberFirst" hidden="1">
              <a:extLst>
                <a:ext uri="{63B3BB69-23CF-44E3-9099-C40C66FF867C}">
                  <a14:compatExt spid="_x0000_s18466"/>
                </a:ext>
                <a:ext uri="{FF2B5EF4-FFF2-40B4-BE49-F238E27FC236}">
                  <a16:creationId xmlns:a16="http://schemas.microsoft.com/office/drawing/2014/main" id="{00000000-0008-0000-0100-00002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34</xdr:row>
          <xdr:rowOff>0</xdr:rowOff>
        </xdr:from>
        <xdr:to>
          <xdr:col>2</xdr:col>
          <xdr:colOff>1019175</xdr:colOff>
          <xdr:row>36</xdr:row>
          <xdr:rowOff>38100</xdr:rowOff>
        </xdr:to>
        <xdr:sp macro="" textlink="">
          <xdr:nvSpPr>
            <xdr:cNvPr id="18467" name="cbApplyChangedMemberFirst" hidden="1">
              <a:extLst>
                <a:ext uri="{63B3BB69-23CF-44E3-9099-C40C66FF867C}">
                  <a14:compatExt spid="_x0000_s18467"/>
                </a:ext>
                <a:ext uri="{FF2B5EF4-FFF2-40B4-BE49-F238E27FC236}">
                  <a16:creationId xmlns:a16="http://schemas.microsoft.com/office/drawing/2014/main" id="{00000000-0008-0000-0100-00002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37</xdr:row>
          <xdr:rowOff>47625</xdr:rowOff>
        </xdr:from>
        <xdr:to>
          <xdr:col>2</xdr:col>
          <xdr:colOff>1019175</xdr:colOff>
          <xdr:row>39</xdr:row>
          <xdr:rowOff>0</xdr:rowOff>
        </xdr:to>
        <xdr:sp macro="" textlink="">
          <xdr:nvSpPr>
            <xdr:cNvPr id="18468" name="cbApplySpecificMemberFirst" hidden="1">
              <a:extLst>
                <a:ext uri="{63B3BB69-23CF-44E3-9099-C40C66FF867C}">
                  <a14:compatExt spid="_x0000_s18468"/>
                </a:ext>
                <a:ext uri="{FF2B5EF4-FFF2-40B4-BE49-F238E27FC236}">
                  <a16:creationId xmlns:a16="http://schemas.microsoft.com/office/drawing/2014/main" id="{00000000-0008-0000-0100-00002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147</xdr:row>
          <xdr:rowOff>19050</xdr:rowOff>
        </xdr:from>
        <xdr:to>
          <xdr:col>3</xdr:col>
          <xdr:colOff>4286250</xdr:colOff>
          <xdr:row>147</xdr:row>
          <xdr:rowOff>266700</xdr:rowOff>
        </xdr:to>
        <xdr:sp macro="" textlink="">
          <xdr:nvSpPr>
            <xdr:cNvPr id="18469" name="AddMemberFirst" hidden="1">
              <a:extLst>
                <a:ext uri="{63B3BB69-23CF-44E3-9099-C40C66FF867C}">
                  <a14:compatExt spid="_x0000_s18469"/>
                </a:ext>
                <a:ext uri="{FF2B5EF4-FFF2-40B4-BE49-F238E27FC236}">
                  <a16:creationId xmlns:a16="http://schemas.microsoft.com/office/drawing/2014/main" id="{00000000-0008-0000-0100-00002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151</xdr:row>
          <xdr:rowOff>0</xdr:rowOff>
        </xdr:from>
        <xdr:to>
          <xdr:col>2</xdr:col>
          <xdr:colOff>1019175</xdr:colOff>
          <xdr:row>153</xdr:row>
          <xdr:rowOff>47625</xdr:rowOff>
        </xdr:to>
        <xdr:sp macro="" textlink="">
          <xdr:nvSpPr>
            <xdr:cNvPr id="18471" name="cbApplyCalculatedMemberSecond" hidden="1">
              <a:extLst>
                <a:ext uri="{63B3BB69-23CF-44E3-9099-C40C66FF867C}">
                  <a14:compatExt spid="_x0000_s18471"/>
                </a:ext>
                <a:ext uri="{FF2B5EF4-FFF2-40B4-BE49-F238E27FC236}">
                  <a16:creationId xmlns:a16="http://schemas.microsoft.com/office/drawing/2014/main" id="{00000000-0008-0000-0100-00002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154</xdr:row>
          <xdr:rowOff>0</xdr:rowOff>
        </xdr:from>
        <xdr:to>
          <xdr:col>2</xdr:col>
          <xdr:colOff>1019175</xdr:colOff>
          <xdr:row>156</xdr:row>
          <xdr:rowOff>38100</xdr:rowOff>
        </xdr:to>
        <xdr:sp macro="" textlink="">
          <xdr:nvSpPr>
            <xdr:cNvPr id="18472" name="cbApplyImputableMemberSecond" hidden="1">
              <a:extLst>
                <a:ext uri="{63B3BB69-23CF-44E3-9099-C40C66FF867C}">
                  <a14:compatExt spid="_x0000_s18472"/>
                </a:ext>
                <a:ext uri="{FF2B5EF4-FFF2-40B4-BE49-F238E27FC236}">
                  <a16:creationId xmlns:a16="http://schemas.microsoft.com/office/drawing/2014/main" id="{00000000-0008-0000-0100-00002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157</xdr:row>
          <xdr:rowOff>0</xdr:rowOff>
        </xdr:from>
        <xdr:to>
          <xdr:col>2</xdr:col>
          <xdr:colOff>1019175</xdr:colOff>
          <xdr:row>159</xdr:row>
          <xdr:rowOff>38100</xdr:rowOff>
        </xdr:to>
        <xdr:sp macro="" textlink="">
          <xdr:nvSpPr>
            <xdr:cNvPr id="18473" name="cbApplyLocalMemberSecond" hidden="1">
              <a:extLst>
                <a:ext uri="{63B3BB69-23CF-44E3-9099-C40C66FF867C}">
                  <a14:compatExt spid="_x0000_s18473"/>
                </a:ext>
                <a:ext uri="{FF2B5EF4-FFF2-40B4-BE49-F238E27FC236}">
                  <a16:creationId xmlns:a16="http://schemas.microsoft.com/office/drawing/2014/main" id="{00000000-0008-0000-0100-00002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160</xdr:row>
          <xdr:rowOff>0</xdr:rowOff>
        </xdr:from>
        <xdr:to>
          <xdr:col>2</xdr:col>
          <xdr:colOff>1019175</xdr:colOff>
          <xdr:row>162</xdr:row>
          <xdr:rowOff>38100</xdr:rowOff>
        </xdr:to>
        <xdr:sp macro="" textlink="">
          <xdr:nvSpPr>
            <xdr:cNvPr id="18474" name="cbApplyChangedMemberSecond" hidden="1">
              <a:extLst>
                <a:ext uri="{63B3BB69-23CF-44E3-9099-C40C66FF867C}">
                  <a14:compatExt spid="_x0000_s18474"/>
                </a:ext>
                <a:ext uri="{FF2B5EF4-FFF2-40B4-BE49-F238E27FC236}">
                  <a16:creationId xmlns:a16="http://schemas.microsoft.com/office/drawing/2014/main" id="{00000000-0008-0000-0100-00002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163</xdr:row>
          <xdr:rowOff>47625</xdr:rowOff>
        </xdr:from>
        <xdr:to>
          <xdr:col>2</xdr:col>
          <xdr:colOff>1019175</xdr:colOff>
          <xdr:row>165</xdr:row>
          <xdr:rowOff>0</xdr:rowOff>
        </xdr:to>
        <xdr:sp macro="" textlink="">
          <xdr:nvSpPr>
            <xdr:cNvPr id="18475" name="cbApplySpecificMemberSecond" hidden="1">
              <a:extLst>
                <a:ext uri="{63B3BB69-23CF-44E3-9099-C40C66FF867C}">
                  <a14:compatExt spid="_x0000_s18475"/>
                </a:ext>
                <a:ext uri="{FF2B5EF4-FFF2-40B4-BE49-F238E27FC236}">
                  <a16:creationId xmlns:a16="http://schemas.microsoft.com/office/drawing/2014/main" id="{00000000-0008-0000-0100-00002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186</xdr:row>
          <xdr:rowOff>19050</xdr:rowOff>
        </xdr:from>
        <xdr:to>
          <xdr:col>3</xdr:col>
          <xdr:colOff>4286250</xdr:colOff>
          <xdr:row>186</xdr:row>
          <xdr:rowOff>266700</xdr:rowOff>
        </xdr:to>
        <xdr:sp macro="" textlink="">
          <xdr:nvSpPr>
            <xdr:cNvPr id="18476" name="AddMemberSecond" hidden="1">
              <a:extLst>
                <a:ext uri="{63B3BB69-23CF-44E3-9099-C40C66FF867C}">
                  <a14:compatExt spid="_x0000_s18476"/>
                </a:ext>
                <a:ext uri="{FF2B5EF4-FFF2-40B4-BE49-F238E27FC236}">
                  <a16:creationId xmlns:a16="http://schemas.microsoft.com/office/drawing/2014/main" id="{00000000-0008-0000-0100-00002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190</xdr:row>
          <xdr:rowOff>66675</xdr:rowOff>
        </xdr:from>
        <xdr:to>
          <xdr:col>7</xdr:col>
          <xdr:colOff>1800225</xdr:colOff>
          <xdr:row>190</xdr:row>
          <xdr:rowOff>342900</xdr:rowOff>
        </xdr:to>
        <xdr:sp macro="" textlink="">
          <xdr:nvSpPr>
            <xdr:cNvPr id="18477" name="cbApplyOddEvenFormatting" hidden="1">
              <a:extLst>
                <a:ext uri="{63B3BB69-23CF-44E3-9099-C40C66FF867C}">
                  <a14:compatExt spid="_x0000_s18477"/>
                </a:ext>
                <a:ext uri="{FF2B5EF4-FFF2-40B4-BE49-F238E27FC236}">
                  <a16:creationId xmlns:a16="http://schemas.microsoft.com/office/drawing/2014/main" id="{00000000-0008-0000-0100-00002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191</xdr:row>
          <xdr:rowOff>0</xdr:rowOff>
        </xdr:from>
        <xdr:to>
          <xdr:col>11</xdr:col>
          <xdr:colOff>1276350</xdr:colOff>
          <xdr:row>192</xdr:row>
          <xdr:rowOff>0</xdr:rowOff>
        </xdr:to>
        <xdr:sp macro="" textlink="">
          <xdr:nvSpPr>
            <xdr:cNvPr id="18478" name="Group Box 46" hidden="1">
              <a:extLst>
                <a:ext uri="{63B3BB69-23CF-44E3-9099-C40C66FF867C}">
                  <a14:compatExt spid="_x0000_s18478"/>
                </a:ext>
                <a:ext uri="{FF2B5EF4-FFF2-40B4-BE49-F238E27FC236}">
                  <a16:creationId xmlns:a16="http://schemas.microsoft.com/office/drawing/2014/main" id="{00000000-0008-0000-0100-00002E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191</xdr:row>
          <xdr:rowOff>66675</xdr:rowOff>
        </xdr:from>
        <xdr:to>
          <xdr:col>3</xdr:col>
          <xdr:colOff>2619375</xdr:colOff>
          <xdr:row>191</xdr:row>
          <xdr:rowOff>276225</xdr:rowOff>
        </xdr:to>
        <xdr:sp macro="" textlink="">
          <xdr:nvSpPr>
            <xdr:cNvPr id="18479" name="obOddEvenRowFirst" hidden="1">
              <a:extLst>
                <a:ext uri="{63B3BB69-23CF-44E3-9099-C40C66FF867C}">
                  <a14:compatExt spid="_x0000_s18479"/>
                </a:ext>
                <a:ext uri="{FF2B5EF4-FFF2-40B4-BE49-F238E27FC236}">
                  <a16:creationId xmlns:a16="http://schemas.microsoft.com/office/drawing/2014/main" id="{00000000-0008-0000-0100-00002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191</xdr:row>
          <xdr:rowOff>66675</xdr:rowOff>
        </xdr:from>
        <xdr:to>
          <xdr:col>3</xdr:col>
          <xdr:colOff>447675</xdr:colOff>
          <xdr:row>191</xdr:row>
          <xdr:rowOff>276225</xdr:rowOff>
        </xdr:to>
        <xdr:sp macro="" textlink="">
          <xdr:nvSpPr>
            <xdr:cNvPr id="18480" name="obOddEvenColumnFirst" hidden="1">
              <a:extLst>
                <a:ext uri="{63B3BB69-23CF-44E3-9099-C40C66FF867C}">
                  <a14:compatExt spid="_x0000_s18480"/>
                </a:ext>
                <a:ext uri="{FF2B5EF4-FFF2-40B4-BE49-F238E27FC236}">
                  <a16:creationId xmlns:a16="http://schemas.microsoft.com/office/drawing/2014/main" id="{00000000-0008-0000-0100-00003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194</xdr:row>
          <xdr:rowOff>0</xdr:rowOff>
        </xdr:from>
        <xdr:to>
          <xdr:col>2</xdr:col>
          <xdr:colOff>1019175</xdr:colOff>
          <xdr:row>196</xdr:row>
          <xdr:rowOff>38100</xdr:rowOff>
        </xdr:to>
        <xdr:sp macro="" textlink="">
          <xdr:nvSpPr>
            <xdr:cNvPr id="18481" name="cbUseOddFirst" hidden="1">
              <a:extLst>
                <a:ext uri="{63B3BB69-23CF-44E3-9099-C40C66FF867C}">
                  <a14:compatExt spid="_x0000_s18481"/>
                </a:ext>
                <a:ext uri="{FF2B5EF4-FFF2-40B4-BE49-F238E27FC236}">
                  <a16:creationId xmlns:a16="http://schemas.microsoft.com/office/drawing/2014/main" id="{00000000-0008-0000-0100-00003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197</xdr:row>
          <xdr:rowOff>0</xdr:rowOff>
        </xdr:from>
        <xdr:to>
          <xdr:col>2</xdr:col>
          <xdr:colOff>1019175</xdr:colOff>
          <xdr:row>199</xdr:row>
          <xdr:rowOff>38100</xdr:rowOff>
        </xdr:to>
        <xdr:sp macro="" textlink="">
          <xdr:nvSpPr>
            <xdr:cNvPr id="18482" name="cbUseEvenFirst" hidden="1">
              <a:extLst>
                <a:ext uri="{63B3BB69-23CF-44E3-9099-C40C66FF867C}">
                  <a14:compatExt spid="_x0000_s18482"/>
                </a:ext>
                <a:ext uri="{FF2B5EF4-FFF2-40B4-BE49-F238E27FC236}">
                  <a16:creationId xmlns:a16="http://schemas.microsoft.com/office/drawing/2014/main" id="{00000000-0008-0000-0100-00003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202</xdr:row>
          <xdr:rowOff>0</xdr:rowOff>
        </xdr:from>
        <xdr:to>
          <xdr:col>2</xdr:col>
          <xdr:colOff>1019175</xdr:colOff>
          <xdr:row>204</xdr:row>
          <xdr:rowOff>38100</xdr:rowOff>
        </xdr:to>
        <xdr:sp macro="" textlink="">
          <xdr:nvSpPr>
            <xdr:cNvPr id="18483" name="cbUseOddSecond" hidden="1">
              <a:extLst>
                <a:ext uri="{63B3BB69-23CF-44E3-9099-C40C66FF867C}">
                  <a14:compatExt spid="_x0000_s18483"/>
                </a:ext>
                <a:ext uri="{FF2B5EF4-FFF2-40B4-BE49-F238E27FC236}">
                  <a16:creationId xmlns:a16="http://schemas.microsoft.com/office/drawing/2014/main" id="{00000000-0008-0000-0100-00003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204</xdr:row>
          <xdr:rowOff>47625</xdr:rowOff>
        </xdr:from>
        <xdr:to>
          <xdr:col>2</xdr:col>
          <xdr:colOff>1019175</xdr:colOff>
          <xdr:row>207</xdr:row>
          <xdr:rowOff>38100</xdr:rowOff>
        </xdr:to>
        <xdr:sp macro="" textlink="">
          <xdr:nvSpPr>
            <xdr:cNvPr id="18484" name="cbUseEvenSecond" hidden="1">
              <a:extLst>
                <a:ext uri="{63B3BB69-23CF-44E3-9099-C40C66FF867C}">
                  <a14:compatExt spid="_x0000_s18484"/>
                </a:ext>
                <a:ext uri="{FF2B5EF4-FFF2-40B4-BE49-F238E27FC236}">
                  <a16:creationId xmlns:a16="http://schemas.microsoft.com/office/drawing/2014/main" id="{00000000-0008-0000-0100-00003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39</xdr:row>
          <xdr:rowOff>47625</xdr:rowOff>
        </xdr:from>
        <xdr:to>
          <xdr:col>12</xdr:col>
          <xdr:colOff>676275</xdr:colOff>
          <xdr:row>40</xdr:row>
          <xdr:rowOff>190500</xdr:rowOff>
        </xdr:to>
        <xdr:sp macro="" textlink="">
          <xdr:nvSpPr>
            <xdr:cNvPr id="18489" name="AddedMember1_1" hidden="1">
              <a:extLst>
                <a:ext uri="{63B3BB69-23CF-44E3-9099-C40C66FF867C}">
                  <a14:compatExt spid="_x0000_s18489"/>
                </a:ext>
                <a:ext uri="{FF2B5EF4-FFF2-40B4-BE49-F238E27FC236}">
                  <a16:creationId xmlns:a16="http://schemas.microsoft.com/office/drawing/2014/main" id="{00000000-0008-0000-0100-00003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39</xdr:row>
          <xdr:rowOff>47625</xdr:rowOff>
        </xdr:from>
        <xdr:to>
          <xdr:col>13</xdr:col>
          <xdr:colOff>685800</xdr:colOff>
          <xdr:row>40</xdr:row>
          <xdr:rowOff>190500</xdr:rowOff>
        </xdr:to>
        <xdr:sp macro="" textlink="">
          <xdr:nvSpPr>
            <xdr:cNvPr id="18490" name="ChangeMember1_1" hidden="1">
              <a:extLst>
                <a:ext uri="{63B3BB69-23CF-44E3-9099-C40C66FF867C}">
                  <a14:compatExt spid="_x0000_s18490"/>
                </a:ext>
                <a:ext uri="{FF2B5EF4-FFF2-40B4-BE49-F238E27FC236}">
                  <a16:creationId xmlns:a16="http://schemas.microsoft.com/office/drawing/2014/main" id="{00000000-0008-0000-0100-00003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47625</xdr:rowOff>
        </xdr:from>
        <xdr:to>
          <xdr:col>14</xdr:col>
          <xdr:colOff>685800</xdr:colOff>
          <xdr:row>40</xdr:row>
          <xdr:rowOff>190500</xdr:rowOff>
        </xdr:to>
        <xdr:sp macro="" textlink="">
          <xdr:nvSpPr>
            <xdr:cNvPr id="18491" name="UpMember1_1" hidden="1">
              <a:extLst>
                <a:ext uri="{63B3BB69-23CF-44E3-9099-C40C66FF867C}">
                  <a14:compatExt spid="_x0000_s18491"/>
                </a:ext>
                <a:ext uri="{FF2B5EF4-FFF2-40B4-BE49-F238E27FC236}">
                  <a16:creationId xmlns:a16="http://schemas.microsoft.com/office/drawing/2014/main" id="{00000000-0008-0000-0100-00003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39</xdr:row>
          <xdr:rowOff>47625</xdr:rowOff>
        </xdr:from>
        <xdr:to>
          <xdr:col>15</xdr:col>
          <xdr:colOff>676275</xdr:colOff>
          <xdr:row>40</xdr:row>
          <xdr:rowOff>190500</xdr:rowOff>
        </xdr:to>
        <xdr:sp macro="" textlink="">
          <xdr:nvSpPr>
            <xdr:cNvPr id="18492" name="DownMember1_1" hidden="1">
              <a:extLst>
                <a:ext uri="{63B3BB69-23CF-44E3-9099-C40C66FF867C}">
                  <a14:compatExt spid="_x0000_s18492"/>
                </a:ext>
                <a:ext uri="{FF2B5EF4-FFF2-40B4-BE49-F238E27FC236}">
                  <a16:creationId xmlns:a16="http://schemas.microsoft.com/office/drawing/2014/main" id="{00000000-0008-0000-0100-00003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42</xdr:row>
          <xdr:rowOff>47625</xdr:rowOff>
        </xdr:from>
        <xdr:to>
          <xdr:col>12</xdr:col>
          <xdr:colOff>676275</xdr:colOff>
          <xdr:row>44</xdr:row>
          <xdr:rowOff>0</xdr:rowOff>
        </xdr:to>
        <xdr:sp macro="" textlink="">
          <xdr:nvSpPr>
            <xdr:cNvPr id="18493" name="AddedMember1_2" hidden="1">
              <a:extLst>
                <a:ext uri="{63B3BB69-23CF-44E3-9099-C40C66FF867C}">
                  <a14:compatExt spid="_x0000_s18493"/>
                </a:ext>
                <a:ext uri="{FF2B5EF4-FFF2-40B4-BE49-F238E27FC236}">
                  <a16:creationId xmlns:a16="http://schemas.microsoft.com/office/drawing/2014/main" id="{00000000-0008-0000-0100-00003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42</xdr:row>
          <xdr:rowOff>47625</xdr:rowOff>
        </xdr:from>
        <xdr:to>
          <xdr:col>13</xdr:col>
          <xdr:colOff>685800</xdr:colOff>
          <xdr:row>44</xdr:row>
          <xdr:rowOff>0</xdr:rowOff>
        </xdr:to>
        <xdr:sp macro="" textlink="">
          <xdr:nvSpPr>
            <xdr:cNvPr id="18494" name="ChangeMember1_2" hidden="1">
              <a:extLst>
                <a:ext uri="{63B3BB69-23CF-44E3-9099-C40C66FF867C}">
                  <a14:compatExt spid="_x0000_s18494"/>
                </a:ext>
                <a:ext uri="{FF2B5EF4-FFF2-40B4-BE49-F238E27FC236}">
                  <a16:creationId xmlns:a16="http://schemas.microsoft.com/office/drawing/2014/main" id="{00000000-0008-0000-0100-00003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47625</xdr:rowOff>
        </xdr:from>
        <xdr:to>
          <xdr:col>14</xdr:col>
          <xdr:colOff>685800</xdr:colOff>
          <xdr:row>44</xdr:row>
          <xdr:rowOff>0</xdr:rowOff>
        </xdr:to>
        <xdr:sp macro="" textlink="">
          <xdr:nvSpPr>
            <xdr:cNvPr id="18495" name="UpMember1_2" hidden="1">
              <a:extLst>
                <a:ext uri="{63B3BB69-23CF-44E3-9099-C40C66FF867C}">
                  <a14:compatExt spid="_x0000_s18495"/>
                </a:ext>
                <a:ext uri="{FF2B5EF4-FFF2-40B4-BE49-F238E27FC236}">
                  <a16:creationId xmlns:a16="http://schemas.microsoft.com/office/drawing/2014/main" id="{00000000-0008-0000-0100-00003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42</xdr:row>
          <xdr:rowOff>47625</xdr:rowOff>
        </xdr:from>
        <xdr:to>
          <xdr:col>15</xdr:col>
          <xdr:colOff>676275</xdr:colOff>
          <xdr:row>44</xdr:row>
          <xdr:rowOff>0</xdr:rowOff>
        </xdr:to>
        <xdr:sp macro="" textlink="">
          <xdr:nvSpPr>
            <xdr:cNvPr id="18496" name="DownMember1_2" hidden="1">
              <a:extLst>
                <a:ext uri="{63B3BB69-23CF-44E3-9099-C40C66FF867C}">
                  <a14:compatExt spid="_x0000_s18496"/>
                </a:ext>
                <a:ext uri="{FF2B5EF4-FFF2-40B4-BE49-F238E27FC236}">
                  <a16:creationId xmlns:a16="http://schemas.microsoft.com/office/drawing/2014/main" id="{00000000-0008-0000-0100-00004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46</xdr:row>
          <xdr:rowOff>0</xdr:rowOff>
        </xdr:from>
        <xdr:to>
          <xdr:col>12</xdr:col>
          <xdr:colOff>676275</xdr:colOff>
          <xdr:row>47</xdr:row>
          <xdr:rowOff>0</xdr:rowOff>
        </xdr:to>
        <xdr:sp macro="" textlink="">
          <xdr:nvSpPr>
            <xdr:cNvPr id="18497" name="AddedMember1_3" hidden="1">
              <a:extLst>
                <a:ext uri="{63B3BB69-23CF-44E3-9099-C40C66FF867C}">
                  <a14:compatExt spid="_x0000_s18497"/>
                </a:ext>
                <a:ext uri="{FF2B5EF4-FFF2-40B4-BE49-F238E27FC236}">
                  <a16:creationId xmlns:a16="http://schemas.microsoft.com/office/drawing/2014/main" id="{00000000-0008-0000-0100-00004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46</xdr:row>
          <xdr:rowOff>0</xdr:rowOff>
        </xdr:from>
        <xdr:to>
          <xdr:col>13</xdr:col>
          <xdr:colOff>685800</xdr:colOff>
          <xdr:row>47</xdr:row>
          <xdr:rowOff>0</xdr:rowOff>
        </xdr:to>
        <xdr:sp macro="" textlink="">
          <xdr:nvSpPr>
            <xdr:cNvPr id="18498" name="ChangeMember1_3" hidden="1">
              <a:extLst>
                <a:ext uri="{63B3BB69-23CF-44E3-9099-C40C66FF867C}">
                  <a14:compatExt spid="_x0000_s18498"/>
                </a:ext>
                <a:ext uri="{FF2B5EF4-FFF2-40B4-BE49-F238E27FC236}">
                  <a16:creationId xmlns:a16="http://schemas.microsoft.com/office/drawing/2014/main" id="{00000000-0008-0000-0100-00004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46</xdr:row>
          <xdr:rowOff>0</xdr:rowOff>
        </xdr:from>
        <xdr:to>
          <xdr:col>14</xdr:col>
          <xdr:colOff>685800</xdr:colOff>
          <xdr:row>47</xdr:row>
          <xdr:rowOff>0</xdr:rowOff>
        </xdr:to>
        <xdr:sp macro="" textlink="">
          <xdr:nvSpPr>
            <xdr:cNvPr id="18499" name="UpMember1_3" hidden="1">
              <a:extLst>
                <a:ext uri="{63B3BB69-23CF-44E3-9099-C40C66FF867C}">
                  <a14:compatExt spid="_x0000_s18499"/>
                </a:ext>
                <a:ext uri="{FF2B5EF4-FFF2-40B4-BE49-F238E27FC236}">
                  <a16:creationId xmlns:a16="http://schemas.microsoft.com/office/drawing/2014/main" id="{00000000-0008-0000-0100-00004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46</xdr:row>
          <xdr:rowOff>0</xdr:rowOff>
        </xdr:from>
        <xdr:to>
          <xdr:col>15</xdr:col>
          <xdr:colOff>676275</xdr:colOff>
          <xdr:row>47</xdr:row>
          <xdr:rowOff>0</xdr:rowOff>
        </xdr:to>
        <xdr:sp macro="" textlink="">
          <xdr:nvSpPr>
            <xdr:cNvPr id="18500" name="DownMember1_3" hidden="1">
              <a:extLst>
                <a:ext uri="{63B3BB69-23CF-44E3-9099-C40C66FF867C}">
                  <a14:compatExt spid="_x0000_s18500"/>
                </a:ext>
                <a:ext uri="{FF2B5EF4-FFF2-40B4-BE49-F238E27FC236}">
                  <a16:creationId xmlns:a16="http://schemas.microsoft.com/office/drawing/2014/main" id="{00000000-0008-0000-0100-00004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49</xdr:row>
          <xdr:rowOff>0</xdr:rowOff>
        </xdr:from>
        <xdr:to>
          <xdr:col>12</xdr:col>
          <xdr:colOff>676275</xdr:colOff>
          <xdr:row>50</xdr:row>
          <xdr:rowOff>0</xdr:rowOff>
        </xdr:to>
        <xdr:sp macro="" textlink="">
          <xdr:nvSpPr>
            <xdr:cNvPr id="18501" name="AddedMember1_4" hidden="1">
              <a:extLst>
                <a:ext uri="{63B3BB69-23CF-44E3-9099-C40C66FF867C}">
                  <a14:compatExt spid="_x0000_s18501"/>
                </a:ext>
                <a:ext uri="{FF2B5EF4-FFF2-40B4-BE49-F238E27FC236}">
                  <a16:creationId xmlns:a16="http://schemas.microsoft.com/office/drawing/2014/main" id="{00000000-0008-0000-0100-00004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49</xdr:row>
          <xdr:rowOff>0</xdr:rowOff>
        </xdr:from>
        <xdr:to>
          <xdr:col>13</xdr:col>
          <xdr:colOff>685800</xdr:colOff>
          <xdr:row>50</xdr:row>
          <xdr:rowOff>0</xdr:rowOff>
        </xdr:to>
        <xdr:sp macro="" textlink="">
          <xdr:nvSpPr>
            <xdr:cNvPr id="18502" name="ChangeMember1_4" hidden="1">
              <a:extLst>
                <a:ext uri="{63B3BB69-23CF-44E3-9099-C40C66FF867C}">
                  <a14:compatExt spid="_x0000_s18502"/>
                </a:ext>
                <a:ext uri="{FF2B5EF4-FFF2-40B4-BE49-F238E27FC236}">
                  <a16:creationId xmlns:a16="http://schemas.microsoft.com/office/drawing/2014/main" id="{00000000-0008-0000-0100-00004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49</xdr:row>
          <xdr:rowOff>0</xdr:rowOff>
        </xdr:from>
        <xdr:to>
          <xdr:col>14</xdr:col>
          <xdr:colOff>685800</xdr:colOff>
          <xdr:row>50</xdr:row>
          <xdr:rowOff>0</xdr:rowOff>
        </xdr:to>
        <xdr:sp macro="" textlink="">
          <xdr:nvSpPr>
            <xdr:cNvPr id="18503" name="UpMember1_4" hidden="1">
              <a:extLst>
                <a:ext uri="{63B3BB69-23CF-44E3-9099-C40C66FF867C}">
                  <a14:compatExt spid="_x0000_s18503"/>
                </a:ext>
                <a:ext uri="{FF2B5EF4-FFF2-40B4-BE49-F238E27FC236}">
                  <a16:creationId xmlns:a16="http://schemas.microsoft.com/office/drawing/2014/main" id="{00000000-0008-0000-0100-00004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49</xdr:row>
          <xdr:rowOff>0</xdr:rowOff>
        </xdr:from>
        <xdr:to>
          <xdr:col>15</xdr:col>
          <xdr:colOff>676275</xdr:colOff>
          <xdr:row>50</xdr:row>
          <xdr:rowOff>0</xdr:rowOff>
        </xdr:to>
        <xdr:sp macro="" textlink="">
          <xdr:nvSpPr>
            <xdr:cNvPr id="18504" name="DownMember1_4" hidden="1">
              <a:extLst>
                <a:ext uri="{63B3BB69-23CF-44E3-9099-C40C66FF867C}">
                  <a14:compatExt spid="_x0000_s18504"/>
                </a:ext>
                <a:ext uri="{FF2B5EF4-FFF2-40B4-BE49-F238E27FC236}">
                  <a16:creationId xmlns:a16="http://schemas.microsoft.com/office/drawing/2014/main" id="{00000000-0008-0000-0100-00004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52</xdr:row>
          <xdr:rowOff>0</xdr:rowOff>
        </xdr:from>
        <xdr:to>
          <xdr:col>12</xdr:col>
          <xdr:colOff>676275</xdr:colOff>
          <xdr:row>53</xdr:row>
          <xdr:rowOff>9525</xdr:rowOff>
        </xdr:to>
        <xdr:sp macro="" textlink="">
          <xdr:nvSpPr>
            <xdr:cNvPr id="18505" name="AddedMember1_5" hidden="1">
              <a:extLst>
                <a:ext uri="{63B3BB69-23CF-44E3-9099-C40C66FF867C}">
                  <a14:compatExt spid="_x0000_s18505"/>
                </a:ext>
                <a:ext uri="{FF2B5EF4-FFF2-40B4-BE49-F238E27FC236}">
                  <a16:creationId xmlns:a16="http://schemas.microsoft.com/office/drawing/2014/main" id="{00000000-0008-0000-0100-00004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52</xdr:row>
          <xdr:rowOff>0</xdr:rowOff>
        </xdr:from>
        <xdr:to>
          <xdr:col>13</xdr:col>
          <xdr:colOff>685800</xdr:colOff>
          <xdr:row>53</xdr:row>
          <xdr:rowOff>9525</xdr:rowOff>
        </xdr:to>
        <xdr:sp macro="" textlink="">
          <xdr:nvSpPr>
            <xdr:cNvPr id="18506" name="ChangeMember1_5" hidden="1">
              <a:extLst>
                <a:ext uri="{63B3BB69-23CF-44E3-9099-C40C66FF867C}">
                  <a14:compatExt spid="_x0000_s18506"/>
                </a:ext>
                <a:ext uri="{FF2B5EF4-FFF2-40B4-BE49-F238E27FC236}">
                  <a16:creationId xmlns:a16="http://schemas.microsoft.com/office/drawing/2014/main" id="{00000000-0008-0000-0100-00004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52</xdr:row>
          <xdr:rowOff>0</xdr:rowOff>
        </xdr:from>
        <xdr:to>
          <xdr:col>14</xdr:col>
          <xdr:colOff>685800</xdr:colOff>
          <xdr:row>53</xdr:row>
          <xdr:rowOff>9525</xdr:rowOff>
        </xdr:to>
        <xdr:sp macro="" textlink="">
          <xdr:nvSpPr>
            <xdr:cNvPr id="18507" name="UpMember1_5" hidden="1">
              <a:extLst>
                <a:ext uri="{63B3BB69-23CF-44E3-9099-C40C66FF867C}">
                  <a14:compatExt spid="_x0000_s18507"/>
                </a:ext>
                <a:ext uri="{FF2B5EF4-FFF2-40B4-BE49-F238E27FC236}">
                  <a16:creationId xmlns:a16="http://schemas.microsoft.com/office/drawing/2014/main" id="{00000000-0008-0000-0100-00004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52</xdr:row>
          <xdr:rowOff>0</xdr:rowOff>
        </xdr:from>
        <xdr:to>
          <xdr:col>15</xdr:col>
          <xdr:colOff>676275</xdr:colOff>
          <xdr:row>53</xdr:row>
          <xdr:rowOff>9525</xdr:rowOff>
        </xdr:to>
        <xdr:sp macro="" textlink="">
          <xdr:nvSpPr>
            <xdr:cNvPr id="18508" name="DownMember1_5" hidden="1">
              <a:extLst>
                <a:ext uri="{63B3BB69-23CF-44E3-9099-C40C66FF867C}">
                  <a14:compatExt spid="_x0000_s18508"/>
                </a:ext>
                <a:ext uri="{FF2B5EF4-FFF2-40B4-BE49-F238E27FC236}">
                  <a16:creationId xmlns:a16="http://schemas.microsoft.com/office/drawing/2014/main" id="{00000000-0008-0000-0100-00004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54</xdr:row>
          <xdr:rowOff>47625</xdr:rowOff>
        </xdr:from>
        <xdr:to>
          <xdr:col>12</xdr:col>
          <xdr:colOff>676275</xdr:colOff>
          <xdr:row>56</xdr:row>
          <xdr:rowOff>0</xdr:rowOff>
        </xdr:to>
        <xdr:sp macro="" textlink="">
          <xdr:nvSpPr>
            <xdr:cNvPr id="18509" name="AddedMember1_6" hidden="1">
              <a:extLst>
                <a:ext uri="{63B3BB69-23CF-44E3-9099-C40C66FF867C}">
                  <a14:compatExt spid="_x0000_s18509"/>
                </a:ext>
                <a:ext uri="{FF2B5EF4-FFF2-40B4-BE49-F238E27FC236}">
                  <a16:creationId xmlns:a16="http://schemas.microsoft.com/office/drawing/2014/main" id="{00000000-0008-0000-0100-00004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54</xdr:row>
          <xdr:rowOff>47625</xdr:rowOff>
        </xdr:from>
        <xdr:to>
          <xdr:col>13</xdr:col>
          <xdr:colOff>685800</xdr:colOff>
          <xdr:row>56</xdr:row>
          <xdr:rowOff>0</xdr:rowOff>
        </xdr:to>
        <xdr:sp macro="" textlink="">
          <xdr:nvSpPr>
            <xdr:cNvPr id="18510" name="ChangeMember1_6" hidden="1">
              <a:extLst>
                <a:ext uri="{63B3BB69-23CF-44E3-9099-C40C66FF867C}">
                  <a14:compatExt spid="_x0000_s18510"/>
                </a:ext>
                <a:ext uri="{FF2B5EF4-FFF2-40B4-BE49-F238E27FC236}">
                  <a16:creationId xmlns:a16="http://schemas.microsoft.com/office/drawing/2014/main" id="{00000000-0008-0000-0100-00004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54</xdr:row>
          <xdr:rowOff>47625</xdr:rowOff>
        </xdr:from>
        <xdr:to>
          <xdr:col>14</xdr:col>
          <xdr:colOff>685800</xdr:colOff>
          <xdr:row>56</xdr:row>
          <xdr:rowOff>0</xdr:rowOff>
        </xdr:to>
        <xdr:sp macro="" textlink="">
          <xdr:nvSpPr>
            <xdr:cNvPr id="18511" name="UpMember1_6" hidden="1">
              <a:extLst>
                <a:ext uri="{63B3BB69-23CF-44E3-9099-C40C66FF867C}">
                  <a14:compatExt spid="_x0000_s18511"/>
                </a:ext>
                <a:ext uri="{FF2B5EF4-FFF2-40B4-BE49-F238E27FC236}">
                  <a16:creationId xmlns:a16="http://schemas.microsoft.com/office/drawing/2014/main" id="{00000000-0008-0000-0100-00004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54</xdr:row>
          <xdr:rowOff>47625</xdr:rowOff>
        </xdr:from>
        <xdr:to>
          <xdr:col>15</xdr:col>
          <xdr:colOff>676275</xdr:colOff>
          <xdr:row>56</xdr:row>
          <xdr:rowOff>0</xdr:rowOff>
        </xdr:to>
        <xdr:sp macro="" textlink="">
          <xdr:nvSpPr>
            <xdr:cNvPr id="18512" name="DownMember1_6" hidden="1">
              <a:extLst>
                <a:ext uri="{63B3BB69-23CF-44E3-9099-C40C66FF867C}">
                  <a14:compatExt spid="_x0000_s18512"/>
                </a:ext>
                <a:ext uri="{FF2B5EF4-FFF2-40B4-BE49-F238E27FC236}">
                  <a16:creationId xmlns:a16="http://schemas.microsoft.com/office/drawing/2014/main" id="{00000000-0008-0000-0100-00005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58</xdr:row>
          <xdr:rowOff>0</xdr:rowOff>
        </xdr:from>
        <xdr:to>
          <xdr:col>12</xdr:col>
          <xdr:colOff>676275</xdr:colOff>
          <xdr:row>59</xdr:row>
          <xdr:rowOff>0</xdr:rowOff>
        </xdr:to>
        <xdr:sp macro="" textlink="">
          <xdr:nvSpPr>
            <xdr:cNvPr id="18513" name="AddedMember1_7" hidden="1">
              <a:extLst>
                <a:ext uri="{63B3BB69-23CF-44E3-9099-C40C66FF867C}">
                  <a14:compatExt spid="_x0000_s18513"/>
                </a:ext>
                <a:ext uri="{FF2B5EF4-FFF2-40B4-BE49-F238E27FC236}">
                  <a16:creationId xmlns:a16="http://schemas.microsoft.com/office/drawing/2014/main" id="{00000000-0008-0000-0100-00005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58</xdr:row>
          <xdr:rowOff>0</xdr:rowOff>
        </xdr:from>
        <xdr:to>
          <xdr:col>13</xdr:col>
          <xdr:colOff>685800</xdr:colOff>
          <xdr:row>59</xdr:row>
          <xdr:rowOff>0</xdr:rowOff>
        </xdr:to>
        <xdr:sp macro="" textlink="">
          <xdr:nvSpPr>
            <xdr:cNvPr id="18514" name="ChangeMember1_7" hidden="1">
              <a:extLst>
                <a:ext uri="{63B3BB69-23CF-44E3-9099-C40C66FF867C}">
                  <a14:compatExt spid="_x0000_s18514"/>
                </a:ext>
                <a:ext uri="{FF2B5EF4-FFF2-40B4-BE49-F238E27FC236}">
                  <a16:creationId xmlns:a16="http://schemas.microsoft.com/office/drawing/2014/main" id="{00000000-0008-0000-0100-00005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685800</xdr:colOff>
          <xdr:row>59</xdr:row>
          <xdr:rowOff>0</xdr:rowOff>
        </xdr:to>
        <xdr:sp macro="" textlink="">
          <xdr:nvSpPr>
            <xdr:cNvPr id="18515" name="UpMember1_7" hidden="1">
              <a:extLst>
                <a:ext uri="{63B3BB69-23CF-44E3-9099-C40C66FF867C}">
                  <a14:compatExt spid="_x0000_s18515"/>
                </a:ext>
                <a:ext uri="{FF2B5EF4-FFF2-40B4-BE49-F238E27FC236}">
                  <a16:creationId xmlns:a16="http://schemas.microsoft.com/office/drawing/2014/main" id="{00000000-0008-0000-0100-00005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58</xdr:row>
          <xdr:rowOff>0</xdr:rowOff>
        </xdr:from>
        <xdr:to>
          <xdr:col>15</xdr:col>
          <xdr:colOff>676275</xdr:colOff>
          <xdr:row>59</xdr:row>
          <xdr:rowOff>0</xdr:rowOff>
        </xdr:to>
        <xdr:sp macro="" textlink="">
          <xdr:nvSpPr>
            <xdr:cNvPr id="18516" name="DownMember1_7" hidden="1">
              <a:extLst>
                <a:ext uri="{63B3BB69-23CF-44E3-9099-C40C66FF867C}">
                  <a14:compatExt spid="_x0000_s18516"/>
                </a:ext>
                <a:ext uri="{FF2B5EF4-FFF2-40B4-BE49-F238E27FC236}">
                  <a16:creationId xmlns:a16="http://schemas.microsoft.com/office/drawing/2014/main" id="{00000000-0008-0000-0100-00005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61</xdr:row>
          <xdr:rowOff>0</xdr:rowOff>
        </xdr:from>
        <xdr:to>
          <xdr:col>12</xdr:col>
          <xdr:colOff>676275</xdr:colOff>
          <xdr:row>62</xdr:row>
          <xdr:rowOff>0</xdr:rowOff>
        </xdr:to>
        <xdr:sp macro="" textlink="">
          <xdr:nvSpPr>
            <xdr:cNvPr id="18517" name="AddedMember1_8" hidden="1">
              <a:extLst>
                <a:ext uri="{63B3BB69-23CF-44E3-9099-C40C66FF867C}">
                  <a14:compatExt spid="_x0000_s18517"/>
                </a:ext>
                <a:ext uri="{FF2B5EF4-FFF2-40B4-BE49-F238E27FC236}">
                  <a16:creationId xmlns:a16="http://schemas.microsoft.com/office/drawing/2014/main" id="{00000000-0008-0000-0100-00005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61</xdr:row>
          <xdr:rowOff>0</xdr:rowOff>
        </xdr:from>
        <xdr:to>
          <xdr:col>13</xdr:col>
          <xdr:colOff>685800</xdr:colOff>
          <xdr:row>62</xdr:row>
          <xdr:rowOff>0</xdr:rowOff>
        </xdr:to>
        <xdr:sp macro="" textlink="">
          <xdr:nvSpPr>
            <xdr:cNvPr id="18518" name="ChangeMember1_8" hidden="1">
              <a:extLst>
                <a:ext uri="{63B3BB69-23CF-44E3-9099-C40C66FF867C}">
                  <a14:compatExt spid="_x0000_s18518"/>
                </a:ext>
                <a:ext uri="{FF2B5EF4-FFF2-40B4-BE49-F238E27FC236}">
                  <a16:creationId xmlns:a16="http://schemas.microsoft.com/office/drawing/2014/main" id="{00000000-0008-0000-0100-00005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61</xdr:row>
          <xdr:rowOff>0</xdr:rowOff>
        </xdr:from>
        <xdr:to>
          <xdr:col>14</xdr:col>
          <xdr:colOff>685800</xdr:colOff>
          <xdr:row>62</xdr:row>
          <xdr:rowOff>0</xdr:rowOff>
        </xdr:to>
        <xdr:sp macro="" textlink="">
          <xdr:nvSpPr>
            <xdr:cNvPr id="18519" name="UpMember1_8" hidden="1">
              <a:extLst>
                <a:ext uri="{63B3BB69-23CF-44E3-9099-C40C66FF867C}">
                  <a14:compatExt spid="_x0000_s18519"/>
                </a:ext>
                <a:ext uri="{FF2B5EF4-FFF2-40B4-BE49-F238E27FC236}">
                  <a16:creationId xmlns:a16="http://schemas.microsoft.com/office/drawing/2014/main" id="{00000000-0008-0000-0100-00005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61</xdr:row>
          <xdr:rowOff>0</xdr:rowOff>
        </xdr:from>
        <xdr:to>
          <xdr:col>15</xdr:col>
          <xdr:colOff>676275</xdr:colOff>
          <xdr:row>62</xdr:row>
          <xdr:rowOff>0</xdr:rowOff>
        </xdr:to>
        <xdr:sp macro="" textlink="">
          <xdr:nvSpPr>
            <xdr:cNvPr id="18520" name="DownMember1_8" hidden="1">
              <a:extLst>
                <a:ext uri="{63B3BB69-23CF-44E3-9099-C40C66FF867C}">
                  <a14:compatExt spid="_x0000_s18520"/>
                </a:ext>
                <a:ext uri="{FF2B5EF4-FFF2-40B4-BE49-F238E27FC236}">
                  <a16:creationId xmlns:a16="http://schemas.microsoft.com/office/drawing/2014/main" id="{00000000-0008-0000-0100-00005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63</xdr:row>
          <xdr:rowOff>47625</xdr:rowOff>
        </xdr:from>
        <xdr:to>
          <xdr:col>12</xdr:col>
          <xdr:colOff>676275</xdr:colOff>
          <xdr:row>64</xdr:row>
          <xdr:rowOff>190500</xdr:rowOff>
        </xdr:to>
        <xdr:sp macro="" textlink="">
          <xdr:nvSpPr>
            <xdr:cNvPr id="18521" name="AddedMember1_9" hidden="1">
              <a:extLst>
                <a:ext uri="{63B3BB69-23CF-44E3-9099-C40C66FF867C}">
                  <a14:compatExt spid="_x0000_s18521"/>
                </a:ext>
                <a:ext uri="{FF2B5EF4-FFF2-40B4-BE49-F238E27FC236}">
                  <a16:creationId xmlns:a16="http://schemas.microsoft.com/office/drawing/2014/main" id="{00000000-0008-0000-0100-00005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63</xdr:row>
          <xdr:rowOff>47625</xdr:rowOff>
        </xdr:from>
        <xdr:to>
          <xdr:col>13</xdr:col>
          <xdr:colOff>685800</xdr:colOff>
          <xdr:row>64</xdr:row>
          <xdr:rowOff>190500</xdr:rowOff>
        </xdr:to>
        <xdr:sp macro="" textlink="">
          <xdr:nvSpPr>
            <xdr:cNvPr id="18522" name="ChangeMember1_9" hidden="1">
              <a:extLst>
                <a:ext uri="{63B3BB69-23CF-44E3-9099-C40C66FF867C}">
                  <a14:compatExt spid="_x0000_s18522"/>
                </a:ext>
                <a:ext uri="{FF2B5EF4-FFF2-40B4-BE49-F238E27FC236}">
                  <a16:creationId xmlns:a16="http://schemas.microsoft.com/office/drawing/2014/main" id="{00000000-0008-0000-0100-00005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47625</xdr:rowOff>
        </xdr:from>
        <xdr:to>
          <xdr:col>14</xdr:col>
          <xdr:colOff>685800</xdr:colOff>
          <xdr:row>64</xdr:row>
          <xdr:rowOff>190500</xdr:rowOff>
        </xdr:to>
        <xdr:sp macro="" textlink="">
          <xdr:nvSpPr>
            <xdr:cNvPr id="18523" name="UpMember1_9" hidden="1">
              <a:extLst>
                <a:ext uri="{63B3BB69-23CF-44E3-9099-C40C66FF867C}">
                  <a14:compatExt spid="_x0000_s18523"/>
                </a:ext>
                <a:ext uri="{FF2B5EF4-FFF2-40B4-BE49-F238E27FC236}">
                  <a16:creationId xmlns:a16="http://schemas.microsoft.com/office/drawing/2014/main" id="{00000000-0008-0000-0100-00005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63</xdr:row>
          <xdr:rowOff>47625</xdr:rowOff>
        </xdr:from>
        <xdr:to>
          <xdr:col>15</xdr:col>
          <xdr:colOff>676275</xdr:colOff>
          <xdr:row>64</xdr:row>
          <xdr:rowOff>190500</xdr:rowOff>
        </xdr:to>
        <xdr:sp macro="" textlink="">
          <xdr:nvSpPr>
            <xdr:cNvPr id="18524" name="DownMember1_9" hidden="1">
              <a:extLst>
                <a:ext uri="{63B3BB69-23CF-44E3-9099-C40C66FF867C}">
                  <a14:compatExt spid="_x0000_s18524"/>
                </a:ext>
                <a:ext uri="{FF2B5EF4-FFF2-40B4-BE49-F238E27FC236}">
                  <a16:creationId xmlns:a16="http://schemas.microsoft.com/office/drawing/2014/main" id="{00000000-0008-0000-0100-00005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66</xdr:row>
          <xdr:rowOff>47625</xdr:rowOff>
        </xdr:from>
        <xdr:to>
          <xdr:col>12</xdr:col>
          <xdr:colOff>676275</xdr:colOff>
          <xdr:row>68</xdr:row>
          <xdr:rowOff>0</xdr:rowOff>
        </xdr:to>
        <xdr:sp macro="" textlink="">
          <xdr:nvSpPr>
            <xdr:cNvPr id="18525" name="AddedMember1_10" hidden="1">
              <a:extLst>
                <a:ext uri="{63B3BB69-23CF-44E3-9099-C40C66FF867C}">
                  <a14:compatExt spid="_x0000_s18525"/>
                </a:ext>
                <a:ext uri="{FF2B5EF4-FFF2-40B4-BE49-F238E27FC236}">
                  <a16:creationId xmlns:a16="http://schemas.microsoft.com/office/drawing/2014/main" id="{00000000-0008-0000-0100-00005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66</xdr:row>
          <xdr:rowOff>47625</xdr:rowOff>
        </xdr:from>
        <xdr:to>
          <xdr:col>13</xdr:col>
          <xdr:colOff>685800</xdr:colOff>
          <xdr:row>68</xdr:row>
          <xdr:rowOff>0</xdr:rowOff>
        </xdr:to>
        <xdr:sp macro="" textlink="">
          <xdr:nvSpPr>
            <xdr:cNvPr id="18526" name="ChangeMember1_10" hidden="1">
              <a:extLst>
                <a:ext uri="{63B3BB69-23CF-44E3-9099-C40C66FF867C}">
                  <a14:compatExt spid="_x0000_s18526"/>
                </a:ext>
                <a:ext uri="{FF2B5EF4-FFF2-40B4-BE49-F238E27FC236}">
                  <a16:creationId xmlns:a16="http://schemas.microsoft.com/office/drawing/2014/main" id="{00000000-0008-0000-0100-00005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47625</xdr:rowOff>
        </xdr:from>
        <xdr:to>
          <xdr:col>14</xdr:col>
          <xdr:colOff>685800</xdr:colOff>
          <xdr:row>68</xdr:row>
          <xdr:rowOff>0</xdr:rowOff>
        </xdr:to>
        <xdr:sp macro="" textlink="">
          <xdr:nvSpPr>
            <xdr:cNvPr id="18527" name="UpMember1_10" hidden="1">
              <a:extLst>
                <a:ext uri="{63B3BB69-23CF-44E3-9099-C40C66FF867C}">
                  <a14:compatExt spid="_x0000_s18527"/>
                </a:ext>
                <a:ext uri="{FF2B5EF4-FFF2-40B4-BE49-F238E27FC236}">
                  <a16:creationId xmlns:a16="http://schemas.microsoft.com/office/drawing/2014/main" id="{00000000-0008-0000-0100-00005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66</xdr:row>
          <xdr:rowOff>47625</xdr:rowOff>
        </xdr:from>
        <xdr:to>
          <xdr:col>15</xdr:col>
          <xdr:colOff>676275</xdr:colOff>
          <xdr:row>68</xdr:row>
          <xdr:rowOff>0</xdr:rowOff>
        </xdr:to>
        <xdr:sp macro="" textlink="">
          <xdr:nvSpPr>
            <xdr:cNvPr id="18528" name="DownMember1_10" hidden="1">
              <a:extLst>
                <a:ext uri="{63B3BB69-23CF-44E3-9099-C40C66FF867C}">
                  <a14:compatExt spid="_x0000_s18528"/>
                </a:ext>
                <a:ext uri="{FF2B5EF4-FFF2-40B4-BE49-F238E27FC236}">
                  <a16:creationId xmlns:a16="http://schemas.microsoft.com/office/drawing/2014/main" id="{00000000-0008-0000-0100-00006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70</xdr:row>
          <xdr:rowOff>0</xdr:rowOff>
        </xdr:from>
        <xdr:to>
          <xdr:col>12</xdr:col>
          <xdr:colOff>676275</xdr:colOff>
          <xdr:row>71</xdr:row>
          <xdr:rowOff>0</xdr:rowOff>
        </xdr:to>
        <xdr:sp macro="" textlink="">
          <xdr:nvSpPr>
            <xdr:cNvPr id="18529" name="AddedMember1_11" hidden="1">
              <a:extLst>
                <a:ext uri="{63B3BB69-23CF-44E3-9099-C40C66FF867C}">
                  <a14:compatExt spid="_x0000_s18529"/>
                </a:ext>
                <a:ext uri="{FF2B5EF4-FFF2-40B4-BE49-F238E27FC236}">
                  <a16:creationId xmlns:a16="http://schemas.microsoft.com/office/drawing/2014/main" id="{00000000-0008-0000-0100-00006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70</xdr:row>
          <xdr:rowOff>0</xdr:rowOff>
        </xdr:from>
        <xdr:to>
          <xdr:col>13</xdr:col>
          <xdr:colOff>685800</xdr:colOff>
          <xdr:row>71</xdr:row>
          <xdr:rowOff>0</xdr:rowOff>
        </xdr:to>
        <xdr:sp macro="" textlink="">
          <xdr:nvSpPr>
            <xdr:cNvPr id="18530" name="ChangeMember1_11" hidden="1">
              <a:extLst>
                <a:ext uri="{63B3BB69-23CF-44E3-9099-C40C66FF867C}">
                  <a14:compatExt spid="_x0000_s18530"/>
                </a:ext>
                <a:ext uri="{FF2B5EF4-FFF2-40B4-BE49-F238E27FC236}">
                  <a16:creationId xmlns:a16="http://schemas.microsoft.com/office/drawing/2014/main" id="{00000000-0008-0000-0100-00006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70</xdr:row>
          <xdr:rowOff>0</xdr:rowOff>
        </xdr:from>
        <xdr:to>
          <xdr:col>14</xdr:col>
          <xdr:colOff>685800</xdr:colOff>
          <xdr:row>71</xdr:row>
          <xdr:rowOff>0</xdr:rowOff>
        </xdr:to>
        <xdr:sp macro="" textlink="">
          <xdr:nvSpPr>
            <xdr:cNvPr id="18531" name="UpMember1_11" hidden="1">
              <a:extLst>
                <a:ext uri="{63B3BB69-23CF-44E3-9099-C40C66FF867C}">
                  <a14:compatExt spid="_x0000_s18531"/>
                </a:ext>
                <a:ext uri="{FF2B5EF4-FFF2-40B4-BE49-F238E27FC236}">
                  <a16:creationId xmlns:a16="http://schemas.microsoft.com/office/drawing/2014/main" id="{00000000-0008-0000-0100-00006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70</xdr:row>
          <xdr:rowOff>0</xdr:rowOff>
        </xdr:from>
        <xdr:to>
          <xdr:col>15</xdr:col>
          <xdr:colOff>676275</xdr:colOff>
          <xdr:row>71</xdr:row>
          <xdr:rowOff>0</xdr:rowOff>
        </xdr:to>
        <xdr:sp macro="" textlink="">
          <xdr:nvSpPr>
            <xdr:cNvPr id="18532" name="DownMember1_11" hidden="1">
              <a:extLst>
                <a:ext uri="{63B3BB69-23CF-44E3-9099-C40C66FF867C}">
                  <a14:compatExt spid="_x0000_s18532"/>
                </a:ext>
                <a:ext uri="{FF2B5EF4-FFF2-40B4-BE49-F238E27FC236}">
                  <a16:creationId xmlns:a16="http://schemas.microsoft.com/office/drawing/2014/main" id="{00000000-0008-0000-0100-00006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73</xdr:row>
          <xdr:rowOff>0</xdr:rowOff>
        </xdr:from>
        <xdr:to>
          <xdr:col>12</xdr:col>
          <xdr:colOff>676275</xdr:colOff>
          <xdr:row>74</xdr:row>
          <xdr:rowOff>0</xdr:rowOff>
        </xdr:to>
        <xdr:sp macro="" textlink="">
          <xdr:nvSpPr>
            <xdr:cNvPr id="18533" name="AddedMember1_12" hidden="1">
              <a:extLst>
                <a:ext uri="{63B3BB69-23CF-44E3-9099-C40C66FF867C}">
                  <a14:compatExt spid="_x0000_s18533"/>
                </a:ext>
                <a:ext uri="{FF2B5EF4-FFF2-40B4-BE49-F238E27FC236}">
                  <a16:creationId xmlns:a16="http://schemas.microsoft.com/office/drawing/2014/main" id="{00000000-0008-0000-0100-00006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73</xdr:row>
          <xdr:rowOff>0</xdr:rowOff>
        </xdr:from>
        <xdr:to>
          <xdr:col>13</xdr:col>
          <xdr:colOff>685800</xdr:colOff>
          <xdr:row>74</xdr:row>
          <xdr:rowOff>0</xdr:rowOff>
        </xdr:to>
        <xdr:sp macro="" textlink="">
          <xdr:nvSpPr>
            <xdr:cNvPr id="18534" name="ChangeMember1_12" hidden="1">
              <a:extLst>
                <a:ext uri="{63B3BB69-23CF-44E3-9099-C40C66FF867C}">
                  <a14:compatExt spid="_x0000_s18534"/>
                </a:ext>
                <a:ext uri="{FF2B5EF4-FFF2-40B4-BE49-F238E27FC236}">
                  <a16:creationId xmlns:a16="http://schemas.microsoft.com/office/drawing/2014/main" id="{00000000-0008-0000-0100-00006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73</xdr:row>
          <xdr:rowOff>0</xdr:rowOff>
        </xdr:from>
        <xdr:to>
          <xdr:col>14</xdr:col>
          <xdr:colOff>685800</xdr:colOff>
          <xdr:row>74</xdr:row>
          <xdr:rowOff>0</xdr:rowOff>
        </xdr:to>
        <xdr:sp macro="" textlink="">
          <xdr:nvSpPr>
            <xdr:cNvPr id="18535" name="UpMember1_12" hidden="1">
              <a:extLst>
                <a:ext uri="{63B3BB69-23CF-44E3-9099-C40C66FF867C}">
                  <a14:compatExt spid="_x0000_s18535"/>
                </a:ext>
                <a:ext uri="{FF2B5EF4-FFF2-40B4-BE49-F238E27FC236}">
                  <a16:creationId xmlns:a16="http://schemas.microsoft.com/office/drawing/2014/main" id="{00000000-0008-0000-0100-00006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73</xdr:row>
          <xdr:rowOff>0</xdr:rowOff>
        </xdr:from>
        <xdr:to>
          <xdr:col>15</xdr:col>
          <xdr:colOff>676275</xdr:colOff>
          <xdr:row>74</xdr:row>
          <xdr:rowOff>0</xdr:rowOff>
        </xdr:to>
        <xdr:sp macro="" textlink="">
          <xdr:nvSpPr>
            <xdr:cNvPr id="18536" name="DownMember1_12" hidden="1">
              <a:extLst>
                <a:ext uri="{63B3BB69-23CF-44E3-9099-C40C66FF867C}">
                  <a14:compatExt spid="_x0000_s18536"/>
                </a:ext>
                <a:ext uri="{FF2B5EF4-FFF2-40B4-BE49-F238E27FC236}">
                  <a16:creationId xmlns:a16="http://schemas.microsoft.com/office/drawing/2014/main" id="{00000000-0008-0000-0100-00006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76</xdr:row>
          <xdr:rowOff>0</xdr:rowOff>
        </xdr:from>
        <xdr:to>
          <xdr:col>12</xdr:col>
          <xdr:colOff>676275</xdr:colOff>
          <xdr:row>77</xdr:row>
          <xdr:rowOff>9525</xdr:rowOff>
        </xdr:to>
        <xdr:sp macro="" textlink="">
          <xdr:nvSpPr>
            <xdr:cNvPr id="18537" name="AddedMember1_13" hidden="1">
              <a:extLst>
                <a:ext uri="{63B3BB69-23CF-44E3-9099-C40C66FF867C}">
                  <a14:compatExt spid="_x0000_s18537"/>
                </a:ext>
                <a:ext uri="{FF2B5EF4-FFF2-40B4-BE49-F238E27FC236}">
                  <a16:creationId xmlns:a16="http://schemas.microsoft.com/office/drawing/2014/main" id="{00000000-0008-0000-0100-00006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76</xdr:row>
          <xdr:rowOff>0</xdr:rowOff>
        </xdr:from>
        <xdr:to>
          <xdr:col>13</xdr:col>
          <xdr:colOff>685800</xdr:colOff>
          <xdr:row>77</xdr:row>
          <xdr:rowOff>9525</xdr:rowOff>
        </xdr:to>
        <xdr:sp macro="" textlink="">
          <xdr:nvSpPr>
            <xdr:cNvPr id="18538" name="ChangeMember1_13" hidden="1">
              <a:extLst>
                <a:ext uri="{63B3BB69-23CF-44E3-9099-C40C66FF867C}">
                  <a14:compatExt spid="_x0000_s18538"/>
                </a:ext>
                <a:ext uri="{FF2B5EF4-FFF2-40B4-BE49-F238E27FC236}">
                  <a16:creationId xmlns:a16="http://schemas.microsoft.com/office/drawing/2014/main" id="{00000000-0008-0000-0100-00006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76</xdr:row>
          <xdr:rowOff>0</xdr:rowOff>
        </xdr:from>
        <xdr:to>
          <xdr:col>14</xdr:col>
          <xdr:colOff>685800</xdr:colOff>
          <xdr:row>77</xdr:row>
          <xdr:rowOff>9525</xdr:rowOff>
        </xdr:to>
        <xdr:sp macro="" textlink="">
          <xdr:nvSpPr>
            <xdr:cNvPr id="18539" name="UpMember1_13" hidden="1">
              <a:extLst>
                <a:ext uri="{63B3BB69-23CF-44E3-9099-C40C66FF867C}">
                  <a14:compatExt spid="_x0000_s18539"/>
                </a:ext>
                <a:ext uri="{FF2B5EF4-FFF2-40B4-BE49-F238E27FC236}">
                  <a16:creationId xmlns:a16="http://schemas.microsoft.com/office/drawing/2014/main" id="{00000000-0008-0000-0100-00006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76</xdr:row>
          <xdr:rowOff>0</xdr:rowOff>
        </xdr:from>
        <xdr:to>
          <xdr:col>15</xdr:col>
          <xdr:colOff>676275</xdr:colOff>
          <xdr:row>77</xdr:row>
          <xdr:rowOff>9525</xdr:rowOff>
        </xdr:to>
        <xdr:sp macro="" textlink="">
          <xdr:nvSpPr>
            <xdr:cNvPr id="18540" name="DownMember1_13" hidden="1">
              <a:extLst>
                <a:ext uri="{63B3BB69-23CF-44E3-9099-C40C66FF867C}">
                  <a14:compatExt spid="_x0000_s18540"/>
                </a:ext>
                <a:ext uri="{FF2B5EF4-FFF2-40B4-BE49-F238E27FC236}">
                  <a16:creationId xmlns:a16="http://schemas.microsoft.com/office/drawing/2014/main" id="{00000000-0008-0000-0100-00006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704850</xdr:colOff>
          <xdr:row>80</xdr:row>
          <xdr:rowOff>9525</xdr:rowOff>
        </xdr:to>
        <xdr:sp macro="" textlink="">
          <xdr:nvSpPr>
            <xdr:cNvPr id="18541" name="AddedMember1_14" hidden="1">
              <a:extLst>
                <a:ext uri="{63B3BB69-23CF-44E3-9099-C40C66FF867C}">
                  <a14:compatExt spid="_x0000_s18541"/>
                </a:ext>
                <a:ext uri="{FF2B5EF4-FFF2-40B4-BE49-F238E27FC236}">
                  <a16:creationId xmlns:a16="http://schemas.microsoft.com/office/drawing/2014/main" id="{00000000-0008-0000-0100-00006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704850</xdr:colOff>
          <xdr:row>80</xdr:row>
          <xdr:rowOff>9525</xdr:rowOff>
        </xdr:to>
        <xdr:sp macro="" textlink="">
          <xdr:nvSpPr>
            <xdr:cNvPr id="18542" name="ChangeMember1_14" hidden="1">
              <a:extLst>
                <a:ext uri="{63B3BB69-23CF-44E3-9099-C40C66FF867C}">
                  <a14:compatExt spid="_x0000_s18542"/>
                </a:ext>
                <a:ext uri="{FF2B5EF4-FFF2-40B4-BE49-F238E27FC236}">
                  <a16:creationId xmlns:a16="http://schemas.microsoft.com/office/drawing/2014/main" id="{00000000-0008-0000-0100-00006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704850</xdr:colOff>
          <xdr:row>80</xdr:row>
          <xdr:rowOff>9525</xdr:rowOff>
        </xdr:to>
        <xdr:sp macro="" textlink="">
          <xdr:nvSpPr>
            <xdr:cNvPr id="18543" name="UpMember1_14" hidden="1">
              <a:extLst>
                <a:ext uri="{63B3BB69-23CF-44E3-9099-C40C66FF867C}">
                  <a14:compatExt spid="_x0000_s18543"/>
                </a:ext>
                <a:ext uri="{FF2B5EF4-FFF2-40B4-BE49-F238E27FC236}">
                  <a16:creationId xmlns:a16="http://schemas.microsoft.com/office/drawing/2014/main" id="{00000000-0008-0000-0100-00006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9525</xdr:rowOff>
        </xdr:to>
        <xdr:sp macro="" textlink="">
          <xdr:nvSpPr>
            <xdr:cNvPr id="18544" name="DownMember1_14" hidden="1">
              <a:extLst>
                <a:ext uri="{63B3BB69-23CF-44E3-9099-C40C66FF867C}">
                  <a14:compatExt spid="_x0000_s18544"/>
                </a:ext>
                <a:ext uri="{FF2B5EF4-FFF2-40B4-BE49-F238E27FC236}">
                  <a16:creationId xmlns:a16="http://schemas.microsoft.com/office/drawing/2014/main" id="{00000000-0008-0000-0100-00007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704850</xdr:colOff>
          <xdr:row>83</xdr:row>
          <xdr:rowOff>0</xdr:rowOff>
        </xdr:to>
        <xdr:sp macro="" textlink="">
          <xdr:nvSpPr>
            <xdr:cNvPr id="18545" name="AddedMember1_15" hidden="1">
              <a:extLst>
                <a:ext uri="{63B3BB69-23CF-44E3-9099-C40C66FF867C}">
                  <a14:compatExt spid="_x0000_s18545"/>
                </a:ext>
                <a:ext uri="{FF2B5EF4-FFF2-40B4-BE49-F238E27FC236}">
                  <a16:creationId xmlns:a16="http://schemas.microsoft.com/office/drawing/2014/main" id="{00000000-0008-0000-0100-00007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704850</xdr:colOff>
          <xdr:row>83</xdr:row>
          <xdr:rowOff>0</xdr:rowOff>
        </xdr:to>
        <xdr:sp macro="" textlink="">
          <xdr:nvSpPr>
            <xdr:cNvPr id="18546" name="ChangeMember1_15" hidden="1">
              <a:extLst>
                <a:ext uri="{63B3BB69-23CF-44E3-9099-C40C66FF867C}">
                  <a14:compatExt spid="_x0000_s18546"/>
                </a:ext>
                <a:ext uri="{FF2B5EF4-FFF2-40B4-BE49-F238E27FC236}">
                  <a16:creationId xmlns:a16="http://schemas.microsoft.com/office/drawing/2014/main" id="{00000000-0008-0000-0100-00007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704850</xdr:colOff>
          <xdr:row>83</xdr:row>
          <xdr:rowOff>0</xdr:rowOff>
        </xdr:to>
        <xdr:sp macro="" textlink="">
          <xdr:nvSpPr>
            <xdr:cNvPr id="18547" name="UpMember1_15" hidden="1">
              <a:extLst>
                <a:ext uri="{63B3BB69-23CF-44E3-9099-C40C66FF867C}">
                  <a14:compatExt spid="_x0000_s18547"/>
                </a:ext>
                <a:ext uri="{FF2B5EF4-FFF2-40B4-BE49-F238E27FC236}">
                  <a16:creationId xmlns:a16="http://schemas.microsoft.com/office/drawing/2014/main" id="{00000000-0008-0000-0100-00007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8548" name="DownMember1_15" hidden="1">
              <a:extLst>
                <a:ext uri="{63B3BB69-23CF-44E3-9099-C40C66FF867C}">
                  <a14:compatExt spid="_x0000_s18548"/>
                </a:ext>
                <a:ext uri="{FF2B5EF4-FFF2-40B4-BE49-F238E27FC236}">
                  <a16:creationId xmlns:a16="http://schemas.microsoft.com/office/drawing/2014/main" id="{00000000-0008-0000-0100-00007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84</xdr:row>
          <xdr:rowOff>57150</xdr:rowOff>
        </xdr:from>
        <xdr:to>
          <xdr:col>12</xdr:col>
          <xdr:colOff>704850</xdr:colOff>
          <xdr:row>86</xdr:row>
          <xdr:rowOff>0</xdr:rowOff>
        </xdr:to>
        <xdr:sp macro="" textlink="">
          <xdr:nvSpPr>
            <xdr:cNvPr id="18549" name="AddedMember1_16" hidden="1">
              <a:extLst>
                <a:ext uri="{63B3BB69-23CF-44E3-9099-C40C66FF867C}">
                  <a14:compatExt spid="_x0000_s18549"/>
                </a:ext>
                <a:ext uri="{FF2B5EF4-FFF2-40B4-BE49-F238E27FC236}">
                  <a16:creationId xmlns:a16="http://schemas.microsoft.com/office/drawing/2014/main" id="{00000000-0008-0000-0100-00007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84</xdr:row>
          <xdr:rowOff>57150</xdr:rowOff>
        </xdr:from>
        <xdr:to>
          <xdr:col>13</xdr:col>
          <xdr:colOff>704850</xdr:colOff>
          <xdr:row>86</xdr:row>
          <xdr:rowOff>0</xdr:rowOff>
        </xdr:to>
        <xdr:sp macro="" textlink="">
          <xdr:nvSpPr>
            <xdr:cNvPr id="18550" name="ChangeMember1_16" hidden="1">
              <a:extLst>
                <a:ext uri="{63B3BB69-23CF-44E3-9099-C40C66FF867C}">
                  <a14:compatExt spid="_x0000_s18550"/>
                </a:ext>
                <a:ext uri="{FF2B5EF4-FFF2-40B4-BE49-F238E27FC236}">
                  <a16:creationId xmlns:a16="http://schemas.microsoft.com/office/drawing/2014/main" id="{00000000-0008-0000-0100-00007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57150</xdr:rowOff>
        </xdr:from>
        <xdr:to>
          <xdr:col>14</xdr:col>
          <xdr:colOff>704850</xdr:colOff>
          <xdr:row>86</xdr:row>
          <xdr:rowOff>0</xdr:rowOff>
        </xdr:to>
        <xdr:sp macro="" textlink="">
          <xdr:nvSpPr>
            <xdr:cNvPr id="18551" name="UpMember1_16" hidden="1">
              <a:extLst>
                <a:ext uri="{63B3BB69-23CF-44E3-9099-C40C66FF867C}">
                  <a14:compatExt spid="_x0000_s18551"/>
                </a:ext>
                <a:ext uri="{FF2B5EF4-FFF2-40B4-BE49-F238E27FC236}">
                  <a16:creationId xmlns:a16="http://schemas.microsoft.com/office/drawing/2014/main" id="{00000000-0008-0000-0100-00007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84</xdr:row>
          <xdr:rowOff>57150</xdr:rowOff>
        </xdr:from>
        <xdr:to>
          <xdr:col>16</xdr:col>
          <xdr:colOff>0</xdr:colOff>
          <xdr:row>86</xdr:row>
          <xdr:rowOff>0</xdr:rowOff>
        </xdr:to>
        <xdr:sp macro="" textlink="">
          <xdr:nvSpPr>
            <xdr:cNvPr id="18552" name="DownMember1_16" hidden="1">
              <a:extLst>
                <a:ext uri="{63B3BB69-23CF-44E3-9099-C40C66FF867C}">
                  <a14:compatExt spid="_x0000_s18552"/>
                </a:ext>
                <a:ext uri="{FF2B5EF4-FFF2-40B4-BE49-F238E27FC236}">
                  <a16:creationId xmlns:a16="http://schemas.microsoft.com/office/drawing/2014/main" id="{00000000-0008-0000-0100-00007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xdr:row>
          <xdr:rowOff>57150</xdr:rowOff>
        </xdr:from>
        <xdr:to>
          <xdr:col>12</xdr:col>
          <xdr:colOff>704850</xdr:colOff>
          <xdr:row>89</xdr:row>
          <xdr:rowOff>0</xdr:rowOff>
        </xdr:to>
        <xdr:sp macro="" textlink="">
          <xdr:nvSpPr>
            <xdr:cNvPr id="18553" name="AddedMember1_17" hidden="1">
              <a:extLst>
                <a:ext uri="{63B3BB69-23CF-44E3-9099-C40C66FF867C}">
                  <a14:compatExt spid="_x0000_s18553"/>
                </a:ext>
                <a:ext uri="{FF2B5EF4-FFF2-40B4-BE49-F238E27FC236}">
                  <a16:creationId xmlns:a16="http://schemas.microsoft.com/office/drawing/2014/main" id="{00000000-0008-0000-0100-00007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87</xdr:row>
          <xdr:rowOff>57150</xdr:rowOff>
        </xdr:from>
        <xdr:to>
          <xdr:col>13</xdr:col>
          <xdr:colOff>704850</xdr:colOff>
          <xdr:row>89</xdr:row>
          <xdr:rowOff>0</xdr:rowOff>
        </xdr:to>
        <xdr:sp macro="" textlink="">
          <xdr:nvSpPr>
            <xdr:cNvPr id="18554" name="ChangeMember1_17" hidden="1">
              <a:extLst>
                <a:ext uri="{63B3BB69-23CF-44E3-9099-C40C66FF867C}">
                  <a14:compatExt spid="_x0000_s18554"/>
                </a:ext>
                <a:ext uri="{FF2B5EF4-FFF2-40B4-BE49-F238E27FC236}">
                  <a16:creationId xmlns:a16="http://schemas.microsoft.com/office/drawing/2014/main" id="{00000000-0008-0000-0100-00007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57150</xdr:rowOff>
        </xdr:from>
        <xdr:to>
          <xdr:col>14</xdr:col>
          <xdr:colOff>704850</xdr:colOff>
          <xdr:row>89</xdr:row>
          <xdr:rowOff>0</xdr:rowOff>
        </xdr:to>
        <xdr:sp macro="" textlink="">
          <xdr:nvSpPr>
            <xdr:cNvPr id="18555" name="UpMember1_17" hidden="1">
              <a:extLst>
                <a:ext uri="{63B3BB69-23CF-44E3-9099-C40C66FF867C}">
                  <a14:compatExt spid="_x0000_s18555"/>
                </a:ext>
                <a:ext uri="{FF2B5EF4-FFF2-40B4-BE49-F238E27FC236}">
                  <a16:creationId xmlns:a16="http://schemas.microsoft.com/office/drawing/2014/main" id="{00000000-0008-0000-0100-00007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87</xdr:row>
          <xdr:rowOff>57150</xdr:rowOff>
        </xdr:from>
        <xdr:to>
          <xdr:col>16</xdr:col>
          <xdr:colOff>0</xdr:colOff>
          <xdr:row>89</xdr:row>
          <xdr:rowOff>0</xdr:rowOff>
        </xdr:to>
        <xdr:sp macro="" textlink="">
          <xdr:nvSpPr>
            <xdr:cNvPr id="18556" name="DownMember1_17" hidden="1">
              <a:extLst>
                <a:ext uri="{63B3BB69-23CF-44E3-9099-C40C66FF867C}">
                  <a14:compatExt spid="_x0000_s18556"/>
                </a:ext>
                <a:ext uri="{FF2B5EF4-FFF2-40B4-BE49-F238E27FC236}">
                  <a16:creationId xmlns:a16="http://schemas.microsoft.com/office/drawing/2014/main" id="{00000000-0008-0000-0100-00007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91</xdr:row>
          <xdr:rowOff>0</xdr:rowOff>
        </xdr:from>
        <xdr:to>
          <xdr:col>12</xdr:col>
          <xdr:colOff>704850</xdr:colOff>
          <xdr:row>92</xdr:row>
          <xdr:rowOff>9525</xdr:rowOff>
        </xdr:to>
        <xdr:sp macro="" textlink="">
          <xdr:nvSpPr>
            <xdr:cNvPr id="18557" name="AddedMember1_18" hidden="1">
              <a:extLst>
                <a:ext uri="{63B3BB69-23CF-44E3-9099-C40C66FF867C}">
                  <a14:compatExt spid="_x0000_s18557"/>
                </a:ext>
                <a:ext uri="{FF2B5EF4-FFF2-40B4-BE49-F238E27FC236}">
                  <a16:creationId xmlns:a16="http://schemas.microsoft.com/office/drawing/2014/main" id="{00000000-0008-0000-0100-00007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91</xdr:row>
          <xdr:rowOff>0</xdr:rowOff>
        </xdr:from>
        <xdr:to>
          <xdr:col>13</xdr:col>
          <xdr:colOff>704850</xdr:colOff>
          <xdr:row>92</xdr:row>
          <xdr:rowOff>9525</xdr:rowOff>
        </xdr:to>
        <xdr:sp macro="" textlink="">
          <xdr:nvSpPr>
            <xdr:cNvPr id="18558" name="ChangeMember1_18" hidden="1">
              <a:extLst>
                <a:ext uri="{63B3BB69-23CF-44E3-9099-C40C66FF867C}">
                  <a14:compatExt spid="_x0000_s18558"/>
                </a:ext>
                <a:ext uri="{FF2B5EF4-FFF2-40B4-BE49-F238E27FC236}">
                  <a16:creationId xmlns:a16="http://schemas.microsoft.com/office/drawing/2014/main" id="{00000000-0008-0000-0100-00007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91</xdr:row>
          <xdr:rowOff>0</xdr:rowOff>
        </xdr:from>
        <xdr:to>
          <xdr:col>14</xdr:col>
          <xdr:colOff>704850</xdr:colOff>
          <xdr:row>92</xdr:row>
          <xdr:rowOff>9525</xdr:rowOff>
        </xdr:to>
        <xdr:sp macro="" textlink="">
          <xdr:nvSpPr>
            <xdr:cNvPr id="18559" name="UpMember1_18" hidden="1">
              <a:extLst>
                <a:ext uri="{63B3BB69-23CF-44E3-9099-C40C66FF867C}">
                  <a14:compatExt spid="_x0000_s18559"/>
                </a:ext>
                <a:ext uri="{FF2B5EF4-FFF2-40B4-BE49-F238E27FC236}">
                  <a16:creationId xmlns:a16="http://schemas.microsoft.com/office/drawing/2014/main" id="{00000000-0008-0000-0100-00007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91</xdr:row>
          <xdr:rowOff>0</xdr:rowOff>
        </xdr:from>
        <xdr:to>
          <xdr:col>16</xdr:col>
          <xdr:colOff>0</xdr:colOff>
          <xdr:row>92</xdr:row>
          <xdr:rowOff>9525</xdr:rowOff>
        </xdr:to>
        <xdr:sp macro="" textlink="">
          <xdr:nvSpPr>
            <xdr:cNvPr id="18560" name="DownMember1_18" hidden="1">
              <a:extLst>
                <a:ext uri="{63B3BB69-23CF-44E3-9099-C40C66FF867C}">
                  <a14:compatExt spid="_x0000_s18560"/>
                </a:ext>
                <a:ext uri="{FF2B5EF4-FFF2-40B4-BE49-F238E27FC236}">
                  <a16:creationId xmlns:a16="http://schemas.microsoft.com/office/drawing/2014/main" id="{00000000-0008-0000-0100-00008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165</xdr:row>
          <xdr:rowOff>47625</xdr:rowOff>
        </xdr:from>
        <xdr:to>
          <xdr:col>12</xdr:col>
          <xdr:colOff>676275</xdr:colOff>
          <xdr:row>166</xdr:row>
          <xdr:rowOff>190500</xdr:rowOff>
        </xdr:to>
        <xdr:sp macro="" textlink="">
          <xdr:nvSpPr>
            <xdr:cNvPr id="18561" name="AddedMember2_1" hidden="1">
              <a:extLst>
                <a:ext uri="{63B3BB69-23CF-44E3-9099-C40C66FF867C}">
                  <a14:compatExt spid="_x0000_s18561"/>
                </a:ext>
                <a:ext uri="{FF2B5EF4-FFF2-40B4-BE49-F238E27FC236}">
                  <a16:creationId xmlns:a16="http://schemas.microsoft.com/office/drawing/2014/main" id="{00000000-0008-0000-0100-00008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165</xdr:row>
          <xdr:rowOff>47625</xdr:rowOff>
        </xdr:from>
        <xdr:to>
          <xdr:col>13</xdr:col>
          <xdr:colOff>695325</xdr:colOff>
          <xdr:row>166</xdr:row>
          <xdr:rowOff>190500</xdr:rowOff>
        </xdr:to>
        <xdr:sp macro="" textlink="">
          <xdr:nvSpPr>
            <xdr:cNvPr id="18562" name="ChangeMember2_1" hidden="1">
              <a:extLst>
                <a:ext uri="{63B3BB69-23CF-44E3-9099-C40C66FF867C}">
                  <a14:compatExt spid="_x0000_s18562"/>
                </a:ext>
                <a:ext uri="{FF2B5EF4-FFF2-40B4-BE49-F238E27FC236}">
                  <a16:creationId xmlns:a16="http://schemas.microsoft.com/office/drawing/2014/main" id="{00000000-0008-0000-0100-00008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165</xdr:row>
          <xdr:rowOff>47625</xdr:rowOff>
        </xdr:from>
        <xdr:to>
          <xdr:col>14</xdr:col>
          <xdr:colOff>695325</xdr:colOff>
          <xdr:row>166</xdr:row>
          <xdr:rowOff>190500</xdr:rowOff>
        </xdr:to>
        <xdr:sp macro="" textlink="">
          <xdr:nvSpPr>
            <xdr:cNvPr id="18563" name="UpMember2_1" hidden="1">
              <a:extLst>
                <a:ext uri="{63B3BB69-23CF-44E3-9099-C40C66FF867C}">
                  <a14:compatExt spid="_x0000_s18563"/>
                </a:ext>
                <a:ext uri="{FF2B5EF4-FFF2-40B4-BE49-F238E27FC236}">
                  <a16:creationId xmlns:a16="http://schemas.microsoft.com/office/drawing/2014/main" id="{00000000-0008-0000-0100-00008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165</xdr:row>
          <xdr:rowOff>47625</xdr:rowOff>
        </xdr:from>
        <xdr:to>
          <xdr:col>15</xdr:col>
          <xdr:colOff>676275</xdr:colOff>
          <xdr:row>166</xdr:row>
          <xdr:rowOff>190500</xdr:rowOff>
        </xdr:to>
        <xdr:sp macro="" textlink="">
          <xdr:nvSpPr>
            <xdr:cNvPr id="18564" name="DownMember2_1" hidden="1">
              <a:extLst>
                <a:ext uri="{63B3BB69-23CF-44E3-9099-C40C66FF867C}">
                  <a14:compatExt spid="_x0000_s18564"/>
                </a:ext>
                <a:ext uri="{FF2B5EF4-FFF2-40B4-BE49-F238E27FC236}">
                  <a16:creationId xmlns:a16="http://schemas.microsoft.com/office/drawing/2014/main" id="{00000000-0008-0000-0100-00008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169</xdr:row>
          <xdr:rowOff>0</xdr:rowOff>
        </xdr:from>
        <xdr:to>
          <xdr:col>12</xdr:col>
          <xdr:colOff>704850</xdr:colOff>
          <xdr:row>170</xdr:row>
          <xdr:rowOff>0</xdr:rowOff>
        </xdr:to>
        <xdr:sp macro="" textlink="">
          <xdr:nvSpPr>
            <xdr:cNvPr id="18565" name="AddedMember2_2" hidden="1">
              <a:extLst>
                <a:ext uri="{63B3BB69-23CF-44E3-9099-C40C66FF867C}">
                  <a14:compatExt spid="_x0000_s18565"/>
                </a:ext>
                <a:ext uri="{FF2B5EF4-FFF2-40B4-BE49-F238E27FC236}">
                  <a16:creationId xmlns:a16="http://schemas.microsoft.com/office/drawing/2014/main" id="{00000000-0008-0000-0100-00008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169</xdr:row>
          <xdr:rowOff>0</xdr:rowOff>
        </xdr:from>
        <xdr:to>
          <xdr:col>13</xdr:col>
          <xdr:colOff>704850</xdr:colOff>
          <xdr:row>170</xdr:row>
          <xdr:rowOff>0</xdr:rowOff>
        </xdr:to>
        <xdr:sp macro="" textlink="">
          <xdr:nvSpPr>
            <xdr:cNvPr id="18566" name="ChangeMember2_2" hidden="1">
              <a:extLst>
                <a:ext uri="{63B3BB69-23CF-44E3-9099-C40C66FF867C}">
                  <a14:compatExt spid="_x0000_s18566"/>
                </a:ext>
                <a:ext uri="{FF2B5EF4-FFF2-40B4-BE49-F238E27FC236}">
                  <a16:creationId xmlns:a16="http://schemas.microsoft.com/office/drawing/2014/main" id="{00000000-0008-0000-0100-00008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169</xdr:row>
          <xdr:rowOff>0</xdr:rowOff>
        </xdr:from>
        <xdr:to>
          <xdr:col>14</xdr:col>
          <xdr:colOff>704850</xdr:colOff>
          <xdr:row>170</xdr:row>
          <xdr:rowOff>0</xdr:rowOff>
        </xdr:to>
        <xdr:sp macro="" textlink="">
          <xdr:nvSpPr>
            <xdr:cNvPr id="18567" name="UpMember2_2" hidden="1">
              <a:extLst>
                <a:ext uri="{63B3BB69-23CF-44E3-9099-C40C66FF867C}">
                  <a14:compatExt spid="_x0000_s18567"/>
                </a:ext>
                <a:ext uri="{FF2B5EF4-FFF2-40B4-BE49-F238E27FC236}">
                  <a16:creationId xmlns:a16="http://schemas.microsoft.com/office/drawing/2014/main" id="{00000000-0008-0000-0100-00008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169</xdr:row>
          <xdr:rowOff>0</xdr:rowOff>
        </xdr:from>
        <xdr:to>
          <xdr:col>16</xdr:col>
          <xdr:colOff>0</xdr:colOff>
          <xdr:row>170</xdr:row>
          <xdr:rowOff>0</xdr:rowOff>
        </xdr:to>
        <xdr:sp macro="" textlink="">
          <xdr:nvSpPr>
            <xdr:cNvPr id="18568" name="DownMember2_2" hidden="1">
              <a:extLst>
                <a:ext uri="{63B3BB69-23CF-44E3-9099-C40C66FF867C}">
                  <a14:compatExt spid="_x0000_s18568"/>
                </a:ext>
                <a:ext uri="{FF2B5EF4-FFF2-40B4-BE49-F238E27FC236}">
                  <a16:creationId xmlns:a16="http://schemas.microsoft.com/office/drawing/2014/main" id="{00000000-0008-0000-0100-00008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171</xdr:row>
          <xdr:rowOff>57150</xdr:rowOff>
        </xdr:from>
        <xdr:to>
          <xdr:col>12</xdr:col>
          <xdr:colOff>704850</xdr:colOff>
          <xdr:row>173</xdr:row>
          <xdr:rowOff>0</xdr:rowOff>
        </xdr:to>
        <xdr:sp macro="" textlink="">
          <xdr:nvSpPr>
            <xdr:cNvPr id="18569" name="AddedMember2_3" hidden="1">
              <a:extLst>
                <a:ext uri="{63B3BB69-23CF-44E3-9099-C40C66FF867C}">
                  <a14:compatExt spid="_x0000_s18569"/>
                </a:ext>
                <a:ext uri="{FF2B5EF4-FFF2-40B4-BE49-F238E27FC236}">
                  <a16:creationId xmlns:a16="http://schemas.microsoft.com/office/drawing/2014/main" id="{00000000-0008-0000-0100-00008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171</xdr:row>
          <xdr:rowOff>57150</xdr:rowOff>
        </xdr:from>
        <xdr:to>
          <xdr:col>13</xdr:col>
          <xdr:colOff>704850</xdr:colOff>
          <xdr:row>173</xdr:row>
          <xdr:rowOff>0</xdr:rowOff>
        </xdr:to>
        <xdr:sp macro="" textlink="">
          <xdr:nvSpPr>
            <xdr:cNvPr id="18570" name="ChangeMember2_3" hidden="1">
              <a:extLst>
                <a:ext uri="{63B3BB69-23CF-44E3-9099-C40C66FF867C}">
                  <a14:compatExt spid="_x0000_s18570"/>
                </a:ext>
                <a:ext uri="{FF2B5EF4-FFF2-40B4-BE49-F238E27FC236}">
                  <a16:creationId xmlns:a16="http://schemas.microsoft.com/office/drawing/2014/main" id="{00000000-0008-0000-0100-00008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171</xdr:row>
          <xdr:rowOff>57150</xdr:rowOff>
        </xdr:from>
        <xdr:to>
          <xdr:col>14</xdr:col>
          <xdr:colOff>704850</xdr:colOff>
          <xdr:row>173</xdr:row>
          <xdr:rowOff>0</xdr:rowOff>
        </xdr:to>
        <xdr:sp macro="" textlink="">
          <xdr:nvSpPr>
            <xdr:cNvPr id="18571" name="UpMember2_3" hidden="1">
              <a:extLst>
                <a:ext uri="{63B3BB69-23CF-44E3-9099-C40C66FF867C}">
                  <a14:compatExt spid="_x0000_s18571"/>
                </a:ext>
                <a:ext uri="{FF2B5EF4-FFF2-40B4-BE49-F238E27FC236}">
                  <a16:creationId xmlns:a16="http://schemas.microsoft.com/office/drawing/2014/main" id="{00000000-0008-0000-0100-00008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171</xdr:row>
          <xdr:rowOff>57150</xdr:rowOff>
        </xdr:from>
        <xdr:to>
          <xdr:col>16</xdr:col>
          <xdr:colOff>0</xdr:colOff>
          <xdr:row>173</xdr:row>
          <xdr:rowOff>0</xdr:rowOff>
        </xdr:to>
        <xdr:sp macro="" textlink="">
          <xdr:nvSpPr>
            <xdr:cNvPr id="18572" name="DownMember2_3" hidden="1">
              <a:extLst>
                <a:ext uri="{63B3BB69-23CF-44E3-9099-C40C66FF867C}">
                  <a14:compatExt spid="_x0000_s18572"/>
                </a:ext>
                <a:ext uri="{FF2B5EF4-FFF2-40B4-BE49-F238E27FC236}">
                  <a16:creationId xmlns:a16="http://schemas.microsoft.com/office/drawing/2014/main" id="{00000000-0008-0000-0100-00008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57150</xdr:rowOff>
        </xdr:from>
        <xdr:to>
          <xdr:col>12</xdr:col>
          <xdr:colOff>704850</xdr:colOff>
          <xdr:row>176</xdr:row>
          <xdr:rowOff>0</xdr:rowOff>
        </xdr:to>
        <xdr:sp macro="" textlink="">
          <xdr:nvSpPr>
            <xdr:cNvPr id="18573" name="AddedMember2_4" hidden="1">
              <a:extLst>
                <a:ext uri="{63B3BB69-23CF-44E3-9099-C40C66FF867C}">
                  <a14:compatExt spid="_x0000_s18573"/>
                </a:ext>
                <a:ext uri="{FF2B5EF4-FFF2-40B4-BE49-F238E27FC236}">
                  <a16:creationId xmlns:a16="http://schemas.microsoft.com/office/drawing/2014/main" id="{00000000-0008-0000-0100-00008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57150</xdr:rowOff>
        </xdr:from>
        <xdr:to>
          <xdr:col>13</xdr:col>
          <xdr:colOff>704850</xdr:colOff>
          <xdr:row>176</xdr:row>
          <xdr:rowOff>0</xdr:rowOff>
        </xdr:to>
        <xdr:sp macro="" textlink="">
          <xdr:nvSpPr>
            <xdr:cNvPr id="18574" name="ChangeMember2_4" hidden="1">
              <a:extLst>
                <a:ext uri="{63B3BB69-23CF-44E3-9099-C40C66FF867C}">
                  <a14:compatExt spid="_x0000_s18574"/>
                </a:ext>
                <a:ext uri="{FF2B5EF4-FFF2-40B4-BE49-F238E27FC236}">
                  <a16:creationId xmlns:a16="http://schemas.microsoft.com/office/drawing/2014/main" id="{00000000-0008-0000-0100-00008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57150</xdr:rowOff>
        </xdr:from>
        <xdr:to>
          <xdr:col>14</xdr:col>
          <xdr:colOff>704850</xdr:colOff>
          <xdr:row>176</xdr:row>
          <xdr:rowOff>0</xdr:rowOff>
        </xdr:to>
        <xdr:sp macro="" textlink="">
          <xdr:nvSpPr>
            <xdr:cNvPr id="18575" name="UpMember2_4" hidden="1">
              <a:extLst>
                <a:ext uri="{63B3BB69-23CF-44E3-9099-C40C66FF867C}">
                  <a14:compatExt spid="_x0000_s18575"/>
                </a:ext>
                <a:ext uri="{FF2B5EF4-FFF2-40B4-BE49-F238E27FC236}">
                  <a16:creationId xmlns:a16="http://schemas.microsoft.com/office/drawing/2014/main" id="{00000000-0008-0000-0100-00008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57150</xdr:rowOff>
        </xdr:from>
        <xdr:to>
          <xdr:col>16</xdr:col>
          <xdr:colOff>0</xdr:colOff>
          <xdr:row>176</xdr:row>
          <xdr:rowOff>0</xdr:rowOff>
        </xdr:to>
        <xdr:sp macro="" textlink="">
          <xdr:nvSpPr>
            <xdr:cNvPr id="18576" name="DownMember2_4" hidden="1">
              <a:extLst>
                <a:ext uri="{63B3BB69-23CF-44E3-9099-C40C66FF867C}">
                  <a14:compatExt spid="_x0000_s18576"/>
                </a:ext>
                <a:ext uri="{FF2B5EF4-FFF2-40B4-BE49-F238E27FC236}">
                  <a16:creationId xmlns:a16="http://schemas.microsoft.com/office/drawing/2014/main" id="{00000000-0008-0000-0100-00009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178</xdr:row>
          <xdr:rowOff>0</xdr:rowOff>
        </xdr:from>
        <xdr:to>
          <xdr:col>12</xdr:col>
          <xdr:colOff>704850</xdr:colOff>
          <xdr:row>179</xdr:row>
          <xdr:rowOff>9525</xdr:rowOff>
        </xdr:to>
        <xdr:sp macro="" textlink="">
          <xdr:nvSpPr>
            <xdr:cNvPr id="18577" name="AddedMember2_5" hidden="1">
              <a:extLst>
                <a:ext uri="{63B3BB69-23CF-44E3-9099-C40C66FF867C}">
                  <a14:compatExt spid="_x0000_s18577"/>
                </a:ext>
                <a:ext uri="{FF2B5EF4-FFF2-40B4-BE49-F238E27FC236}">
                  <a16:creationId xmlns:a16="http://schemas.microsoft.com/office/drawing/2014/main" id="{00000000-0008-0000-0100-00009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178</xdr:row>
          <xdr:rowOff>0</xdr:rowOff>
        </xdr:from>
        <xdr:to>
          <xdr:col>13</xdr:col>
          <xdr:colOff>704850</xdr:colOff>
          <xdr:row>179</xdr:row>
          <xdr:rowOff>9525</xdr:rowOff>
        </xdr:to>
        <xdr:sp macro="" textlink="">
          <xdr:nvSpPr>
            <xdr:cNvPr id="18578" name="ChangeMember2_5" hidden="1">
              <a:extLst>
                <a:ext uri="{63B3BB69-23CF-44E3-9099-C40C66FF867C}">
                  <a14:compatExt spid="_x0000_s18578"/>
                </a:ext>
                <a:ext uri="{FF2B5EF4-FFF2-40B4-BE49-F238E27FC236}">
                  <a16:creationId xmlns:a16="http://schemas.microsoft.com/office/drawing/2014/main" id="{00000000-0008-0000-0100-00009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178</xdr:row>
          <xdr:rowOff>0</xdr:rowOff>
        </xdr:from>
        <xdr:to>
          <xdr:col>14</xdr:col>
          <xdr:colOff>704850</xdr:colOff>
          <xdr:row>179</xdr:row>
          <xdr:rowOff>9525</xdr:rowOff>
        </xdr:to>
        <xdr:sp macro="" textlink="">
          <xdr:nvSpPr>
            <xdr:cNvPr id="18579" name="UpMember2_5" hidden="1">
              <a:extLst>
                <a:ext uri="{63B3BB69-23CF-44E3-9099-C40C66FF867C}">
                  <a14:compatExt spid="_x0000_s18579"/>
                </a:ext>
                <a:ext uri="{FF2B5EF4-FFF2-40B4-BE49-F238E27FC236}">
                  <a16:creationId xmlns:a16="http://schemas.microsoft.com/office/drawing/2014/main" id="{00000000-0008-0000-0100-00009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178</xdr:row>
          <xdr:rowOff>0</xdr:rowOff>
        </xdr:from>
        <xdr:to>
          <xdr:col>16</xdr:col>
          <xdr:colOff>0</xdr:colOff>
          <xdr:row>179</xdr:row>
          <xdr:rowOff>9525</xdr:rowOff>
        </xdr:to>
        <xdr:sp macro="" textlink="">
          <xdr:nvSpPr>
            <xdr:cNvPr id="18580" name="DownMember2_5" hidden="1">
              <a:extLst>
                <a:ext uri="{63B3BB69-23CF-44E3-9099-C40C66FF867C}">
                  <a14:compatExt spid="_x0000_s18580"/>
                </a:ext>
                <a:ext uri="{FF2B5EF4-FFF2-40B4-BE49-F238E27FC236}">
                  <a16:creationId xmlns:a16="http://schemas.microsoft.com/office/drawing/2014/main" id="{00000000-0008-0000-0100-00009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704850</xdr:colOff>
          <xdr:row>182</xdr:row>
          <xdr:rowOff>9525</xdr:rowOff>
        </xdr:to>
        <xdr:sp macro="" textlink="">
          <xdr:nvSpPr>
            <xdr:cNvPr id="18581" name="AddedMember2_6" hidden="1">
              <a:extLst>
                <a:ext uri="{63B3BB69-23CF-44E3-9099-C40C66FF867C}">
                  <a14:compatExt spid="_x0000_s18581"/>
                </a:ext>
                <a:ext uri="{FF2B5EF4-FFF2-40B4-BE49-F238E27FC236}">
                  <a16:creationId xmlns:a16="http://schemas.microsoft.com/office/drawing/2014/main" id="{00000000-0008-0000-0100-00009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704850</xdr:colOff>
          <xdr:row>182</xdr:row>
          <xdr:rowOff>9525</xdr:rowOff>
        </xdr:to>
        <xdr:sp macro="" textlink="">
          <xdr:nvSpPr>
            <xdr:cNvPr id="18582" name="ChangeMember2_6" hidden="1">
              <a:extLst>
                <a:ext uri="{63B3BB69-23CF-44E3-9099-C40C66FF867C}">
                  <a14:compatExt spid="_x0000_s18582"/>
                </a:ext>
                <a:ext uri="{FF2B5EF4-FFF2-40B4-BE49-F238E27FC236}">
                  <a16:creationId xmlns:a16="http://schemas.microsoft.com/office/drawing/2014/main" id="{00000000-0008-0000-0100-00009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704850</xdr:colOff>
          <xdr:row>182</xdr:row>
          <xdr:rowOff>9525</xdr:rowOff>
        </xdr:to>
        <xdr:sp macro="" textlink="">
          <xdr:nvSpPr>
            <xdr:cNvPr id="18583" name="UpMember2_6" hidden="1">
              <a:extLst>
                <a:ext uri="{63B3BB69-23CF-44E3-9099-C40C66FF867C}">
                  <a14:compatExt spid="_x0000_s18583"/>
                </a:ext>
                <a:ext uri="{FF2B5EF4-FFF2-40B4-BE49-F238E27FC236}">
                  <a16:creationId xmlns:a16="http://schemas.microsoft.com/office/drawing/2014/main" id="{00000000-0008-0000-0100-00009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16</xdr:col>
          <xdr:colOff>0</xdr:colOff>
          <xdr:row>182</xdr:row>
          <xdr:rowOff>9525</xdr:rowOff>
        </xdr:to>
        <xdr:sp macro="" textlink="">
          <xdr:nvSpPr>
            <xdr:cNvPr id="18584" name="DownMember2_6" hidden="1">
              <a:extLst>
                <a:ext uri="{63B3BB69-23CF-44E3-9099-C40C66FF867C}">
                  <a14:compatExt spid="_x0000_s18584"/>
                </a:ext>
                <a:ext uri="{FF2B5EF4-FFF2-40B4-BE49-F238E27FC236}">
                  <a16:creationId xmlns:a16="http://schemas.microsoft.com/office/drawing/2014/main" id="{00000000-0008-0000-0100-00009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704850</xdr:colOff>
          <xdr:row>185</xdr:row>
          <xdr:rowOff>0</xdr:rowOff>
        </xdr:to>
        <xdr:sp macro="" textlink="">
          <xdr:nvSpPr>
            <xdr:cNvPr id="18585" name="AddedMember2_7" hidden="1">
              <a:extLst>
                <a:ext uri="{63B3BB69-23CF-44E3-9099-C40C66FF867C}">
                  <a14:compatExt spid="_x0000_s18585"/>
                </a:ext>
                <a:ext uri="{FF2B5EF4-FFF2-40B4-BE49-F238E27FC236}">
                  <a16:creationId xmlns:a16="http://schemas.microsoft.com/office/drawing/2014/main" id="{00000000-0008-0000-0100-00009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704850</xdr:colOff>
          <xdr:row>185</xdr:row>
          <xdr:rowOff>0</xdr:rowOff>
        </xdr:to>
        <xdr:sp macro="" textlink="">
          <xdr:nvSpPr>
            <xdr:cNvPr id="18586" name="ChangeMember2_7" hidden="1">
              <a:extLst>
                <a:ext uri="{63B3BB69-23CF-44E3-9099-C40C66FF867C}">
                  <a14:compatExt spid="_x0000_s18586"/>
                </a:ext>
                <a:ext uri="{FF2B5EF4-FFF2-40B4-BE49-F238E27FC236}">
                  <a16:creationId xmlns:a16="http://schemas.microsoft.com/office/drawing/2014/main" id="{00000000-0008-0000-0100-00009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704850</xdr:colOff>
          <xdr:row>185</xdr:row>
          <xdr:rowOff>0</xdr:rowOff>
        </xdr:to>
        <xdr:sp macro="" textlink="">
          <xdr:nvSpPr>
            <xdr:cNvPr id="18587" name="UpMember2_7" hidden="1">
              <a:extLst>
                <a:ext uri="{63B3BB69-23CF-44E3-9099-C40C66FF867C}">
                  <a14:compatExt spid="_x0000_s18587"/>
                </a:ext>
                <a:ext uri="{FF2B5EF4-FFF2-40B4-BE49-F238E27FC236}">
                  <a16:creationId xmlns:a16="http://schemas.microsoft.com/office/drawing/2014/main" id="{00000000-0008-0000-0100-00009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16</xdr:col>
          <xdr:colOff>0</xdr:colOff>
          <xdr:row>185</xdr:row>
          <xdr:rowOff>0</xdr:rowOff>
        </xdr:to>
        <xdr:sp macro="" textlink="">
          <xdr:nvSpPr>
            <xdr:cNvPr id="18588" name="DownMember2_7" hidden="1">
              <a:extLst>
                <a:ext uri="{63B3BB69-23CF-44E3-9099-C40C66FF867C}">
                  <a14:compatExt spid="_x0000_s18588"/>
                </a:ext>
                <a:ext uri="{FF2B5EF4-FFF2-40B4-BE49-F238E27FC236}">
                  <a16:creationId xmlns:a16="http://schemas.microsoft.com/office/drawing/2014/main" id="{00000000-0008-0000-0100-00009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93</xdr:row>
          <xdr:rowOff>57150</xdr:rowOff>
        </xdr:from>
        <xdr:to>
          <xdr:col>12</xdr:col>
          <xdr:colOff>704850</xdr:colOff>
          <xdr:row>95</xdr:row>
          <xdr:rowOff>0</xdr:rowOff>
        </xdr:to>
        <xdr:sp macro="" textlink="">
          <xdr:nvSpPr>
            <xdr:cNvPr id="18589" name="AddedMember1_19" hidden="1">
              <a:extLst>
                <a:ext uri="{63B3BB69-23CF-44E3-9099-C40C66FF867C}">
                  <a14:compatExt spid="_x0000_s18589"/>
                </a:ext>
                <a:ext uri="{FF2B5EF4-FFF2-40B4-BE49-F238E27FC236}">
                  <a16:creationId xmlns:a16="http://schemas.microsoft.com/office/drawing/2014/main" id="{00000000-0008-0000-0100-00009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93</xdr:row>
          <xdr:rowOff>57150</xdr:rowOff>
        </xdr:from>
        <xdr:to>
          <xdr:col>13</xdr:col>
          <xdr:colOff>704850</xdr:colOff>
          <xdr:row>95</xdr:row>
          <xdr:rowOff>0</xdr:rowOff>
        </xdr:to>
        <xdr:sp macro="" textlink="">
          <xdr:nvSpPr>
            <xdr:cNvPr id="18590" name="ChangeMember1_19" hidden="1">
              <a:extLst>
                <a:ext uri="{63B3BB69-23CF-44E3-9099-C40C66FF867C}">
                  <a14:compatExt spid="_x0000_s18590"/>
                </a:ext>
                <a:ext uri="{FF2B5EF4-FFF2-40B4-BE49-F238E27FC236}">
                  <a16:creationId xmlns:a16="http://schemas.microsoft.com/office/drawing/2014/main" id="{00000000-0008-0000-0100-00009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93</xdr:row>
          <xdr:rowOff>57150</xdr:rowOff>
        </xdr:from>
        <xdr:to>
          <xdr:col>14</xdr:col>
          <xdr:colOff>704850</xdr:colOff>
          <xdr:row>95</xdr:row>
          <xdr:rowOff>0</xdr:rowOff>
        </xdr:to>
        <xdr:sp macro="" textlink="">
          <xdr:nvSpPr>
            <xdr:cNvPr id="18591" name="UpMember1_19" hidden="1">
              <a:extLst>
                <a:ext uri="{63B3BB69-23CF-44E3-9099-C40C66FF867C}">
                  <a14:compatExt spid="_x0000_s18591"/>
                </a:ext>
                <a:ext uri="{FF2B5EF4-FFF2-40B4-BE49-F238E27FC236}">
                  <a16:creationId xmlns:a16="http://schemas.microsoft.com/office/drawing/2014/main" id="{00000000-0008-0000-0100-00009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93</xdr:row>
          <xdr:rowOff>57150</xdr:rowOff>
        </xdr:from>
        <xdr:to>
          <xdr:col>16</xdr:col>
          <xdr:colOff>0</xdr:colOff>
          <xdr:row>95</xdr:row>
          <xdr:rowOff>0</xdr:rowOff>
        </xdr:to>
        <xdr:sp macro="" textlink="">
          <xdr:nvSpPr>
            <xdr:cNvPr id="18592" name="DownMember1_19" hidden="1">
              <a:extLst>
                <a:ext uri="{63B3BB69-23CF-44E3-9099-C40C66FF867C}">
                  <a14:compatExt spid="_x0000_s18592"/>
                </a:ext>
                <a:ext uri="{FF2B5EF4-FFF2-40B4-BE49-F238E27FC236}">
                  <a16:creationId xmlns:a16="http://schemas.microsoft.com/office/drawing/2014/main" id="{00000000-0008-0000-0100-0000A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xdr:row>
          <xdr:rowOff>0</xdr:rowOff>
        </xdr:from>
        <xdr:to>
          <xdr:col>12</xdr:col>
          <xdr:colOff>704850</xdr:colOff>
          <xdr:row>98</xdr:row>
          <xdr:rowOff>9525</xdr:rowOff>
        </xdr:to>
        <xdr:sp macro="" textlink="">
          <xdr:nvSpPr>
            <xdr:cNvPr id="18593" name="AddedMember1_20" hidden="1">
              <a:extLst>
                <a:ext uri="{63B3BB69-23CF-44E3-9099-C40C66FF867C}">
                  <a14:compatExt spid="_x0000_s18593"/>
                </a:ext>
                <a:ext uri="{FF2B5EF4-FFF2-40B4-BE49-F238E27FC236}">
                  <a16:creationId xmlns:a16="http://schemas.microsoft.com/office/drawing/2014/main" id="{00000000-0008-0000-0100-0000A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97</xdr:row>
          <xdr:rowOff>0</xdr:rowOff>
        </xdr:from>
        <xdr:to>
          <xdr:col>13</xdr:col>
          <xdr:colOff>704850</xdr:colOff>
          <xdr:row>98</xdr:row>
          <xdr:rowOff>9525</xdr:rowOff>
        </xdr:to>
        <xdr:sp macro="" textlink="">
          <xdr:nvSpPr>
            <xdr:cNvPr id="18594" name="ChangeMember1_20" hidden="1">
              <a:extLst>
                <a:ext uri="{63B3BB69-23CF-44E3-9099-C40C66FF867C}">
                  <a14:compatExt spid="_x0000_s18594"/>
                </a:ext>
                <a:ext uri="{FF2B5EF4-FFF2-40B4-BE49-F238E27FC236}">
                  <a16:creationId xmlns:a16="http://schemas.microsoft.com/office/drawing/2014/main" id="{00000000-0008-0000-0100-0000A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97</xdr:row>
          <xdr:rowOff>0</xdr:rowOff>
        </xdr:from>
        <xdr:to>
          <xdr:col>14</xdr:col>
          <xdr:colOff>704850</xdr:colOff>
          <xdr:row>98</xdr:row>
          <xdr:rowOff>9525</xdr:rowOff>
        </xdr:to>
        <xdr:sp macro="" textlink="">
          <xdr:nvSpPr>
            <xdr:cNvPr id="18595" name="UpMember1_20" hidden="1">
              <a:extLst>
                <a:ext uri="{63B3BB69-23CF-44E3-9099-C40C66FF867C}">
                  <a14:compatExt spid="_x0000_s18595"/>
                </a:ext>
                <a:ext uri="{FF2B5EF4-FFF2-40B4-BE49-F238E27FC236}">
                  <a16:creationId xmlns:a16="http://schemas.microsoft.com/office/drawing/2014/main" id="{00000000-0008-0000-0100-0000A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97</xdr:row>
          <xdr:rowOff>0</xdr:rowOff>
        </xdr:from>
        <xdr:to>
          <xdr:col>16</xdr:col>
          <xdr:colOff>0</xdr:colOff>
          <xdr:row>98</xdr:row>
          <xdr:rowOff>9525</xdr:rowOff>
        </xdr:to>
        <xdr:sp macro="" textlink="">
          <xdr:nvSpPr>
            <xdr:cNvPr id="18596" name="DownMember1_20" hidden="1">
              <a:extLst>
                <a:ext uri="{63B3BB69-23CF-44E3-9099-C40C66FF867C}">
                  <a14:compatExt spid="_x0000_s18596"/>
                </a:ext>
                <a:ext uri="{FF2B5EF4-FFF2-40B4-BE49-F238E27FC236}">
                  <a16:creationId xmlns:a16="http://schemas.microsoft.com/office/drawing/2014/main" id="{00000000-0008-0000-0100-0000A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100</xdr:row>
          <xdr:rowOff>0</xdr:rowOff>
        </xdr:from>
        <xdr:to>
          <xdr:col>12</xdr:col>
          <xdr:colOff>704850</xdr:colOff>
          <xdr:row>101</xdr:row>
          <xdr:rowOff>9525</xdr:rowOff>
        </xdr:to>
        <xdr:sp macro="" textlink="">
          <xdr:nvSpPr>
            <xdr:cNvPr id="18597" name="AddedMember1_21" hidden="1">
              <a:extLst>
                <a:ext uri="{63B3BB69-23CF-44E3-9099-C40C66FF867C}">
                  <a14:compatExt spid="_x0000_s18597"/>
                </a:ext>
                <a:ext uri="{FF2B5EF4-FFF2-40B4-BE49-F238E27FC236}">
                  <a16:creationId xmlns:a16="http://schemas.microsoft.com/office/drawing/2014/main" id="{00000000-0008-0000-0100-0000A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100</xdr:row>
          <xdr:rowOff>0</xdr:rowOff>
        </xdr:from>
        <xdr:to>
          <xdr:col>13</xdr:col>
          <xdr:colOff>704850</xdr:colOff>
          <xdr:row>101</xdr:row>
          <xdr:rowOff>9525</xdr:rowOff>
        </xdr:to>
        <xdr:sp macro="" textlink="">
          <xdr:nvSpPr>
            <xdr:cNvPr id="18598" name="ChangeMember1_21" hidden="1">
              <a:extLst>
                <a:ext uri="{63B3BB69-23CF-44E3-9099-C40C66FF867C}">
                  <a14:compatExt spid="_x0000_s18598"/>
                </a:ext>
                <a:ext uri="{FF2B5EF4-FFF2-40B4-BE49-F238E27FC236}">
                  <a16:creationId xmlns:a16="http://schemas.microsoft.com/office/drawing/2014/main" id="{00000000-0008-0000-0100-0000A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100</xdr:row>
          <xdr:rowOff>0</xdr:rowOff>
        </xdr:from>
        <xdr:to>
          <xdr:col>14</xdr:col>
          <xdr:colOff>704850</xdr:colOff>
          <xdr:row>101</xdr:row>
          <xdr:rowOff>9525</xdr:rowOff>
        </xdr:to>
        <xdr:sp macro="" textlink="">
          <xdr:nvSpPr>
            <xdr:cNvPr id="18599" name="UpMember1_21" hidden="1">
              <a:extLst>
                <a:ext uri="{63B3BB69-23CF-44E3-9099-C40C66FF867C}">
                  <a14:compatExt spid="_x0000_s18599"/>
                </a:ext>
                <a:ext uri="{FF2B5EF4-FFF2-40B4-BE49-F238E27FC236}">
                  <a16:creationId xmlns:a16="http://schemas.microsoft.com/office/drawing/2014/main" id="{00000000-0008-0000-0100-0000A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100</xdr:row>
          <xdr:rowOff>0</xdr:rowOff>
        </xdr:from>
        <xdr:to>
          <xdr:col>16</xdr:col>
          <xdr:colOff>0</xdr:colOff>
          <xdr:row>101</xdr:row>
          <xdr:rowOff>9525</xdr:rowOff>
        </xdr:to>
        <xdr:sp macro="" textlink="">
          <xdr:nvSpPr>
            <xdr:cNvPr id="18600" name="DownMember1_21" hidden="1">
              <a:extLst>
                <a:ext uri="{63B3BB69-23CF-44E3-9099-C40C66FF867C}">
                  <a14:compatExt spid="_x0000_s18600"/>
                </a:ext>
                <a:ext uri="{FF2B5EF4-FFF2-40B4-BE49-F238E27FC236}">
                  <a16:creationId xmlns:a16="http://schemas.microsoft.com/office/drawing/2014/main" id="{00000000-0008-0000-0100-0000A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103</xdr:row>
          <xdr:rowOff>0</xdr:rowOff>
        </xdr:from>
        <xdr:to>
          <xdr:col>12</xdr:col>
          <xdr:colOff>704850</xdr:colOff>
          <xdr:row>104</xdr:row>
          <xdr:rowOff>0</xdr:rowOff>
        </xdr:to>
        <xdr:sp macro="" textlink="">
          <xdr:nvSpPr>
            <xdr:cNvPr id="18601" name="AddedMember1_22" hidden="1">
              <a:extLst>
                <a:ext uri="{63B3BB69-23CF-44E3-9099-C40C66FF867C}">
                  <a14:compatExt spid="_x0000_s18601"/>
                </a:ext>
                <a:ext uri="{FF2B5EF4-FFF2-40B4-BE49-F238E27FC236}">
                  <a16:creationId xmlns:a16="http://schemas.microsoft.com/office/drawing/2014/main" id="{00000000-0008-0000-0100-0000A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103</xdr:row>
          <xdr:rowOff>0</xdr:rowOff>
        </xdr:from>
        <xdr:to>
          <xdr:col>13</xdr:col>
          <xdr:colOff>704850</xdr:colOff>
          <xdr:row>104</xdr:row>
          <xdr:rowOff>0</xdr:rowOff>
        </xdr:to>
        <xdr:sp macro="" textlink="">
          <xdr:nvSpPr>
            <xdr:cNvPr id="18602" name="ChangeMember1_22" hidden="1">
              <a:extLst>
                <a:ext uri="{63B3BB69-23CF-44E3-9099-C40C66FF867C}">
                  <a14:compatExt spid="_x0000_s18602"/>
                </a:ext>
                <a:ext uri="{FF2B5EF4-FFF2-40B4-BE49-F238E27FC236}">
                  <a16:creationId xmlns:a16="http://schemas.microsoft.com/office/drawing/2014/main" id="{00000000-0008-0000-0100-0000A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103</xdr:row>
          <xdr:rowOff>0</xdr:rowOff>
        </xdr:from>
        <xdr:to>
          <xdr:col>14</xdr:col>
          <xdr:colOff>704850</xdr:colOff>
          <xdr:row>104</xdr:row>
          <xdr:rowOff>0</xdr:rowOff>
        </xdr:to>
        <xdr:sp macro="" textlink="">
          <xdr:nvSpPr>
            <xdr:cNvPr id="18603" name="UpMember1_22" hidden="1">
              <a:extLst>
                <a:ext uri="{63B3BB69-23CF-44E3-9099-C40C66FF867C}">
                  <a14:compatExt spid="_x0000_s18603"/>
                </a:ext>
                <a:ext uri="{FF2B5EF4-FFF2-40B4-BE49-F238E27FC236}">
                  <a16:creationId xmlns:a16="http://schemas.microsoft.com/office/drawing/2014/main" id="{00000000-0008-0000-0100-0000A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103</xdr:row>
          <xdr:rowOff>0</xdr:rowOff>
        </xdr:from>
        <xdr:to>
          <xdr:col>16</xdr:col>
          <xdr:colOff>0</xdr:colOff>
          <xdr:row>104</xdr:row>
          <xdr:rowOff>0</xdr:rowOff>
        </xdr:to>
        <xdr:sp macro="" textlink="">
          <xdr:nvSpPr>
            <xdr:cNvPr id="18604" name="DownMember1_22" hidden="1">
              <a:extLst>
                <a:ext uri="{63B3BB69-23CF-44E3-9099-C40C66FF867C}">
                  <a14:compatExt spid="_x0000_s18604"/>
                </a:ext>
                <a:ext uri="{FF2B5EF4-FFF2-40B4-BE49-F238E27FC236}">
                  <a16:creationId xmlns:a16="http://schemas.microsoft.com/office/drawing/2014/main" id="{00000000-0008-0000-0100-0000A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105</xdr:row>
          <xdr:rowOff>57150</xdr:rowOff>
        </xdr:from>
        <xdr:to>
          <xdr:col>12</xdr:col>
          <xdr:colOff>704850</xdr:colOff>
          <xdr:row>107</xdr:row>
          <xdr:rowOff>0</xdr:rowOff>
        </xdr:to>
        <xdr:sp macro="" textlink="">
          <xdr:nvSpPr>
            <xdr:cNvPr id="18605" name="AddedMember1_23" hidden="1">
              <a:extLst>
                <a:ext uri="{63B3BB69-23CF-44E3-9099-C40C66FF867C}">
                  <a14:compatExt spid="_x0000_s18605"/>
                </a:ext>
                <a:ext uri="{FF2B5EF4-FFF2-40B4-BE49-F238E27FC236}">
                  <a16:creationId xmlns:a16="http://schemas.microsoft.com/office/drawing/2014/main" id="{00000000-0008-0000-0100-0000A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105</xdr:row>
          <xdr:rowOff>57150</xdr:rowOff>
        </xdr:from>
        <xdr:to>
          <xdr:col>13</xdr:col>
          <xdr:colOff>704850</xdr:colOff>
          <xdr:row>107</xdr:row>
          <xdr:rowOff>0</xdr:rowOff>
        </xdr:to>
        <xdr:sp macro="" textlink="">
          <xdr:nvSpPr>
            <xdr:cNvPr id="18606" name="ChangeMember1_23" hidden="1">
              <a:extLst>
                <a:ext uri="{63B3BB69-23CF-44E3-9099-C40C66FF867C}">
                  <a14:compatExt spid="_x0000_s18606"/>
                </a:ext>
                <a:ext uri="{FF2B5EF4-FFF2-40B4-BE49-F238E27FC236}">
                  <a16:creationId xmlns:a16="http://schemas.microsoft.com/office/drawing/2014/main" id="{00000000-0008-0000-0100-0000AE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105</xdr:row>
          <xdr:rowOff>57150</xdr:rowOff>
        </xdr:from>
        <xdr:to>
          <xdr:col>14</xdr:col>
          <xdr:colOff>704850</xdr:colOff>
          <xdr:row>107</xdr:row>
          <xdr:rowOff>0</xdr:rowOff>
        </xdr:to>
        <xdr:sp macro="" textlink="">
          <xdr:nvSpPr>
            <xdr:cNvPr id="18607" name="UpMember1_23" hidden="1">
              <a:extLst>
                <a:ext uri="{63B3BB69-23CF-44E3-9099-C40C66FF867C}">
                  <a14:compatExt spid="_x0000_s18607"/>
                </a:ext>
                <a:ext uri="{FF2B5EF4-FFF2-40B4-BE49-F238E27FC236}">
                  <a16:creationId xmlns:a16="http://schemas.microsoft.com/office/drawing/2014/main" id="{00000000-0008-0000-0100-0000A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105</xdr:row>
          <xdr:rowOff>57150</xdr:rowOff>
        </xdr:from>
        <xdr:to>
          <xdr:col>16</xdr:col>
          <xdr:colOff>0</xdr:colOff>
          <xdr:row>107</xdr:row>
          <xdr:rowOff>0</xdr:rowOff>
        </xdr:to>
        <xdr:sp macro="" textlink="">
          <xdr:nvSpPr>
            <xdr:cNvPr id="18608" name="DownMember1_23" hidden="1">
              <a:extLst>
                <a:ext uri="{63B3BB69-23CF-44E3-9099-C40C66FF867C}">
                  <a14:compatExt spid="_x0000_s18608"/>
                </a:ext>
                <a:ext uri="{FF2B5EF4-FFF2-40B4-BE49-F238E27FC236}">
                  <a16:creationId xmlns:a16="http://schemas.microsoft.com/office/drawing/2014/main" id="{00000000-0008-0000-0100-0000B0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108</xdr:row>
          <xdr:rowOff>57150</xdr:rowOff>
        </xdr:from>
        <xdr:to>
          <xdr:col>12</xdr:col>
          <xdr:colOff>704850</xdr:colOff>
          <xdr:row>110</xdr:row>
          <xdr:rowOff>0</xdr:rowOff>
        </xdr:to>
        <xdr:sp macro="" textlink="">
          <xdr:nvSpPr>
            <xdr:cNvPr id="18609" name="AddedMember1_24" hidden="1">
              <a:extLst>
                <a:ext uri="{63B3BB69-23CF-44E3-9099-C40C66FF867C}">
                  <a14:compatExt spid="_x0000_s18609"/>
                </a:ext>
                <a:ext uri="{FF2B5EF4-FFF2-40B4-BE49-F238E27FC236}">
                  <a16:creationId xmlns:a16="http://schemas.microsoft.com/office/drawing/2014/main" id="{00000000-0008-0000-0100-0000B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108</xdr:row>
          <xdr:rowOff>57150</xdr:rowOff>
        </xdr:from>
        <xdr:to>
          <xdr:col>13</xdr:col>
          <xdr:colOff>704850</xdr:colOff>
          <xdr:row>110</xdr:row>
          <xdr:rowOff>0</xdr:rowOff>
        </xdr:to>
        <xdr:sp macro="" textlink="">
          <xdr:nvSpPr>
            <xdr:cNvPr id="18610" name="ChangeMember1_24" hidden="1">
              <a:extLst>
                <a:ext uri="{63B3BB69-23CF-44E3-9099-C40C66FF867C}">
                  <a14:compatExt spid="_x0000_s18610"/>
                </a:ext>
                <a:ext uri="{FF2B5EF4-FFF2-40B4-BE49-F238E27FC236}">
                  <a16:creationId xmlns:a16="http://schemas.microsoft.com/office/drawing/2014/main" id="{00000000-0008-0000-0100-0000B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108</xdr:row>
          <xdr:rowOff>57150</xdr:rowOff>
        </xdr:from>
        <xdr:to>
          <xdr:col>14</xdr:col>
          <xdr:colOff>704850</xdr:colOff>
          <xdr:row>110</xdr:row>
          <xdr:rowOff>0</xdr:rowOff>
        </xdr:to>
        <xdr:sp macro="" textlink="">
          <xdr:nvSpPr>
            <xdr:cNvPr id="18611" name="UpMember1_24" hidden="1">
              <a:extLst>
                <a:ext uri="{63B3BB69-23CF-44E3-9099-C40C66FF867C}">
                  <a14:compatExt spid="_x0000_s18611"/>
                </a:ext>
                <a:ext uri="{FF2B5EF4-FFF2-40B4-BE49-F238E27FC236}">
                  <a16:creationId xmlns:a16="http://schemas.microsoft.com/office/drawing/2014/main" id="{00000000-0008-0000-0100-0000B3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108</xdr:row>
          <xdr:rowOff>57150</xdr:rowOff>
        </xdr:from>
        <xdr:to>
          <xdr:col>16</xdr:col>
          <xdr:colOff>0</xdr:colOff>
          <xdr:row>110</xdr:row>
          <xdr:rowOff>0</xdr:rowOff>
        </xdr:to>
        <xdr:sp macro="" textlink="">
          <xdr:nvSpPr>
            <xdr:cNvPr id="18612" name="DownMember1_24" hidden="1">
              <a:extLst>
                <a:ext uri="{63B3BB69-23CF-44E3-9099-C40C66FF867C}">
                  <a14:compatExt spid="_x0000_s18612"/>
                </a:ext>
                <a:ext uri="{FF2B5EF4-FFF2-40B4-BE49-F238E27FC236}">
                  <a16:creationId xmlns:a16="http://schemas.microsoft.com/office/drawing/2014/main" id="{00000000-0008-0000-0100-0000B4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704850</xdr:colOff>
          <xdr:row>113</xdr:row>
          <xdr:rowOff>9525</xdr:rowOff>
        </xdr:to>
        <xdr:sp macro="" textlink="">
          <xdr:nvSpPr>
            <xdr:cNvPr id="18613" name="AddedMember1_25" hidden="1">
              <a:extLst>
                <a:ext uri="{63B3BB69-23CF-44E3-9099-C40C66FF867C}">
                  <a14:compatExt spid="_x0000_s18613"/>
                </a:ext>
                <a:ext uri="{FF2B5EF4-FFF2-40B4-BE49-F238E27FC236}">
                  <a16:creationId xmlns:a16="http://schemas.microsoft.com/office/drawing/2014/main" id="{00000000-0008-0000-0100-0000B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704850</xdr:colOff>
          <xdr:row>113</xdr:row>
          <xdr:rowOff>9525</xdr:rowOff>
        </xdr:to>
        <xdr:sp macro="" textlink="">
          <xdr:nvSpPr>
            <xdr:cNvPr id="18614" name="ChangeMember1_25" hidden="1">
              <a:extLst>
                <a:ext uri="{63B3BB69-23CF-44E3-9099-C40C66FF867C}">
                  <a14:compatExt spid="_x0000_s18614"/>
                </a:ext>
                <a:ext uri="{FF2B5EF4-FFF2-40B4-BE49-F238E27FC236}">
                  <a16:creationId xmlns:a16="http://schemas.microsoft.com/office/drawing/2014/main" id="{00000000-0008-0000-0100-0000B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704850</xdr:colOff>
          <xdr:row>113</xdr:row>
          <xdr:rowOff>9525</xdr:rowOff>
        </xdr:to>
        <xdr:sp macro="" textlink="">
          <xdr:nvSpPr>
            <xdr:cNvPr id="18615" name="UpMember1_25" hidden="1">
              <a:extLst>
                <a:ext uri="{63B3BB69-23CF-44E3-9099-C40C66FF867C}">
                  <a14:compatExt spid="_x0000_s18615"/>
                </a:ext>
                <a:ext uri="{FF2B5EF4-FFF2-40B4-BE49-F238E27FC236}">
                  <a16:creationId xmlns:a16="http://schemas.microsoft.com/office/drawing/2014/main" id="{00000000-0008-0000-0100-0000B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9525</xdr:rowOff>
        </xdr:to>
        <xdr:sp macro="" textlink="">
          <xdr:nvSpPr>
            <xdr:cNvPr id="18616" name="DownMember1_25" hidden="1">
              <a:extLst>
                <a:ext uri="{63B3BB69-23CF-44E3-9099-C40C66FF867C}">
                  <a14:compatExt spid="_x0000_s18616"/>
                </a:ext>
                <a:ext uri="{FF2B5EF4-FFF2-40B4-BE49-F238E27FC236}">
                  <a16:creationId xmlns:a16="http://schemas.microsoft.com/office/drawing/2014/main" id="{00000000-0008-0000-0100-0000B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115</xdr:row>
          <xdr:rowOff>0</xdr:rowOff>
        </xdr:from>
        <xdr:to>
          <xdr:col>12</xdr:col>
          <xdr:colOff>676275</xdr:colOff>
          <xdr:row>116</xdr:row>
          <xdr:rowOff>0</xdr:rowOff>
        </xdr:to>
        <xdr:sp macro="" textlink="">
          <xdr:nvSpPr>
            <xdr:cNvPr id="18650" name="AddedMember1_26" hidden="1">
              <a:extLst>
                <a:ext uri="{63B3BB69-23CF-44E3-9099-C40C66FF867C}">
                  <a14:compatExt spid="_x0000_s18650"/>
                </a:ext>
                <a:ext uri="{FF2B5EF4-FFF2-40B4-BE49-F238E27FC236}">
                  <a16:creationId xmlns:a16="http://schemas.microsoft.com/office/drawing/2014/main" id="{00000000-0008-0000-0100-0000D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115</xdr:row>
          <xdr:rowOff>0</xdr:rowOff>
        </xdr:from>
        <xdr:to>
          <xdr:col>13</xdr:col>
          <xdr:colOff>685800</xdr:colOff>
          <xdr:row>116</xdr:row>
          <xdr:rowOff>0</xdr:rowOff>
        </xdr:to>
        <xdr:sp macro="" textlink="">
          <xdr:nvSpPr>
            <xdr:cNvPr id="18651" name="ChangeMember1_26" hidden="1">
              <a:extLst>
                <a:ext uri="{63B3BB69-23CF-44E3-9099-C40C66FF867C}">
                  <a14:compatExt spid="_x0000_s18651"/>
                </a:ext>
                <a:ext uri="{FF2B5EF4-FFF2-40B4-BE49-F238E27FC236}">
                  <a16:creationId xmlns:a16="http://schemas.microsoft.com/office/drawing/2014/main" id="{00000000-0008-0000-0100-0000D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685800</xdr:colOff>
          <xdr:row>116</xdr:row>
          <xdr:rowOff>0</xdr:rowOff>
        </xdr:to>
        <xdr:sp macro="" textlink="">
          <xdr:nvSpPr>
            <xdr:cNvPr id="18652" name="UpMember1_26" hidden="1">
              <a:extLst>
                <a:ext uri="{63B3BB69-23CF-44E3-9099-C40C66FF867C}">
                  <a14:compatExt spid="_x0000_s18652"/>
                </a:ext>
                <a:ext uri="{FF2B5EF4-FFF2-40B4-BE49-F238E27FC236}">
                  <a16:creationId xmlns:a16="http://schemas.microsoft.com/office/drawing/2014/main" id="{00000000-0008-0000-0100-0000D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115</xdr:row>
          <xdr:rowOff>0</xdr:rowOff>
        </xdr:from>
        <xdr:to>
          <xdr:col>15</xdr:col>
          <xdr:colOff>676275</xdr:colOff>
          <xdr:row>116</xdr:row>
          <xdr:rowOff>0</xdr:rowOff>
        </xdr:to>
        <xdr:sp macro="" textlink="">
          <xdr:nvSpPr>
            <xdr:cNvPr id="18653" name="DownMember1_26" hidden="1">
              <a:extLst>
                <a:ext uri="{63B3BB69-23CF-44E3-9099-C40C66FF867C}">
                  <a14:compatExt spid="_x0000_s18653"/>
                </a:ext>
                <a:ext uri="{FF2B5EF4-FFF2-40B4-BE49-F238E27FC236}">
                  <a16:creationId xmlns:a16="http://schemas.microsoft.com/office/drawing/2014/main" id="{00000000-0008-0000-0100-0000D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117</xdr:row>
          <xdr:rowOff>47625</xdr:rowOff>
        </xdr:from>
        <xdr:to>
          <xdr:col>12</xdr:col>
          <xdr:colOff>676275</xdr:colOff>
          <xdr:row>119</xdr:row>
          <xdr:rowOff>0</xdr:rowOff>
        </xdr:to>
        <xdr:sp macro="" textlink="">
          <xdr:nvSpPr>
            <xdr:cNvPr id="18661" name="AddedMember1_27" hidden="1">
              <a:extLst>
                <a:ext uri="{63B3BB69-23CF-44E3-9099-C40C66FF867C}">
                  <a14:compatExt spid="_x0000_s18661"/>
                </a:ext>
                <a:ext uri="{FF2B5EF4-FFF2-40B4-BE49-F238E27FC236}">
                  <a16:creationId xmlns:a16="http://schemas.microsoft.com/office/drawing/2014/main" id="{00000000-0008-0000-0100-0000E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117</xdr:row>
          <xdr:rowOff>47625</xdr:rowOff>
        </xdr:from>
        <xdr:to>
          <xdr:col>13</xdr:col>
          <xdr:colOff>685800</xdr:colOff>
          <xdr:row>119</xdr:row>
          <xdr:rowOff>0</xdr:rowOff>
        </xdr:to>
        <xdr:sp macro="" textlink="">
          <xdr:nvSpPr>
            <xdr:cNvPr id="18662" name="ChangeMember1_27" hidden="1">
              <a:extLst>
                <a:ext uri="{63B3BB69-23CF-44E3-9099-C40C66FF867C}">
                  <a14:compatExt spid="_x0000_s18662"/>
                </a:ext>
                <a:ext uri="{FF2B5EF4-FFF2-40B4-BE49-F238E27FC236}">
                  <a16:creationId xmlns:a16="http://schemas.microsoft.com/office/drawing/2014/main" id="{00000000-0008-0000-0100-0000E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47625</xdr:rowOff>
        </xdr:from>
        <xdr:to>
          <xdr:col>14</xdr:col>
          <xdr:colOff>685800</xdr:colOff>
          <xdr:row>119</xdr:row>
          <xdr:rowOff>0</xdr:rowOff>
        </xdr:to>
        <xdr:sp macro="" textlink="">
          <xdr:nvSpPr>
            <xdr:cNvPr id="18663" name="UpMember1_27" hidden="1">
              <a:extLst>
                <a:ext uri="{63B3BB69-23CF-44E3-9099-C40C66FF867C}">
                  <a14:compatExt spid="_x0000_s18663"/>
                </a:ext>
                <a:ext uri="{FF2B5EF4-FFF2-40B4-BE49-F238E27FC236}">
                  <a16:creationId xmlns:a16="http://schemas.microsoft.com/office/drawing/2014/main" id="{00000000-0008-0000-0100-0000E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117</xdr:row>
          <xdr:rowOff>47625</xdr:rowOff>
        </xdr:from>
        <xdr:to>
          <xdr:col>15</xdr:col>
          <xdr:colOff>676275</xdr:colOff>
          <xdr:row>119</xdr:row>
          <xdr:rowOff>0</xdr:rowOff>
        </xdr:to>
        <xdr:sp macro="" textlink="">
          <xdr:nvSpPr>
            <xdr:cNvPr id="18664" name="DownMember1_27" hidden="1">
              <a:extLst>
                <a:ext uri="{63B3BB69-23CF-44E3-9099-C40C66FF867C}">
                  <a14:compatExt spid="_x0000_s18664"/>
                </a:ext>
                <a:ext uri="{FF2B5EF4-FFF2-40B4-BE49-F238E27FC236}">
                  <a16:creationId xmlns:a16="http://schemas.microsoft.com/office/drawing/2014/main" id="{00000000-0008-0000-0100-0000E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120</xdr:row>
          <xdr:rowOff>47625</xdr:rowOff>
        </xdr:from>
        <xdr:to>
          <xdr:col>12</xdr:col>
          <xdr:colOff>676275</xdr:colOff>
          <xdr:row>122</xdr:row>
          <xdr:rowOff>0</xdr:rowOff>
        </xdr:to>
        <xdr:sp macro="" textlink="">
          <xdr:nvSpPr>
            <xdr:cNvPr id="18677" name="AddedMember1_28" hidden="1">
              <a:extLst>
                <a:ext uri="{63B3BB69-23CF-44E3-9099-C40C66FF867C}">
                  <a14:compatExt spid="_x0000_s18677"/>
                </a:ext>
                <a:ext uri="{FF2B5EF4-FFF2-40B4-BE49-F238E27FC236}">
                  <a16:creationId xmlns:a16="http://schemas.microsoft.com/office/drawing/2014/main" id="{00000000-0008-0000-0100-0000F5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120</xdr:row>
          <xdr:rowOff>47625</xdr:rowOff>
        </xdr:from>
        <xdr:to>
          <xdr:col>13</xdr:col>
          <xdr:colOff>685800</xdr:colOff>
          <xdr:row>122</xdr:row>
          <xdr:rowOff>0</xdr:rowOff>
        </xdr:to>
        <xdr:sp macro="" textlink="">
          <xdr:nvSpPr>
            <xdr:cNvPr id="18678" name="ChangeMember1_28" hidden="1">
              <a:extLst>
                <a:ext uri="{63B3BB69-23CF-44E3-9099-C40C66FF867C}">
                  <a14:compatExt spid="_x0000_s18678"/>
                </a:ext>
                <a:ext uri="{FF2B5EF4-FFF2-40B4-BE49-F238E27FC236}">
                  <a16:creationId xmlns:a16="http://schemas.microsoft.com/office/drawing/2014/main" id="{00000000-0008-0000-0100-0000F6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47625</xdr:rowOff>
        </xdr:from>
        <xdr:to>
          <xdr:col>14</xdr:col>
          <xdr:colOff>685800</xdr:colOff>
          <xdr:row>122</xdr:row>
          <xdr:rowOff>0</xdr:rowOff>
        </xdr:to>
        <xdr:sp macro="" textlink="">
          <xdr:nvSpPr>
            <xdr:cNvPr id="18679" name="UpMember1_28" hidden="1">
              <a:extLst>
                <a:ext uri="{63B3BB69-23CF-44E3-9099-C40C66FF867C}">
                  <a14:compatExt spid="_x0000_s18679"/>
                </a:ext>
                <a:ext uri="{FF2B5EF4-FFF2-40B4-BE49-F238E27FC236}">
                  <a16:creationId xmlns:a16="http://schemas.microsoft.com/office/drawing/2014/main" id="{00000000-0008-0000-0100-0000F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120</xdr:row>
          <xdr:rowOff>47625</xdr:rowOff>
        </xdr:from>
        <xdr:to>
          <xdr:col>15</xdr:col>
          <xdr:colOff>676275</xdr:colOff>
          <xdr:row>122</xdr:row>
          <xdr:rowOff>0</xdr:rowOff>
        </xdr:to>
        <xdr:sp macro="" textlink="">
          <xdr:nvSpPr>
            <xdr:cNvPr id="18680" name="DownMember1_28" hidden="1">
              <a:extLst>
                <a:ext uri="{63B3BB69-23CF-44E3-9099-C40C66FF867C}">
                  <a14:compatExt spid="_x0000_s18680"/>
                </a:ext>
                <a:ext uri="{FF2B5EF4-FFF2-40B4-BE49-F238E27FC236}">
                  <a16:creationId xmlns:a16="http://schemas.microsoft.com/office/drawing/2014/main" id="{00000000-0008-0000-0100-0000F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124</xdr:row>
          <xdr:rowOff>0</xdr:rowOff>
        </xdr:from>
        <xdr:to>
          <xdr:col>12</xdr:col>
          <xdr:colOff>676275</xdr:colOff>
          <xdr:row>125</xdr:row>
          <xdr:rowOff>0</xdr:rowOff>
        </xdr:to>
        <xdr:sp macro="" textlink="">
          <xdr:nvSpPr>
            <xdr:cNvPr id="18682" name="AddedMember1_29" hidden="1">
              <a:extLst>
                <a:ext uri="{63B3BB69-23CF-44E3-9099-C40C66FF867C}">
                  <a14:compatExt spid="_x0000_s18682"/>
                </a:ext>
                <a:ext uri="{FF2B5EF4-FFF2-40B4-BE49-F238E27FC236}">
                  <a16:creationId xmlns:a16="http://schemas.microsoft.com/office/drawing/2014/main" id="{00000000-0008-0000-0100-0000F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124</xdr:row>
          <xdr:rowOff>0</xdr:rowOff>
        </xdr:from>
        <xdr:to>
          <xdr:col>13</xdr:col>
          <xdr:colOff>685800</xdr:colOff>
          <xdr:row>125</xdr:row>
          <xdr:rowOff>0</xdr:rowOff>
        </xdr:to>
        <xdr:sp macro="" textlink="">
          <xdr:nvSpPr>
            <xdr:cNvPr id="18683" name="ChangeMember1_29" hidden="1">
              <a:extLst>
                <a:ext uri="{63B3BB69-23CF-44E3-9099-C40C66FF867C}">
                  <a14:compatExt spid="_x0000_s18683"/>
                </a:ext>
                <a:ext uri="{FF2B5EF4-FFF2-40B4-BE49-F238E27FC236}">
                  <a16:creationId xmlns:a16="http://schemas.microsoft.com/office/drawing/2014/main" id="{00000000-0008-0000-0100-0000FB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685800</xdr:colOff>
          <xdr:row>125</xdr:row>
          <xdr:rowOff>0</xdr:rowOff>
        </xdr:to>
        <xdr:sp macro="" textlink="">
          <xdr:nvSpPr>
            <xdr:cNvPr id="18684" name="UpMember1_29" hidden="1">
              <a:extLst>
                <a:ext uri="{63B3BB69-23CF-44E3-9099-C40C66FF867C}">
                  <a14:compatExt spid="_x0000_s18684"/>
                </a:ext>
                <a:ext uri="{FF2B5EF4-FFF2-40B4-BE49-F238E27FC236}">
                  <a16:creationId xmlns:a16="http://schemas.microsoft.com/office/drawing/2014/main" id="{00000000-0008-0000-0100-0000FC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124</xdr:row>
          <xdr:rowOff>0</xdr:rowOff>
        </xdr:from>
        <xdr:to>
          <xdr:col>15</xdr:col>
          <xdr:colOff>676275</xdr:colOff>
          <xdr:row>125</xdr:row>
          <xdr:rowOff>0</xdr:rowOff>
        </xdr:to>
        <xdr:sp macro="" textlink="">
          <xdr:nvSpPr>
            <xdr:cNvPr id="18685" name="DownMember1_29" hidden="1">
              <a:extLst>
                <a:ext uri="{63B3BB69-23CF-44E3-9099-C40C66FF867C}">
                  <a14:compatExt spid="_x0000_s18685"/>
                </a:ext>
                <a:ext uri="{FF2B5EF4-FFF2-40B4-BE49-F238E27FC236}">
                  <a16:creationId xmlns:a16="http://schemas.microsoft.com/office/drawing/2014/main" id="{00000000-0008-0000-0100-0000FD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127</xdr:row>
          <xdr:rowOff>0</xdr:rowOff>
        </xdr:from>
        <xdr:to>
          <xdr:col>12</xdr:col>
          <xdr:colOff>676275</xdr:colOff>
          <xdr:row>128</xdr:row>
          <xdr:rowOff>0</xdr:rowOff>
        </xdr:to>
        <xdr:sp macro="" textlink="">
          <xdr:nvSpPr>
            <xdr:cNvPr id="18687" name="AddedMember1_30" hidden="1">
              <a:extLst>
                <a:ext uri="{63B3BB69-23CF-44E3-9099-C40C66FF867C}">
                  <a14:compatExt spid="_x0000_s18687"/>
                </a:ext>
                <a:ext uri="{FF2B5EF4-FFF2-40B4-BE49-F238E27FC236}">
                  <a16:creationId xmlns:a16="http://schemas.microsoft.com/office/drawing/2014/main" id="{00000000-0008-0000-0100-0000FF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127</xdr:row>
          <xdr:rowOff>0</xdr:rowOff>
        </xdr:from>
        <xdr:to>
          <xdr:col>13</xdr:col>
          <xdr:colOff>685800</xdr:colOff>
          <xdr:row>128</xdr:row>
          <xdr:rowOff>0</xdr:rowOff>
        </xdr:to>
        <xdr:sp macro="" textlink="">
          <xdr:nvSpPr>
            <xdr:cNvPr id="18688" name="ChangeMember1_30" hidden="1">
              <a:extLst>
                <a:ext uri="{63B3BB69-23CF-44E3-9099-C40C66FF867C}">
                  <a14:compatExt spid="_x0000_s18688"/>
                </a:ext>
                <a:ext uri="{FF2B5EF4-FFF2-40B4-BE49-F238E27FC236}">
                  <a16:creationId xmlns:a16="http://schemas.microsoft.com/office/drawing/2014/main" id="{00000000-0008-0000-0100-000000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127</xdr:row>
          <xdr:rowOff>0</xdr:rowOff>
        </xdr:from>
        <xdr:to>
          <xdr:col>14</xdr:col>
          <xdr:colOff>685800</xdr:colOff>
          <xdr:row>128</xdr:row>
          <xdr:rowOff>0</xdr:rowOff>
        </xdr:to>
        <xdr:sp macro="" textlink="">
          <xdr:nvSpPr>
            <xdr:cNvPr id="18689" name="UpMember1_30" hidden="1">
              <a:extLst>
                <a:ext uri="{63B3BB69-23CF-44E3-9099-C40C66FF867C}">
                  <a14:compatExt spid="_x0000_s18689"/>
                </a:ext>
                <a:ext uri="{FF2B5EF4-FFF2-40B4-BE49-F238E27FC236}">
                  <a16:creationId xmlns:a16="http://schemas.microsoft.com/office/drawing/2014/main" id="{00000000-0008-0000-0100-000001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127</xdr:row>
          <xdr:rowOff>0</xdr:rowOff>
        </xdr:from>
        <xdr:to>
          <xdr:col>15</xdr:col>
          <xdr:colOff>676275</xdr:colOff>
          <xdr:row>128</xdr:row>
          <xdr:rowOff>0</xdr:rowOff>
        </xdr:to>
        <xdr:sp macro="" textlink="">
          <xdr:nvSpPr>
            <xdr:cNvPr id="18690" name="DownMember1_30" hidden="1">
              <a:extLst>
                <a:ext uri="{63B3BB69-23CF-44E3-9099-C40C66FF867C}">
                  <a14:compatExt spid="_x0000_s18690"/>
                </a:ext>
                <a:ext uri="{FF2B5EF4-FFF2-40B4-BE49-F238E27FC236}">
                  <a16:creationId xmlns:a16="http://schemas.microsoft.com/office/drawing/2014/main" id="{00000000-0008-0000-0100-000002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130</xdr:row>
          <xdr:rowOff>0</xdr:rowOff>
        </xdr:from>
        <xdr:to>
          <xdr:col>12</xdr:col>
          <xdr:colOff>676275</xdr:colOff>
          <xdr:row>131</xdr:row>
          <xdr:rowOff>9525</xdr:rowOff>
        </xdr:to>
        <xdr:sp macro="" textlink="">
          <xdr:nvSpPr>
            <xdr:cNvPr id="18697" name="AddedMember1_31" hidden="1">
              <a:extLst>
                <a:ext uri="{63B3BB69-23CF-44E3-9099-C40C66FF867C}">
                  <a14:compatExt spid="_x0000_s18697"/>
                </a:ext>
                <a:ext uri="{FF2B5EF4-FFF2-40B4-BE49-F238E27FC236}">
                  <a16:creationId xmlns:a16="http://schemas.microsoft.com/office/drawing/2014/main" id="{00000000-0008-0000-0100-000009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130</xdr:row>
          <xdr:rowOff>0</xdr:rowOff>
        </xdr:from>
        <xdr:to>
          <xdr:col>13</xdr:col>
          <xdr:colOff>685800</xdr:colOff>
          <xdr:row>131</xdr:row>
          <xdr:rowOff>9525</xdr:rowOff>
        </xdr:to>
        <xdr:sp macro="" textlink="">
          <xdr:nvSpPr>
            <xdr:cNvPr id="18698" name="ChangeMember1_31" hidden="1">
              <a:extLst>
                <a:ext uri="{63B3BB69-23CF-44E3-9099-C40C66FF867C}">
                  <a14:compatExt spid="_x0000_s18698"/>
                </a:ext>
                <a:ext uri="{FF2B5EF4-FFF2-40B4-BE49-F238E27FC236}">
                  <a16:creationId xmlns:a16="http://schemas.microsoft.com/office/drawing/2014/main" id="{00000000-0008-0000-0100-00000A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685800</xdr:colOff>
          <xdr:row>131</xdr:row>
          <xdr:rowOff>9525</xdr:rowOff>
        </xdr:to>
        <xdr:sp macro="" textlink="">
          <xdr:nvSpPr>
            <xdr:cNvPr id="18699" name="UpMember1_31" hidden="1">
              <a:extLst>
                <a:ext uri="{63B3BB69-23CF-44E3-9099-C40C66FF867C}">
                  <a14:compatExt spid="_x0000_s18699"/>
                </a:ext>
                <a:ext uri="{FF2B5EF4-FFF2-40B4-BE49-F238E27FC236}">
                  <a16:creationId xmlns:a16="http://schemas.microsoft.com/office/drawing/2014/main" id="{00000000-0008-0000-0100-00000B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130</xdr:row>
          <xdr:rowOff>0</xdr:rowOff>
        </xdr:from>
        <xdr:to>
          <xdr:col>15</xdr:col>
          <xdr:colOff>676275</xdr:colOff>
          <xdr:row>131</xdr:row>
          <xdr:rowOff>9525</xdr:rowOff>
        </xdr:to>
        <xdr:sp macro="" textlink="">
          <xdr:nvSpPr>
            <xdr:cNvPr id="18700" name="DownMember1_31" hidden="1">
              <a:extLst>
                <a:ext uri="{63B3BB69-23CF-44E3-9099-C40C66FF867C}">
                  <a14:compatExt spid="_x0000_s18700"/>
                </a:ext>
                <a:ext uri="{FF2B5EF4-FFF2-40B4-BE49-F238E27FC236}">
                  <a16:creationId xmlns:a16="http://schemas.microsoft.com/office/drawing/2014/main" id="{00000000-0008-0000-0100-00000C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132</xdr:row>
          <xdr:rowOff>47625</xdr:rowOff>
        </xdr:from>
        <xdr:to>
          <xdr:col>12</xdr:col>
          <xdr:colOff>676275</xdr:colOff>
          <xdr:row>134</xdr:row>
          <xdr:rowOff>0</xdr:rowOff>
        </xdr:to>
        <xdr:sp macro="" textlink="">
          <xdr:nvSpPr>
            <xdr:cNvPr id="18707" name="AddedMember1_32" hidden="1">
              <a:extLst>
                <a:ext uri="{63B3BB69-23CF-44E3-9099-C40C66FF867C}">
                  <a14:compatExt spid="_x0000_s18707"/>
                </a:ext>
                <a:ext uri="{FF2B5EF4-FFF2-40B4-BE49-F238E27FC236}">
                  <a16:creationId xmlns:a16="http://schemas.microsoft.com/office/drawing/2014/main" id="{00000000-0008-0000-0100-000013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132</xdr:row>
          <xdr:rowOff>47625</xdr:rowOff>
        </xdr:from>
        <xdr:to>
          <xdr:col>13</xdr:col>
          <xdr:colOff>685800</xdr:colOff>
          <xdr:row>134</xdr:row>
          <xdr:rowOff>0</xdr:rowOff>
        </xdr:to>
        <xdr:sp macro="" textlink="">
          <xdr:nvSpPr>
            <xdr:cNvPr id="18708" name="ChangeMember1_32" hidden="1">
              <a:extLst>
                <a:ext uri="{63B3BB69-23CF-44E3-9099-C40C66FF867C}">
                  <a14:compatExt spid="_x0000_s18708"/>
                </a:ext>
                <a:ext uri="{FF2B5EF4-FFF2-40B4-BE49-F238E27FC236}">
                  <a16:creationId xmlns:a16="http://schemas.microsoft.com/office/drawing/2014/main" id="{00000000-0008-0000-0100-000014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132</xdr:row>
          <xdr:rowOff>47625</xdr:rowOff>
        </xdr:from>
        <xdr:to>
          <xdr:col>14</xdr:col>
          <xdr:colOff>685800</xdr:colOff>
          <xdr:row>134</xdr:row>
          <xdr:rowOff>0</xdr:rowOff>
        </xdr:to>
        <xdr:sp macro="" textlink="">
          <xdr:nvSpPr>
            <xdr:cNvPr id="18709" name="UpMember1_32" hidden="1">
              <a:extLst>
                <a:ext uri="{63B3BB69-23CF-44E3-9099-C40C66FF867C}">
                  <a14:compatExt spid="_x0000_s18709"/>
                </a:ext>
                <a:ext uri="{FF2B5EF4-FFF2-40B4-BE49-F238E27FC236}">
                  <a16:creationId xmlns:a16="http://schemas.microsoft.com/office/drawing/2014/main" id="{00000000-0008-0000-0100-000015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132</xdr:row>
          <xdr:rowOff>47625</xdr:rowOff>
        </xdr:from>
        <xdr:to>
          <xdr:col>15</xdr:col>
          <xdr:colOff>676275</xdr:colOff>
          <xdr:row>134</xdr:row>
          <xdr:rowOff>0</xdr:rowOff>
        </xdr:to>
        <xdr:sp macro="" textlink="">
          <xdr:nvSpPr>
            <xdr:cNvPr id="18710" name="DownMember1_32" hidden="1">
              <a:extLst>
                <a:ext uri="{63B3BB69-23CF-44E3-9099-C40C66FF867C}">
                  <a14:compatExt spid="_x0000_s18710"/>
                </a:ext>
                <a:ext uri="{FF2B5EF4-FFF2-40B4-BE49-F238E27FC236}">
                  <a16:creationId xmlns:a16="http://schemas.microsoft.com/office/drawing/2014/main" id="{00000000-0008-0000-0100-000016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136</xdr:row>
          <xdr:rowOff>0</xdr:rowOff>
        </xdr:from>
        <xdr:to>
          <xdr:col>12</xdr:col>
          <xdr:colOff>676275</xdr:colOff>
          <xdr:row>137</xdr:row>
          <xdr:rowOff>0</xdr:rowOff>
        </xdr:to>
        <xdr:sp macro="" textlink="">
          <xdr:nvSpPr>
            <xdr:cNvPr id="18712" name="AddedMember1_33" hidden="1">
              <a:extLst>
                <a:ext uri="{63B3BB69-23CF-44E3-9099-C40C66FF867C}">
                  <a14:compatExt spid="_x0000_s18712"/>
                </a:ext>
                <a:ext uri="{FF2B5EF4-FFF2-40B4-BE49-F238E27FC236}">
                  <a16:creationId xmlns:a16="http://schemas.microsoft.com/office/drawing/2014/main" id="{00000000-0008-0000-0100-000018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136</xdr:row>
          <xdr:rowOff>0</xdr:rowOff>
        </xdr:from>
        <xdr:to>
          <xdr:col>13</xdr:col>
          <xdr:colOff>685800</xdr:colOff>
          <xdr:row>137</xdr:row>
          <xdr:rowOff>0</xdr:rowOff>
        </xdr:to>
        <xdr:sp macro="" textlink="">
          <xdr:nvSpPr>
            <xdr:cNvPr id="18713" name="ChangeMember1_33" hidden="1">
              <a:extLst>
                <a:ext uri="{63B3BB69-23CF-44E3-9099-C40C66FF867C}">
                  <a14:compatExt spid="_x0000_s18713"/>
                </a:ext>
                <a:ext uri="{FF2B5EF4-FFF2-40B4-BE49-F238E27FC236}">
                  <a16:creationId xmlns:a16="http://schemas.microsoft.com/office/drawing/2014/main" id="{00000000-0008-0000-0100-000019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685800</xdr:colOff>
          <xdr:row>137</xdr:row>
          <xdr:rowOff>0</xdr:rowOff>
        </xdr:to>
        <xdr:sp macro="" textlink="">
          <xdr:nvSpPr>
            <xdr:cNvPr id="18714" name="UpMember1_33" hidden="1">
              <a:extLst>
                <a:ext uri="{63B3BB69-23CF-44E3-9099-C40C66FF867C}">
                  <a14:compatExt spid="_x0000_s18714"/>
                </a:ext>
                <a:ext uri="{FF2B5EF4-FFF2-40B4-BE49-F238E27FC236}">
                  <a16:creationId xmlns:a16="http://schemas.microsoft.com/office/drawing/2014/main" id="{00000000-0008-0000-0100-00001A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136</xdr:row>
          <xdr:rowOff>0</xdr:rowOff>
        </xdr:from>
        <xdr:to>
          <xdr:col>15</xdr:col>
          <xdr:colOff>676275</xdr:colOff>
          <xdr:row>137</xdr:row>
          <xdr:rowOff>0</xdr:rowOff>
        </xdr:to>
        <xdr:sp macro="" textlink="">
          <xdr:nvSpPr>
            <xdr:cNvPr id="18715" name="DownMember1_33" hidden="1">
              <a:extLst>
                <a:ext uri="{63B3BB69-23CF-44E3-9099-C40C66FF867C}">
                  <a14:compatExt spid="_x0000_s18715"/>
                </a:ext>
                <a:ext uri="{FF2B5EF4-FFF2-40B4-BE49-F238E27FC236}">
                  <a16:creationId xmlns:a16="http://schemas.microsoft.com/office/drawing/2014/main" id="{00000000-0008-0000-0100-00001B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139</xdr:row>
          <xdr:rowOff>0</xdr:rowOff>
        </xdr:from>
        <xdr:to>
          <xdr:col>12</xdr:col>
          <xdr:colOff>676275</xdr:colOff>
          <xdr:row>140</xdr:row>
          <xdr:rowOff>0</xdr:rowOff>
        </xdr:to>
        <xdr:sp macro="" textlink="">
          <xdr:nvSpPr>
            <xdr:cNvPr id="18717" name="AddedMember1_34" hidden="1">
              <a:extLst>
                <a:ext uri="{63B3BB69-23CF-44E3-9099-C40C66FF867C}">
                  <a14:compatExt spid="_x0000_s18717"/>
                </a:ext>
                <a:ext uri="{FF2B5EF4-FFF2-40B4-BE49-F238E27FC236}">
                  <a16:creationId xmlns:a16="http://schemas.microsoft.com/office/drawing/2014/main" id="{00000000-0008-0000-0100-00001D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139</xdr:row>
          <xdr:rowOff>0</xdr:rowOff>
        </xdr:from>
        <xdr:to>
          <xdr:col>13</xdr:col>
          <xdr:colOff>685800</xdr:colOff>
          <xdr:row>140</xdr:row>
          <xdr:rowOff>0</xdr:rowOff>
        </xdr:to>
        <xdr:sp macro="" textlink="">
          <xdr:nvSpPr>
            <xdr:cNvPr id="18718" name="ChangeMember1_34" hidden="1">
              <a:extLst>
                <a:ext uri="{63B3BB69-23CF-44E3-9099-C40C66FF867C}">
                  <a14:compatExt spid="_x0000_s18718"/>
                </a:ext>
                <a:ext uri="{FF2B5EF4-FFF2-40B4-BE49-F238E27FC236}">
                  <a16:creationId xmlns:a16="http://schemas.microsoft.com/office/drawing/2014/main" id="{00000000-0008-0000-0100-00001E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139</xdr:row>
          <xdr:rowOff>0</xdr:rowOff>
        </xdr:from>
        <xdr:to>
          <xdr:col>14</xdr:col>
          <xdr:colOff>685800</xdr:colOff>
          <xdr:row>140</xdr:row>
          <xdr:rowOff>0</xdr:rowOff>
        </xdr:to>
        <xdr:sp macro="" textlink="">
          <xdr:nvSpPr>
            <xdr:cNvPr id="18719" name="UpMember1_34" hidden="1">
              <a:extLst>
                <a:ext uri="{63B3BB69-23CF-44E3-9099-C40C66FF867C}">
                  <a14:compatExt spid="_x0000_s18719"/>
                </a:ext>
                <a:ext uri="{FF2B5EF4-FFF2-40B4-BE49-F238E27FC236}">
                  <a16:creationId xmlns:a16="http://schemas.microsoft.com/office/drawing/2014/main" id="{00000000-0008-0000-0100-00001F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139</xdr:row>
          <xdr:rowOff>0</xdr:rowOff>
        </xdr:from>
        <xdr:to>
          <xdr:col>15</xdr:col>
          <xdr:colOff>676275</xdr:colOff>
          <xdr:row>140</xdr:row>
          <xdr:rowOff>0</xdr:rowOff>
        </xdr:to>
        <xdr:sp macro="" textlink="">
          <xdr:nvSpPr>
            <xdr:cNvPr id="18720" name="DownMember1_34" hidden="1">
              <a:extLst>
                <a:ext uri="{63B3BB69-23CF-44E3-9099-C40C66FF867C}">
                  <a14:compatExt spid="_x0000_s18720"/>
                </a:ext>
                <a:ext uri="{FF2B5EF4-FFF2-40B4-BE49-F238E27FC236}">
                  <a16:creationId xmlns:a16="http://schemas.microsoft.com/office/drawing/2014/main" id="{00000000-0008-0000-0100-000020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141</xdr:row>
          <xdr:rowOff>47625</xdr:rowOff>
        </xdr:from>
        <xdr:to>
          <xdr:col>12</xdr:col>
          <xdr:colOff>676275</xdr:colOff>
          <xdr:row>142</xdr:row>
          <xdr:rowOff>190500</xdr:rowOff>
        </xdr:to>
        <xdr:sp macro="" textlink="">
          <xdr:nvSpPr>
            <xdr:cNvPr id="18722" name="AddedMember1_35" hidden="1">
              <a:extLst>
                <a:ext uri="{63B3BB69-23CF-44E3-9099-C40C66FF867C}">
                  <a14:compatExt spid="_x0000_s18722"/>
                </a:ext>
                <a:ext uri="{FF2B5EF4-FFF2-40B4-BE49-F238E27FC236}">
                  <a16:creationId xmlns:a16="http://schemas.microsoft.com/office/drawing/2014/main" id="{00000000-0008-0000-0100-000022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141</xdr:row>
          <xdr:rowOff>47625</xdr:rowOff>
        </xdr:from>
        <xdr:to>
          <xdr:col>13</xdr:col>
          <xdr:colOff>685800</xdr:colOff>
          <xdr:row>142</xdr:row>
          <xdr:rowOff>190500</xdr:rowOff>
        </xdr:to>
        <xdr:sp macro="" textlink="">
          <xdr:nvSpPr>
            <xdr:cNvPr id="18723" name="ChangeMember1_35" hidden="1">
              <a:extLst>
                <a:ext uri="{63B3BB69-23CF-44E3-9099-C40C66FF867C}">
                  <a14:compatExt spid="_x0000_s18723"/>
                </a:ext>
                <a:ext uri="{FF2B5EF4-FFF2-40B4-BE49-F238E27FC236}">
                  <a16:creationId xmlns:a16="http://schemas.microsoft.com/office/drawing/2014/main" id="{00000000-0008-0000-0100-000023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47625</xdr:rowOff>
        </xdr:from>
        <xdr:to>
          <xdr:col>14</xdr:col>
          <xdr:colOff>685800</xdr:colOff>
          <xdr:row>142</xdr:row>
          <xdr:rowOff>190500</xdr:rowOff>
        </xdr:to>
        <xdr:sp macro="" textlink="">
          <xdr:nvSpPr>
            <xdr:cNvPr id="18724" name="UpMember1_35" hidden="1">
              <a:extLst>
                <a:ext uri="{63B3BB69-23CF-44E3-9099-C40C66FF867C}">
                  <a14:compatExt spid="_x0000_s18724"/>
                </a:ext>
                <a:ext uri="{FF2B5EF4-FFF2-40B4-BE49-F238E27FC236}">
                  <a16:creationId xmlns:a16="http://schemas.microsoft.com/office/drawing/2014/main" id="{00000000-0008-0000-0100-000024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141</xdr:row>
          <xdr:rowOff>47625</xdr:rowOff>
        </xdr:from>
        <xdr:to>
          <xdr:col>15</xdr:col>
          <xdr:colOff>676275</xdr:colOff>
          <xdr:row>142</xdr:row>
          <xdr:rowOff>190500</xdr:rowOff>
        </xdr:to>
        <xdr:sp macro="" textlink="">
          <xdr:nvSpPr>
            <xdr:cNvPr id="18725" name="DownMember1_35" hidden="1">
              <a:extLst>
                <a:ext uri="{63B3BB69-23CF-44E3-9099-C40C66FF867C}">
                  <a14:compatExt spid="_x0000_s18725"/>
                </a:ext>
                <a:ext uri="{FF2B5EF4-FFF2-40B4-BE49-F238E27FC236}">
                  <a16:creationId xmlns:a16="http://schemas.microsoft.com/office/drawing/2014/main" id="{00000000-0008-0000-0100-000025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144</xdr:row>
          <xdr:rowOff>47625</xdr:rowOff>
        </xdr:from>
        <xdr:to>
          <xdr:col>12</xdr:col>
          <xdr:colOff>676275</xdr:colOff>
          <xdr:row>146</xdr:row>
          <xdr:rowOff>0</xdr:rowOff>
        </xdr:to>
        <xdr:sp macro="" textlink="">
          <xdr:nvSpPr>
            <xdr:cNvPr id="18727" name="AddedMember1_36" hidden="1">
              <a:extLst>
                <a:ext uri="{63B3BB69-23CF-44E3-9099-C40C66FF867C}">
                  <a14:compatExt spid="_x0000_s18727"/>
                </a:ext>
                <a:ext uri="{FF2B5EF4-FFF2-40B4-BE49-F238E27FC236}">
                  <a16:creationId xmlns:a16="http://schemas.microsoft.com/office/drawing/2014/main" id="{00000000-0008-0000-0100-000027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144</xdr:row>
          <xdr:rowOff>47625</xdr:rowOff>
        </xdr:from>
        <xdr:to>
          <xdr:col>13</xdr:col>
          <xdr:colOff>685800</xdr:colOff>
          <xdr:row>146</xdr:row>
          <xdr:rowOff>0</xdr:rowOff>
        </xdr:to>
        <xdr:sp macro="" textlink="">
          <xdr:nvSpPr>
            <xdr:cNvPr id="18728" name="ChangeMember1_36" hidden="1">
              <a:extLst>
                <a:ext uri="{63B3BB69-23CF-44E3-9099-C40C66FF867C}">
                  <a14:compatExt spid="_x0000_s18728"/>
                </a:ext>
                <a:ext uri="{FF2B5EF4-FFF2-40B4-BE49-F238E27FC236}">
                  <a16:creationId xmlns:a16="http://schemas.microsoft.com/office/drawing/2014/main" id="{00000000-0008-0000-0100-000028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144</xdr:row>
          <xdr:rowOff>47625</xdr:rowOff>
        </xdr:from>
        <xdr:to>
          <xdr:col>14</xdr:col>
          <xdr:colOff>685800</xdr:colOff>
          <xdr:row>146</xdr:row>
          <xdr:rowOff>0</xdr:rowOff>
        </xdr:to>
        <xdr:sp macro="" textlink="">
          <xdr:nvSpPr>
            <xdr:cNvPr id="18729" name="UpMember1_36" hidden="1">
              <a:extLst>
                <a:ext uri="{63B3BB69-23CF-44E3-9099-C40C66FF867C}">
                  <a14:compatExt spid="_x0000_s18729"/>
                </a:ext>
                <a:ext uri="{FF2B5EF4-FFF2-40B4-BE49-F238E27FC236}">
                  <a16:creationId xmlns:a16="http://schemas.microsoft.com/office/drawing/2014/main" id="{00000000-0008-0000-0100-000029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144</xdr:row>
          <xdr:rowOff>47625</xdr:rowOff>
        </xdr:from>
        <xdr:to>
          <xdr:col>15</xdr:col>
          <xdr:colOff>676275</xdr:colOff>
          <xdr:row>146</xdr:row>
          <xdr:rowOff>0</xdr:rowOff>
        </xdr:to>
        <xdr:sp macro="" textlink="">
          <xdr:nvSpPr>
            <xdr:cNvPr id="18730" name="DownMember1_36" hidden="1">
              <a:extLst>
                <a:ext uri="{63B3BB69-23CF-44E3-9099-C40C66FF867C}">
                  <a14:compatExt spid="_x0000_s18730"/>
                </a:ext>
                <a:ext uri="{FF2B5EF4-FFF2-40B4-BE49-F238E27FC236}">
                  <a16:creationId xmlns:a16="http://schemas.microsoft.com/office/drawing/2014/main" id="{00000000-0008-0000-0100-00002A4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28575</xdr:rowOff>
        </xdr:from>
        <xdr:to>
          <xdr:col>2</xdr:col>
          <xdr:colOff>57150</xdr:colOff>
          <xdr:row>3</xdr:row>
          <xdr:rowOff>257175</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3</xdr:row>
          <xdr:rowOff>38100</xdr:rowOff>
        </xdr:from>
        <xdr:to>
          <xdr:col>5</xdr:col>
          <xdr:colOff>428625</xdr:colOff>
          <xdr:row>3</xdr:row>
          <xdr:rowOff>295275</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514350</xdr:rowOff>
        </xdr:from>
        <xdr:to>
          <xdr:col>2</xdr:col>
          <xdr:colOff>57150</xdr:colOff>
          <xdr:row>3</xdr:row>
          <xdr:rowOff>742950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85725</xdr:colOff>
          <xdr:row>3</xdr:row>
          <xdr:rowOff>514350</xdr:rowOff>
        </xdr:from>
        <xdr:to>
          <xdr:col>5</xdr:col>
          <xdr:colOff>0</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3</xdr:row>
          <xdr:rowOff>552450</xdr:rowOff>
        </xdr:from>
        <xdr:to>
          <xdr:col>5</xdr:col>
          <xdr:colOff>676275</xdr:colOff>
          <xdr:row>3</xdr:row>
          <xdr:rowOff>714375</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1343025</xdr:colOff>
          <xdr:row>3</xdr:row>
          <xdr:rowOff>514350</xdr:rowOff>
        </xdr:from>
        <xdr:to>
          <xdr:col>5</xdr:col>
          <xdr:colOff>1571625</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1600200</xdr:colOff>
          <xdr:row>3</xdr:row>
          <xdr:rowOff>514350</xdr:rowOff>
        </xdr:from>
        <xdr:to>
          <xdr:col>5</xdr:col>
          <xdr:colOff>1828800</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1866900</xdr:colOff>
          <xdr:row>3</xdr:row>
          <xdr:rowOff>552450</xdr:rowOff>
        </xdr:from>
        <xdr:to>
          <xdr:col>6</xdr:col>
          <xdr:colOff>419100</xdr:colOff>
          <xdr:row>3</xdr:row>
          <xdr:rowOff>714375</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1</xdr:row>
          <xdr:rowOff>419100</xdr:rowOff>
        </xdr:from>
        <xdr:to>
          <xdr:col>2</xdr:col>
          <xdr:colOff>57150</xdr:colOff>
          <xdr:row>2</xdr:row>
          <xdr:rowOff>171450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xdr:row>
          <xdr:rowOff>400050</xdr:rowOff>
        </xdr:from>
        <xdr:to>
          <xdr:col>2</xdr:col>
          <xdr:colOff>76200</xdr:colOff>
          <xdr:row>2</xdr:row>
          <xdr:rowOff>171450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14257</xdr:colOff>
      <xdr:row>3</xdr:row>
      <xdr:rowOff>0</xdr:rowOff>
    </xdr:from>
    <xdr:to>
      <xdr:col>212</xdr:col>
      <xdr:colOff>550274</xdr:colOff>
      <xdr:row>4</xdr:row>
      <xdr:rowOff>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771525</xdr:rowOff>
        </xdr:from>
        <xdr:to>
          <xdr:col>3</xdr:col>
          <xdr:colOff>66675</xdr:colOff>
          <xdr:row>3</xdr:row>
          <xdr:rowOff>895350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1343025</xdr:colOff>
          <xdr:row>3</xdr:row>
          <xdr:rowOff>771525</xdr:rowOff>
        </xdr:from>
        <xdr:to>
          <xdr:col>5</xdr:col>
          <xdr:colOff>1552575</xdr:colOff>
          <xdr:row>3</xdr:row>
          <xdr:rowOff>847725</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1771650</xdr:colOff>
          <xdr:row>3</xdr:row>
          <xdr:rowOff>28575</xdr:rowOff>
        </xdr:from>
        <xdr:to>
          <xdr:col>6</xdr:col>
          <xdr:colOff>381000</xdr:colOff>
          <xdr:row>3</xdr:row>
          <xdr:rowOff>333375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371475</xdr:colOff>
          <xdr:row>3</xdr:row>
          <xdr:rowOff>28575</xdr:rowOff>
        </xdr:from>
        <xdr:to>
          <xdr:col>5</xdr:col>
          <xdr:colOff>1771650</xdr:colOff>
          <xdr:row>3</xdr:row>
          <xdr:rowOff>333375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371475</xdr:colOff>
          <xdr:row>3</xdr:row>
          <xdr:rowOff>219075</xdr:rowOff>
        </xdr:from>
        <xdr:to>
          <xdr:col>5</xdr:col>
          <xdr:colOff>1771650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714375</xdr:colOff>
      <xdr:row>3</xdr:row>
      <xdr:rowOff>257175</xdr:rowOff>
    </xdr:from>
    <xdr:to>
      <xdr:col>7</xdr:col>
      <xdr:colOff>151341</xdr:colOff>
      <xdr:row>3</xdr:row>
      <xdr:rowOff>409575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5525" y="1381125"/>
          <a:ext cx="152400" cy="152400"/>
        </a:xfrm>
        <a:prstGeom prst="rect">
          <a:avLst/>
        </a:prstGeom>
      </xdr:spPr>
    </xdr:pic>
    <xdr:clientData/>
  </xdr:twoCellAnchor>
  <xdr:twoCellAnchor editAs="oneCell">
    <xdr:from>
      <xdr:col>0</xdr:col>
      <xdr:colOff>21166</xdr:colOff>
      <xdr:row>0</xdr:row>
      <xdr:rowOff>10583</xdr:rowOff>
    </xdr:from>
    <xdr:to>
      <xdr:col>5</xdr:col>
      <xdr:colOff>1090082</xdr:colOff>
      <xdr:row>1</xdr:row>
      <xdr:rowOff>359833</xdr:rowOff>
    </xdr:to>
    <xdr:pic>
      <xdr:nvPicPr>
        <xdr:cNvPr id="28" name="Picture 27">
          <a:extLst>
            <a:ext uri="{FF2B5EF4-FFF2-40B4-BE49-F238E27FC236}">
              <a16:creationId xmlns:a16="http://schemas.microsoft.com/office/drawing/2014/main" id="{00000000-0008-0000-0200-00001C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166" y="10583"/>
          <a:ext cx="1598083" cy="709083"/>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381000</xdr:colOff>
          <xdr:row>0</xdr:row>
          <xdr:rowOff>0</xdr:rowOff>
        </xdr:to>
        <xdr:sp macro="" textlink="">
          <xdr:nvSpPr>
            <xdr:cNvPr id="3138" name="ConnectionDescriptors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381000</xdr:colOff>
          <xdr:row>0</xdr:row>
          <xdr:rowOff>0</xdr:rowOff>
        </xdr:to>
        <xdr:sp macro="" textlink="">
          <xdr:nvSpPr>
            <xdr:cNvPr id="3139" name="MultipleReportManagerInfoD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381000</xdr:colOff>
          <xdr:row>0</xdr:row>
          <xdr:rowOff>0</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381000</xdr:colOff>
          <xdr:row>0</xdr:row>
          <xdr:rowOff>0</xdr:rowOff>
        </xdr:to>
        <xdr:sp macro="" textlink="">
          <xdr:nvSpPr>
            <xdr:cNvPr id="3141" name="ReportSubmitControl_1D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381000</xdr:colOff>
          <xdr:row>0</xdr:row>
          <xdr:rowOff>0</xdr:rowOff>
        </xdr:to>
        <xdr:sp macro="" textlink="">
          <xdr:nvSpPr>
            <xdr:cNvPr id="3142" name="AnalyzerDynReportDC000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2" name="IBPPVSheetReportSh1" hidden="1">
          <a:extLst>
            <a:ext uri="{FF2B5EF4-FFF2-40B4-BE49-F238E27FC236}">
              <a16:creationId xmlns:a16="http://schemas.microsoft.com/office/drawing/2014/main" id="{0AE1AF59-6A22-A3FC-272C-05CAB433E954}"/>
            </a:ext>
          </a:extLst>
        </xdr:cNvPr>
        <xdr:cNvSpPr txBox="1"/>
      </xdr:nvSpPr>
      <xdr:spPr>
        <a:xfrm>
          <a:off x="0" y="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gkAAB+LCAAAAAAAAAq1Vttu2zgQ/RWDyEMvSiHFiZsa2AUUS/Z6a0WOJHeRGILBSGOXCEUaJOXGG/jfC4qSL02Qps3uE4kZzpzhOcORHhBWSpDbUoFE3SkaR57nx70IWXo79JCFRmGvWY0rtXZBCVeY6sh9Y8yFImyhzQ9IcqFCkYPQ6Wcz90bH56QAJglnwxx190EZLgB1kXt8gyxEctQ9dpyN9dIsVZ2vSNFc9XUpnr1LaqE7WPfJohSG8ZtB3x2Po/CL7/V7cXKVXOukihTgwZwwoghnhkltG8EKqL6sHw1Db+jZyEJzwYuEFBABxYqsNKY2K/6D8fRMm4mMAFPtQl0lSrCQ4JQStgiXGkoXPBohCxU8hy1QlU5hemmuhPQ1Ms5WIOS2vEMeepMoSsKKzQKKWxCV1Z14SBN5eHYSBo+PjidBBSP4N/eeSK+JeHGbWuizfz3rDweTyI81pxmnZcGeSLblcr+JL7CEvE+o0mo/1GKyklKjpV0RkO/Jc3inwI0++0nsDwL/MkEW4ksQWHHRM7T6V8hCK0xL0wSDjmPPbGdmOyh9zE/PTfxBGF3/NE37vP1UfEPR88FO5/z89COyzKbTbM715uOnzumnenNmP4XR0P88Rsex28jSy6lZzqrF0Y3ZcU7qxRw5Mb62MbZPUbpJN3WyA3GMKDt7PX4aB6Yg1OFb2tdZekQuKV7rW0y31zjsqqfOX3D1dQuxdSZQLClWYGoLMPvZkXCpNO5hu6QWmnNRlBSb1jpS66Vmk/IM06B6I+HcrNtH0wDVgaiL/hhejAM/uPCjN9O9p5B+mKYfpoHvXrq9ZOKO4qvkOn37/ujvo/a75yLixPP8L7uYJE7fVvPEHQheLglbjHbloe4cUwnaPWQShHLnlVZm4tSTMQDMWu9b/76LFWY5FnnLgxXBWqUWn7fcTJWYytaVWhuczAwyk4ObOexYqJTg32dAe0BpBHMQwDLYFaC707Z1F2W4GXG/gKxb/Xf577/5FQmOf0uCP22r9f+jWC37vxD7+HVin7xQbOex2C9D3uxeXgyq/ol5QET2jTGCjC/MHKkKxArypsZSwpjLyjesvjJ9Lh6H7XFVO8eCcEHUOuER/1a7NxZaUswYYYtLrqAeOXVJ20909hWzBfxFpOKiccrtR0r+w8XdLed3ZtD49xktc12uQfgOVPrjH/oJAAA=</a:t>
          </a:r>
        </a:p>
      </xdr:txBody>
    </xdr:sp>
    <xdr:clientData/>
  </xdr:twoCellAnchor>
  <xdr:twoCellAnchor>
    <xdr:from>
      <xdr:col>0</xdr:col>
      <xdr:colOff>0</xdr:colOff>
      <xdr:row>0</xdr:row>
      <xdr:rowOff>0</xdr:rowOff>
    </xdr:from>
    <xdr:to>
      <xdr:col>0</xdr:col>
      <xdr:colOff>0</xdr:colOff>
      <xdr:row>0</xdr:row>
      <xdr:rowOff>0</xdr:rowOff>
    </xdr:to>
    <xdr:sp macro="" textlink="">
      <xdr:nvSpPr>
        <xdr:cNvPr id="4" name="IBPPVSheetPlanningNoteSh1" hidden="1">
          <a:extLst>
            <a:ext uri="{FF2B5EF4-FFF2-40B4-BE49-F238E27FC236}">
              <a16:creationId xmlns:a16="http://schemas.microsoft.com/office/drawing/2014/main" id="{656C3508-FB8B-C8D0-948E-E8089118BB88}"/>
            </a:ext>
          </a:extLst>
        </xdr:cNvPr>
        <xdr:cNvSpPr txBox="1"/>
      </xdr:nvSpPr>
      <xdr:spPr>
        <a:xfrm>
          <a:off x="0" y="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AgAAAB+LCAAAAAAAAAqrrgUAQ7+mowIAAAA=</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customProperty" Target="../customProperty2.bin"/><Relationship Id="rId7" Type="http://schemas.openxmlformats.org/officeDocument/2006/relationships/vmlDrawing" Target="../drawings/vmlDrawing1.v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drawing" Target="../drawings/drawing1.xml"/><Relationship Id="rId5" Type="http://schemas.openxmlformats.org/officeDocument/2006/relationships/customProperty" Target="../customProperty4.bin"/><Relationship Id="rId4" Type="http://schemas.openxmlformats.org/officeDocument/2006/relationships/customProperty" Target="../customProperty3.bin"/><Relationship Id="rId9" Type="http://schemas.openxmlformats.org/officeDocument/2006/relationships/image" Target="../media/image1.emf"/></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6.xml"/><Relationship Id="rId21" Type="http://schemas.openxmlformats.org/officeDocument/2006/relationships/ctrlProp" Target="../ctrlProps/ctrlProp10.xml"/><Relationship Id="rId42" Type="http://schemas.openxmlformats.org/officeDocument/2006/relationships/ctrlProp" Target="../ctrlProps/ctrlProp31.xml"/><Relationship Id="rId63" Type="http://schemas.openxmlformats.org/officeDocument/2006/relationships/ctrlProp" Target="../ctrlProps/ctrlProp52.xml"/><Relationship Id="rId84" Type="http://schemas.openxmlformats.org/officeDocument/2006/relationships/ctrlProp" Target="../ctrlProps/ctrlProp73.xml"/><Relationship Id="rId138" Type="http://schemas.openxmlformats.org/officeDocument/2006/relationships/ctrlProp" Target="../ctrlProps/ctrlProp127.xml"/><Relationship Id="rId159" Type="http://schemas.openxmlformats.org/officeDocument/2006/relationships/ctrlProp" Target="../ctrlProps/ctrlProp148.xml"/><Relationship Id="rId170" Type="http://schemas.openxmlformats.org/officeDocument/2006/relationships/ctrlProp" Target="../ctrlProps/ctrlProp159.xml"/><Relationship Id="rId191" Type="http://schemas.openxmlformats.org/officeDocument/2006/relationships/ctrlProp" Target="../ctrlProps/ctrlProp180.xml"/><Relationship Id="rId205" Type="http://schemas.openxmlformats.org/officeDocument/2006/relationships/ctrlProp" Target="../ctrlProps/ctrlProp194.xml"/><Relationship Id="rId107" Type="http://schemas.openxmlformats.org/officeDocument/2006/relationships/ctrlProp" Target="../ctrlProps/ctrlProp96.xml"/><Relationship Id="rId11" Type="http://schemas.openxmlformats.org/officeDocument/2006/relationships/image" Target="../media/image4.emf"/><Relationship Id="rId32" Type="http://schemas.openxmlformats.org/officeDocument/2006/relationships/ctrlProp" Target="../ctrlProps/ctrlProp21.xml"/><Relationship Id="rId37" Type="http://schemas.openxmlformats.org/officeDocument/2006/relationships/ctrlProp" Target="../ctrlProps/ctrlProp26.xml"/><Relationship Id="rId53" Type="http://schemas.openxmlformats.org/officeDocument/2006/relationships/ctrlProp" Target="../ctrlProps/ctrlProp42.xml"/><Relationship Id="rId58" Type="http://schemas.openxmlformats.org/officeDocument/2006/relationships/ctrlProp" Target="../ctrlProps/ctrlProp47.xml"/><Relationship Id="rId74" Type="http://schemas.openxmlformats.org/officeDocument/2006/relationships/ctrlProp" Target="../ctrlProps/ctrlProp63.xml"/><Relationship Id="rId79" Type="http://schemas.openxmlformats.org/officeDocument/2006/relationships/ctrlProp" Target="../ctrlProps/ctrlProp68.xml"/><Relationship Id="rId102" Type="http://schemas.openxmlformats.org/officeDocument/2006/relationships/ctrlProp" Target="../ctrlProps/ctrlProp91.xml"/><Relationship Id="rId123" Type="http://schemas.openxmlformats.org/officeDocument/2006/relationships/ctrlProp" Target="../ctrlProps/ctrlProp112.xml"/><Relationship Id="rId128" Type="http://schemas.openxmlformats.org/officeDocument/2006/relationships/ctrlProp" Target="../ctrlProps/ctrlProp117.xml"/><Relationship Id="rId144" Type="http://schemas.openxmlformats.org/officeDocument/2006/relationships/ctrlProp" Target="../ctrlProps/ctrlProp133.xml"/><Relationship Id="rId149" Type="http://schemas.openxmlformats.org/officeDocument/2006/relationships/ctrlProp" Target="../ctrlProps/ctrlProp138.xml"/><Relationship Id="rId5" Type="http://schemas.openxmlformats.org/officeDocument/2006/relationships/vmlDrawing" Target="../drawings/vmlDrawing2.vml"/><Relationship Id="rId90" Type="http://schemas.openxmlformats.org/officeDocument/2006/relationships/ctrlProp" Target="../ctrlProps/ctrlProp79.xml"/><Relationship Id="rId95" Type="http://schemas.openxmlformats.org/officeDocument/2006/relationships/ctrlProp" Target="../ctrlProps/ctrlProp84.xml"/><Relationship Id="rId160" Type="http://schemas.openxmlformats.org/officeDocument/2006/relationships/ctrlProp" Target="../ctrlProps/ctrlProp149.xml"/><Relationship Id="rId165" Type="http://schemas.openxmlformats.org/officeDocument/2006/relationships/ctrlProp" Target="../ctrlProps/ctrlProp154.xml"/><Relationship Id="rId181" Type="http://schemas.openxmlformats.org/officeDocument/2006/relationships/ctrlProp" Target="../ctrlProps/ctrlProp170.xml"/><Relationship Id="rId186" Type="http://schemas.openxmlformats.org/officeDocument/2006/relationships/ctrlProp" Target="../ctrlProps/ctrlProp175.xml"/><Relationship Id="rId211" Type="http://schemas.openxmlformats.org/officeDocument/2006/relationships/ctrlProp" Target="../ctrlProps/ctrlProp200.xml"/><Relationship Id="rId22" Type="http://schemas.openxmlformats.org/officeDocument/2006/relationships/ctrlProp" Target="../ctrlProps/ctrlProp11.xml"/><Relationship Id="rId27" Type="http://schemas.openxmlformats.org/officeDocument/2006/relationships/ctrlProp" Target="../ctrlProps/ctrlProp16.xml"/><Relationship Id="rId43" Type="http://schemas.openxmlformats.org/officeDocument/2006/relationships/ctrlProp" Target="../ctrlProps/ctrlProp32.xml"/><Relationship Id="rId48" Type="http://schemas.openxmlformats.org/officeDocument/2006/relationships/ctrlProp" Target="../ctrlProps/ctrlProp37.xml"/><Relationship Id="rId64" Type="http://schemas.openxmlformats.org/officeDocument/2006/relationships/ctrlProp" Target="../ctrlProps/ctrlProp53.xml"/><Relationship Id="rId69" Type="http://schemas.openxmlformats.org/officeDocument/2006/relationships/ctrlProp" Target="../ctrlProps/ctrlProp58.xml"/><Relationship Id="rId113" Type="http://schemas.openxmlformats.org/officeDocument/2006/relationships/ctrlProp" Target="../ctrlProps/ctrlProp102.xml"/><Relationship Id="rId118" Type="http://schemas.openxmlformats.org/officeDocument/2006/relationships/ctrlProp" Target="../ctrlProps/ctrlProp107.xml"/><Relationship Id="rId134" Type="http://schemas.openxmlformats.org/officeDocument/2006/relationships/ctrlProp" Target="../ctrlProps/ctrlProp123.xml"/><Relationship Id="rId139" Type="http://schemas.openxmlformats.org/officeDocument/2006/relationships/ctrlProp" Target="../ctrlProps/ctrlProp128.xml"/><Relationship Id="rId80" Type="http://schemas.openxmlformats.org/officeDocument/2006/relationships/ctrlProp" Target="../ctrlProps/ctrlProp69.xml"/><Relationship Id="rId85" Type="http://schemas.openxmlformats.org/officeDocument/2006/relationships/ctrlProp" Target="../ctrlProps/ctrlProp74.xml"/><Relationship Id="rId150" Type="http://schemas.openxmlformats.org/officeDocument/2006/relationships/ctrlProp" Target="../ctrlProps/ctrlProp139.xml"/><Relationship Id="rId155" Type="http://schemas.openxmlformats.org/officeDocument/2006/relationships/ctrlProp" Target="../ctrlProps/ctrlProp144.xml"/><Relationship Id="rId171" Type="http://schemas.openxmlformats.org/officeDocument/2006/relationships/ctrlProp" Target="../ctrlProps/ctrlProp160.xml"/><Relationship Id="rId176" Type="http://schemas.openxmlformats.org/officeDocument/2006/relationships/ctrlProp" Target="../ctrlProps/ctrlProp165.xml"/><Relationship Id="rId192" Type="http://schemas.openxmlformats.org/officeDocument/2006/relationships/ctrlProp" Target="../ctrlProps/ctrlProp181.xml"/><Relationship Id="rId197" Type="http://schemas.openxmlformats.org/officeDocument/2006/relationships/ctrlProp" Target="../ctrlProps/ctrlProp186.xml"/><Relationship Id="rId206" Type="http://schemas.openxmlformats.org/officeDocument/2006/relationships/ctrlProp" Target="../ctrlProps/ctrlProp195.xml"/><Relationship Id="rId201" Type="http://schemas.openxmlformats.org/officeDocument/2006/relationships/ctrlProp" Target="../ctrlProps/ctrlProp190.xml"/><Relationship Id="rId12" Type="http://schemas.openxmlformats.org/officeDocument/2006/relationships/ctrlProp" Target="../ctrlProps/ctrlProp1.xml"/><Relationship Id="rId17" Type="http://schemas.openxmlformats.org/officeDocument/2006/relationships/ctrlProp" Target="../ctrlProps/ctrlProp6.xml"/><Relationship Id="rId33" Type="http://schemas.openxmlformats.org/officeDocument/2006/relationships/ctrlProp" Target="../ctrlProps/ctrlProp22.xml"/><Relationship Id="rId38" Type="http://schemas.openxmlformats.org/officeDocument/2006/relationships/ctrlProp" Target="../ctrlProps/ctrlProp27.xml"/><Relationship Id="rId59" Type="http://schemas.openxmlformats.org/officeDocument/2006/relationships/ctrlProp" Target="../ctrlProps/ctrlProp48.xml"/><Relationship Id="rId103" Type="http://schemas.openxmlformats.org/officeDocument/2006/relationships/ctrlProp" Target="../ctrlProps/ctrlProp92.xml"/><Relationship Id="rId108" Type="http://schemas.openxmlformats.org/officeDocument/2006/relationships/ctrlProp" Target="../ctrlProps/ctrlProp97.xml"/><Relationship Id="rId124" Type="http://schemas.openxmlformats.org/officeDocument/2006/relationships/ctrlProp" Target="../ctrlProps/ctrlProp113.xml"/><Relationship Id="rId129" Type="http://schemas.openxmlformats.org/officeDocument/2006/relationships/ctrlProp" Target="../ctrlProps/ctrlProp118.xml"/><Relationship Id="rId54" Type="http://schemas.openxmlformats.org/officeDocument/2006/relationships/ctrlProp" Target="../ctrlProps/ctrlProp43.xml"/><Relationship Id="rId70" Type="http://schemas.openxmlformats.org/officeDocument/2006/relationships/ctrlProp" Target="../ctrlProps/ctrlProp59.xml"/><Relationship Id="rId75" Type="http://schemas.openxmlformats.org/officeDocument/2006/relationships/ctrlProp" Target="../ctrlProps/ctrlProp64.xml"/><Relationship Id="rId91" Type="http://schemas.openxmlformats.org/officeDocument/2006/relationships/ctrlProp" Target="../ctrlProps/ctrlProp80.xml"/><Relationship Id="rId96" Type="http://schemas.openxmlformats.org/officeDocument/2006/relationships/ctrlProp" Target="../ctrlProps/ctrlProp85.xml"/><Relationship Id="rId140" Type="http://schemas.openxmlformats.org/officeDocument/2006/relationships/ctrlProp" Target="../ctrlProps/ctrlProp129.xml"/><Relationship Id="rId145" Type="http://schemas.openxmlformats.org/officeDocument/2006/relationships/ctrlProp" Target="../ctrlProps/ctrlProp134.xml"/><Relationship Id="rId161" Type="http://schemas.openxmlformats.org/officeDocument/2006/relationships/ctrlProp" Target="../ctrlProps/ctrlProp150.xml"/><Relationship Id="rId166" Type="http://schemas.openxmlformats.org/officeDocument/2006/relationships/ctrlProp" Target="../ctrlProps/ctrlProp155.xml"/><Relationship Id="rId182" Type="http://schemas.openxmlformats.org/officeDocument/2006/relationships/ctrlProp" Target="../ctrlProps/ctrlProp171.xml"/><Relationship Id="rId187" Type="http://schemas.openxmlformats.org/officeDocument/2006/relationships/ctrlProp" Target="../ctrlProps/ctrlProp176.xml"/><Relationship Id="rId1" Type="http://schemas.openxmlformats.org/officeDocument/2006/relationships/printerSettings" Target="../printerSettings/printerSettings2.bin"/><Relationship Id="rId6" Type="http://schemas.openxmlformats.org/officeDocument/2006/relationships/control" Target="../activeX/activeX2.xml"/><Relationship Id="rId212" Type="http://schemas.openxmlformats.org/officeDocument/2006/relationships/ctrlProp" Target="../ctrlProps/ctrlProp201.xml"/><Relationship Id="rId23" Type="http://schemas.openxmlformats.org/officeDocument/2006/relationships/ctrlProp" Target="../ctrlProps/ctrlProp12.xml"/><Relationship Id="rId28" Type="http://schemas.openxmlformats.org/officeDocument/2006/relationships/ctrlProp" Target="../ctrlProps/ctrlProp17.xml"/><Relationship Id="rId49" Type="http://schemas.openxmlformats.org/officeDocument/2006/relationships/ctrlProp" Target="../ctrlProps/ctrlProp38.xml"/><Relationship Id="rId114" Type="http://schemas.openxmlformats.org/officeDocument/2006/relationships/ctrlProp" Target="../ctrlProps/ctrlProp103.xml"/><Relationship Id="rId119" Type="http://schemas.openxmlformats.org/officeDocument/2006/relationships/ctrlProp" Target="../ctrlProps/ctrlProp108.xml"/><Relationship Id="rId44" Type="http://schemas.openxmlformats.org/officeDocument/2006/relationships/ctrlProp" Target="../ctrlProps/ctrlProp33.xml"/><Relationship Id="rId60" Type="http://schemas.openxmlformats.org/officeDocument/2006/relationships/ctrlProp" Target="../ctrlProps/ctrlProp49.xml"/><Relationship Id="rId65" Type="http://schemas.openxmlformats.org/officeDocument/2006/relationships/ctrlProp" Target="../ctrlProps/ctrlProp54.xml"/><Relationship Id="rId81" Type="http://schemas.openxmlformats.org/officeDocument/2006/relationships/ctrlProp" Target="../ctrlProps/ctrlProp70.xml"/><Relationship Id="rId86" Type="http://schemas.openxmlformats.org/officeDocument/2006/relationships/ctrlProp" Target="../ctrlProps/ctrlProp75.xml"/><Relationship Id="rId130" Type="http://schemas.openxmlformats.org/officeDocument/2006/relationships/ctrlProp" Target="../ctrlProps/ctrlProp119.xml"/><Relationship Id="rId135" Type="http://schemas.openxmlformats.org/officeDocument/2006/relationships/ctrlProp" Target="../ctrlProps/ctrlProp124.xml"/><Relationship Id="rId151" Type="http://schemas.openxmlformats.org/officeDocument/2006/relationships/ctrlProp" Target="../ctrlProps/ctrlProp140.xml"/><Relationship Id="rId156" Type="http://schemas.openxmlformats.org/officeDocument/2006/relationships/ctrlProp" Target="../ctrlProps/ctrlProp145.xml"/><Relationship Id="rId177" Type="http://schemas.openxmlformats.org/officeDocument/2006/relationships/ctrlProp" Target="../ctrlProps/ctrlProp166.xml"/><Relationship Id="rId198" Type="http://schemas.openxmlformats.org/officeDocument/2006/relationships/ctrlProp" Target="../ctrlProps/ctrlProp187.xml"/><Relationship Id="rId172" Type="http://schemas.openxmlformats.org/officeDocument/2006/relationships/ctrlProp" Target="../ctrlProps/ctrlProp161.xml"/><Relationship Id="rId193" Type="http://schemas.openxmlformats.org/officeDocument/2006/relationships/ctrlProp" Target="../ctrlProps/ctrlProp182.xml"/><Relationship Id="rId202" Type="http://schemas.openxmlformats.org/officeDocument/2006/relationships/ctrlProp" Target="../ctrlProps/ctrlProp191.xml"/><Relationship Id="rId207" Type="http://schemas.openxmlformats.org/officeDocument/2006/relationships/ctrlProp" Target="../ctrlProps/ctrlProp196.xml"/><Relationship Id="rId13" Type="http://schemas.openxmlformats.org/officeDocument/2006/relationships/ctrlProp" Target="../ctrlProps/ctrlProp2.xml"/><Relationship Id="rId18" Type="http://schemas.openxmlformats.org/officeDocument/2006/relationships/ctrlProp" Target="../ctrlProps/ctrlProp7.xml"/><Relationship Id="rId39" Type="http://schemas.openxmlformats.org/officeDocument/2006/relationships/ctrlProp" Target="../ctrlProps/ctrlProp28.xml"/><Relationship Id="rId109" Type="http://schemas.openxmlformats.org/officeDocument/2006/relationships/ctrlProp" Target="../ctrlProps/ctrlProp98.xml"/><Relationship Id="rId34" Type="http://schemas.openxmlformats.org/officeDocument/2006/relationships/ctrlProp" Target="../ctrlProps/ctrlProp23.xml"/><Relationship Id="rId50" Type="http://schemas.openxmlformats.org/officeDocument/2006/relationships/ctrlProp" Target="../ctrlProps/ctrlProp39.xml"/><Relationship Id="rId55" Type="http://schemas.openxmlformats.org/officeDocument/2006/relationships/ctrlProp" Target="../ctrlProps/ctrlProp44.xml"/><Relationship Id="rId76" Type="http://schemas.openxmlformats.org/officeDocument/2006/relationships/ctrlProp" Target="../ctrlProps/ctrlProp65.xml"/><Relationship Id="rId97" Type="http://schemas.openxmlformats.org/officeDocument/2006/relationships/ctrlProp" Target="../ctrlProps/ctrlProp86.xml"/><Relationship Id="rId104" Type="http://schemas.openxmlformats.org/officeDocument/2006/relationships/ctrlProp" Target="../ctrlProps/ctrlProp93.xml"/><Relationship Id="rId120" Type="http://schemas.openxmlformats.org/officeDocument/2006/relationships/ctrlProp" Target="../ctrlProps/ctrlProp109.xml"/><Relationship Id="rId125" Type="http://schemas.openxmlformats.org/officeDocument/2006/relationships/ctrlProp" Target="../ctrlProps/ctrlProp114.xml"/><Relationship Id="rId141" Type="http://schemas.openxmlformats.org/officeDocument/2006/relationships/ctrlProp" Target="../ctrlProps/ctrlProp130.xml"/><Relationship Id="rId146" Type="http://schemas.openxmlformats.org/officeDocument/2006/relationships/ctrlProp" Target="../ctrlProps/ctrlProp135.xml"/><Relationship Id="rId167" Type="http://schemas.openxmlformats.org/officeDocument/2006/relationships/ctrlProp" Target="../ctrlProps/ctrlProp156.xml"/><Relationship Id="rId188" Type="http://schemas.openxmlformats.org/officeDocument/2006/relationships/ctrlProp" Target="../ctrlProps/ctrlProp177.xml"/><Relationship Id="rId7" Type="http://schemas.openxmlformats.org/officeDocument/2006/relationships/image" Target="../media/image2.emf"/><Relationship Id="rId71" Type="http://schemas.openxmlformats.org/officeDocument/2006/relationships/ctrlProp" Target="../ctrlProps/ctrlProp60.xml"/><Relationship Id="rId92" Type="http://schemas.openxmlformats.org/officeDocument/2006/relationships/ctrlProp" Target="../ctrlProps/ctrlProp81.xml"/><Relationship Id="rId162" Type="http://schemas.openxmlformats.org/officeDocument/2006/relationships/ctrlProp" Target="../ctrlProps/ctrlProp151.xml"/><Relationship Id="rId183" Type="http://schemas.openxmlformats.org/officeDocument/2006/relationships/ctrlProp" Target="../ctrlProps/ctrlProp172.xml"/><Relationship Id="rId213" Type="http://schemas.openxmlformats.org/officeDocument/2006/relationships/ctrlProp" Target="../ctrlProps/ctrlProp202.xml"/><Relationship Id="rId2" Type="http://schemas.openxmlformats.org/officeDocument/2006/relationships/customProperty" Target="../customProperty5.bin"/><Relationship Id="rId29" Type="http://schemas.openxmlformats.org/officeDocument/2006/relationships/ctrlProp" Target="../ctrlProps/ctrlProp18.xml"/><Relationship Id="rId24" Type="http://schemas.openxmlformats.org/officeDocument/2006/relationships/ctrlProp" Target="../ctrlProps/ctrlProp13.xml"/><Relationship Id="rId40" Type="http://schemas.openxmlformats.org/officeDocument/2006/relationships/ctrlProp" Target="../ctrlProps/ctrlProp29.xml"/><Relationship Id="rId45" Type="http://schemas.openxmlformats.org/officeDocument/2006/relationships/ctrlProp" Target="../ctrlProps/ctrlProp34.xml"/><Relationship Id="rId66" Type="http://schemas.openxmlformats.org/officeDocument/2006/relationships/ctrlProp" Target="../ctrlProps/ctrlProp55.xml"/><Relationship Id="rId87" Type="http://schemas.openxmlformats.org/officeDocument/2006/relationships/ctrlProp" Target="../ctrlProps/ctrlProp76.xml"/><Relationship Id="rId110" Type="http://schemas.openxmlformats.org/officeDocument/2006/relationships/ctrlProp" Target="../ctrlProps/ctrlProp99.xml"/><Relationship Id="rId115" Type="http://schemas.openxmlformats.org/officeDocument/2006/relationships/ctrlProp" Target="../ctrlProps/ctrlProp104.xml"/><Relationship Id="rId131" Type="http://schemas.openxmlformats.org/officeDocument/2006/relationships/ctrlProp" Target="../ctrlProps/ctrlProp120.xml"/><Relationship Id="rId136" Type="http://schemas.openxmlformats.org/officeDocument/2006/relationships/ctrlProp" Target="../ctrlProps/ctrlProp125.xml"/><Relationship Id="rId157" Type="http://schemas.openxmlformats.org/officeDocument/2006/relationships/ctrlProp" Target="../ctrlProps/ctrlProp146.xml"/><Relationship Id="rId178" Type="http://schemas.openxmlformats.org/officeDocument/2006/relationships/ctrlProp" Target="../ctrlProps/ctrlProp167.xml"/><Relationship Id="rId61" Type="http://schemas.openxmlformats.org/officeDocument/2006/relationships/ctrlProp" Target="../ctrlProps/ctrlProp50.xml"/><Relationship Id="rId82" Type="http://schemas.openxmlformats.org/officeDocument/2006/relationships/ctrlProp" Target="../ctrlProps/ctrlProp71.xml"/><Relationship Id="rId152" Type="http://schemas.openxmlformats.org/officeDocument/2006/relationships/ctrlProp" Target="../ctrlProps/ctrlProp141.xml"/><Relationship Id="rId173" Type="http://schemas.openxmlformats.org/officeDocument/2006/relationships/ctrlProp" Target="../ctrlProps/ctrlProp162.xml"/><Relationship Id="rId194" Type="http://schemas.openxmlformats.org/officeDocument/2006/relationships/ctrlProp" Target="../ctrlProps/ctrlProp183.xml"/><Relationship Id="rId199" Type="http://schemas.openxmlformats.org/officeDocument/2006/relationships/ctrlProp" Target="../ctrlProps/ctrlProp188.xml"/><Relationship Id="rId203" Type="http://schemas.openxmlformats.org/officeDocument/2006/relationships/ctrlProp" Target="../ctrlProps/ctrlProp192.xml"/><Relationship Id="rId208" Type="http://schemas.openxmlformats.org/officeDocument/2006/relationships/ctrlProp" Target="../ctrlProps/ctrlProp197.xml"/><Relationship Id="rId19" Type="http://schemas.openxmlformats.org/officeDocument/2006/relationships/ctrlProp" Target="../ctrlProps/ctrlProp8.xml"/><Relationship Id="rId14" Type="http://schemas.openxmlformats.org/officeDocument/2006/relationships/ctrlProp" Target="../ctrlProps/ctrlProp3.xml"/><Relationship Id="rId30" Type="http://schemas.openxmlformats.org/officeDocument/2006/relationships/ctrlProp" Target="../ctrlProps/ctrlProp19.xml"/><Relationship Id="rId35" Type="http://schemas.openxmlformats.org/officeDocument/2006/relationships/ctrlProp" Target="../ctrlProps/ctrlProp24.xml"/><Relationship Id="rId56" Type="http://schemas.openxmlformats.org/officeDocument/2006/relationships/ctrlProp" Target="../ctrlProps/ctrlProp45.xml"/><Relationship Id="rId77" Type="http://schemas.openxmlformats.org/officeDocument/2006/relationships/ctrlProp" Target="../ctrlProps/ctrlProp66.xml"/><Relationship Id="rId100" Type="http://schemas.openxmlformats.org/officeDocument/2006/relationships/ctrlProp" Target="../ctrlProps/ctrlProp89.xml"/><Relationship Id="rId105" Type="http://schemas.openxmlformats.org/officeDocument/2006/relationships/ctrlProp" Target="../ctrlProps/ctrlProp94.xml"/><Relationship Id="rId126" Type="http://schemas.openxmlformats.org/officeDocument/2006/relationships/ctrlProp" Target="../ctrlProps/ctrlProp115.xml"/><Relationship Id="rId147" Type="http://schemas.openxmlformats.org/officeDocument/2006/relationships/ctrlProp" Target="../ctrlProps/ctrlProp136.xml"/><Relationship Id="rId168" Type="http://schemas.openxmlformats.org/officeDocument/2006/relationships/ctrlProp" Target="../ctrlProps/ctrlProp157.xml"/><Relationship Id="rId8" Type="http://schemas.openxmlformats.org/officeDocument/2006/relationships/control" Target="../activeX/activeX3.xml"/><Relationship Id="rId51" Type="http://schemas.openxmlformats.org/officeDocument/2006/relationships/ctrlProp" Target="../ctrlProps/ctrlProp40.xml"/><Relationship Id="rId72" Type="http://schemas.openxmlformats.org/officeDocument/2006/relationships/ctrlProp" Target="../ctrlProps/ctrlProp61.xml"/><Relationship Id="rId93" Type="http://schemas.openxmlformats.org/officeDocument/2006/relationships/ctrlProp" Target="../ctrlProps/ctrlProp82.xml"/><Relationship Id="rId98" Type="http://schemas.openxmlformats.org/officeDocument/2006/relationships/ctrlProp" Target="../ctrlProps/ctrlProp87.xml"/><Relationship Id="rId121" Type="http://schemas.openxmlformats.org/officeDocument/2006/relationships/ctrlProp" Target="../ctrlProps/ctrlProp110.xml"/><Relationship Id="rId142" Type="http://schemas.openxmlformats.org/officeDocument/2006/relationships/ctrlProp" Target="../ctrlProps/ctrlProp131.xml"/><Relationship Id="rId163" Type="http://schemas.openxmlformats.org/officeDocument/2006/relationships/ctrlProp" Target="../ctrlProps/ctrlProp152.xml"/><Relationship Id="rId184" Type="http://schemas.openxmlformats.org/officeDocument/2006/relationships/ctrlProp" Target="../ctrlProps/ctrlProp173.xml"/><Relationship Id="rId189" Type="http://schemas.openxmlformats.org/officeDocument/2006/relationships/ctrlProp" Target="../ctrlProps/ctrlProp178.xml"/><Relationship Id="rId3" Type="http://schemas.openxmlformats.org/officeDocument/2006/relationships/customProperty" Target="../customProperty6.bin"/><Relationship Id="rId214" Type="http://schemas.openxmlformats.org/officeDocument/2006/relationships/comments" Target="../comments1.xml"/><Relationship Id="rId25" Type="http://schemas.openxmlformats.org/officeDocument/2006/relationships/ctrlProp" Target="../ctrlProps/ctrlProp14.xml"/><Relationship Id="rId46" Type="http://schemas.openxmlformats.org/officeDocument/2006/relationships/ctrlProp" Target="../ctrlProps/ctrlProp35.xml"/><Relationship Id="rId67" Type="http://schemas.openxmlformats.org/officeDocument/2006/relationships/ctrlProp" Target="../ctrlProps/ctrlProp56.xml"/><Relationship Id="rId116" Type="http://schemas.openxmlformats.org/officeDocument/2006/relationships/ctrlProp" Target="../ctrlProps/ctrlProp105.xml"/><Relationship Id="rId137" Type="http://schemas.openxmlformats.org/officeDocument/2006/relationships/ctrlProp" Target="../ctrlProps/ctrlProp126.xml"/><Relationship Id="rId158" Type="http://schemas.openxmlformats.org/officeDocument/2006/relationships/ctrlProp" Target="../ctrlProps/ctrlProp147.xml"/><Relationship Id="rId20" Type="http://schemas.openxmlformats.org/officeDocument/2006/relationships/ctrlProp" Target="../ctrlProps/ctrlProp9.xml"/><Relationship Id="rId41" Type="http://schemas.openxmlformats.org/officeDocument/2006/relationships/ctrlProp" Target="../ctrlProps/ctrlProp30.xml"/><Relationship Id="rId62" Type="http://schemas.openxmlformats.org/officeDocument/2006/relationships/ctrlProp" Target="../ctrlProps/ctrlProp51.xml"/><Relationship Id="rId83" Type="http://schemas.openxmlformats.org/officeDocument/2006/relationships/ctrlProp" Target="../ctrlProps/ctrlProp72.xml"/><Relationship Id="rId88" Type="http://schemas.openxmlformats.org/officeDocument/2006/relationships/ctrlProp" Target="../ctrlProps/ctrlProp77.xml"/><Relationship Id="rId111" Type="http://schemas.openxmlformats.org/officeDocument/2006/relationships/ctrlProp" Target="../ctrlProps/ctrlProp100.xml"/><Relationship Id="rId132" Type="http://schemas.openxmlformats.org/officeDocument/2006/relationships/ctrlProp" Target="../ctrlProps/ctrlProp121.xml"/><Relationship Id="rId153" Type="http://schemas.openxmlformats.org/officeDocument/2006/relationships/ctrlProp" Target="../ctrlProps/ctrlProp142.xml"/><Relationship Id="rId174" Type="http://schemas.openxmlformats.org/officeDocument/2006/relationships/ctrlProp" Target="../ctrlProps/ctrlProp163.xml"/><Relationship Id="rId179" Type="http://schemas.openxmlformats.org/officeDocument/2006/relationships/ctrlProp" Target="../ctrlProps/ctrlProp168.xml"/><Relationship Id="rId195" Type="http://schemas.openxmlformats.org/officeDocument/2006/relationships/ctrlProp" Target="../ctrlProps/ctrlProp184.xml"/><Relationship Id="rId209" Type="http://schemas.openxmlformats.org/officeDocument/2006/relationships/ctrlProp" Target="../ctrlProps/ctrlProp198.xml"/><Relationship Id="rId190" Type="http://schemas.openxmlformats.org/officeDocument/2006/relationships/ctrlProp" Target="../ctrlProps/ctrlProp179.xml"/><Relationship Id="rId204" Type="http://schemas.openxmlformats.org/officeDocument/2006/relationships/ctrlProp" Target="../ctrlProps/ctrlProp193.xml"/><Relationship Id="rId15" Type="http://schemas.openxmlformats.org/officeDocument/2006/relationships/ctrlProp" Target="../ctrlProps/ctrlProp4.xml"/><Relationship Id="rId36" Type="http://schemas.openxmlformats.org/officeDocument/2006/relationships/ctrlProp" Target="../ctrlProps/ctrlProp25.xml"/><Relationship Id="rId57" Type="http://schemas.openxmlformats.org/officeDocument/2006/relationships/ctrlProp" Target="../ctrlProps/ctrlProp46.xml"/><Relationship Id="rId106" Type="http://schemas.openxmlformats.org/officeDocument/2006/relationships/ctrlProp" Target="../ctrlProps/ctrlProp95.xml"/><Relationship Id="rId127" Type="http://schemas.openxmlformats.org/officeDocument/2006/relationships/ctrlProp" Target="../ctrlProps/ctrlProp116.xml"/><Relationship Id="rId10" Type="http://schemas.openxmlformats.org/officeDocument/2006/relationships/control" Target="../activeX/activeX4.xml"/><Relationship Id="rId31" Type="http://schemas.openxmlformats.org/officeDocument/2006/relationships/ctrlProp" Target="../ctrlProps/ctrlProp20.xml"/><Relationship Id="rId52" Type="http://schemas.openxmlformats.org/officeDocument/2006/relationships/ctrlProp" Target="../ctrlProps/ctrlProp41.xml"/><Relationship Id="rId73" Type="http://schemas.openxmlformats.org/officeDocument/2006/relationships/ctrlProp" Target="../ctrlProps/ctrlProp62.xml"/><Relationship Id="rId78" Type="http://schemas.openxmlformats.org/officeDocument/2006/relationships/ctrlProp" Target="../ctrlProps/ctrlProp67.xml"/><Relationship Id="rId94" Type="http://schemas.openxmlformats.org/officeDocument/2006/relationships/ctrlProp" Target="../ctrlProps/ctrlProp83.xml"/><Relationship Id="rId99" Type="http://schemas.openxmlformats.org/officeDocument/2006/relationships/ctrlProp" Target="../ctrlProps/ctrlProp88.xml"/><Relationship Id="rId101" Type="http://schemas.openxmlformats.org/officeDocument/2006/relationships/ctrlProp" Target="../ctrlProps/ctrlProp90.xml"/><Relationship Id="rId122" Type="http://schemas.openxmlformats.org/officeDocument/2006/relationships/ctrlProp" Target="../ctrlProps/ctrlProp111.xml"/><Relationship Id="rId143" Type="http://schemas.openxmlformats.org/officeDocument/2006/relationships/ctrlProp" Target="../ctrlProps/ctrlProp132.xml"/><Relationship Id="rId148" Type="http://schemas.openxmlformats.org/officeDocument/2006/relationships/ctrlProp" Target="../ctrlProps/ctrlProp137.xml"/><Relationship Id="rId164" Type="http://schemas.openxmlformats.org/officeDocument/2006/relationships/ctrlProp" Target="../ctrlProps/ctrlProp153.xml"/><Relationship Id="rId169" Type="http://schemas.openxmlformats.org/officeDocument/2006/relationships/ctrlProp" Target="../ctrlProps/ctrlProp158.xml"/><Relationship Id="rId185" Type="http://schemas.openxmlformats.org/officeDocument/2006/relationships/ctrlProp" Target="../ctrlProps/ctrlProp174.xml"/><Relationship Id="rId4" Type="http://schemas.openxmlformats.org/officeDocument/2006/relationships/drawing" Target="../drawings/drawing2.xml"/><Relationship Id="rId9" Type="http://schemas.openxmlformats.org/officeDocument/2006/relationships/image" Target="../media/image3.emf"/><Relationship Id="rId180" Type="http://schemas.openxmlformats.org/officeDocument/2006/relationships/ctrlProp" Target="../ctrlProps/ctrlProp169.xml"/><Relationship Id="rId210" Type="http://schemas.openxmlformats.org/officeDocument/2006/relationships/ctrlProp" Target="../ctrlProps/ctrlProp199.xml"/><Relationship Id="rId26" Type="http://schemas.openxmlformats.org/officeDocument/2006/relationships/ctrlProp" Target="../ctrlProps/ctrlProp15.xml"/><Relationship Id="rId47" Type="http://schemas.openxmlformats.org/officeDocument/2006/relationships/ctrlProp" Target="../ctrlProps/ctrlProp36.xml"/><Relationship Id="rId68" Type="http://schemas.openxmlformats.org/officeDocument/2006/relationships/ctrlProp" Target="../ctrlProps/ctrlProp57.xml"/><Relationship Id="rId89" Type="http://schemas.openxmlformats.org/officeDocument/2006/relationships/ctrlProp" Target="../ctrlProps/ctrlProp78.xml"/><Relationship Id="rId112" Type="http://schemas.openxmlformats.org/officeDocument/2006/relationships/ctrlProp" Target="../ctrlProps/ctrlProp101.xml"/><Relationship Id="rId133" Type="http://schemas.openxmlformats.org/officeDocument/2006/relationships/ctrlProp" Target="../ctrlProps/ctrlProp122.xml"/><Relationship Id="rId154" Type="http://schemas.openxmlformats.org/officeDocument/2006/relationships/ctrlProp" Target="../ctrlProps/ctrlProp143.xml"/><Relationship Id="rId175" Type="http://schemas.openxmlformats.org/officeDocument/2006/relationships/ctrlProp" Target="../ctrlProps/ctrlProp164.xml"/><Relationship Id="rId196" Type="http://schemas.openxmlformats.org/officeDocument/2006/relationships/ctrlProp" Target="../ctrlProps/ctrlProp185.xml"/><Relationship Id="rId200" Type="http://schemas.openxmlformats.org/officeDocument/2006/relationships/ctrlProp" Target="../ctrlProps/ctrlProp189.xml"/><Relationship Id="rId16"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19.emf"/><Relationship Id="rId3" Type="http://schemas.openxmlformats.org/officeDocument/2006/relationships/customProperty" Target="../customProperty8.bin"/><Relationship Id="rId21" Type="http://schemas.openxmlformats.org/officeDocument/2006/relationships/image" Target="../media/image11.emf"/><Relationship Id="rId34" Type="http://schemas.openxmlformats.org/officeDocument/2006/relationships/control" Target="../activeX/activeX18.xml"/><Relationship Id="rId42" Type="http://schemas.openxmlformats.org/officeDocument/2006/relationships/control" Target="../activeX/activeX22.xml"/><Relationship Id="rId47" Type="http://schemas.openxmlformats.org/officeDocument/2006/relationships/image" Target="../media/image23.emf"/><Relationship Id="rId7" Type="http://schemas.openxmlformats.org/officeDocument/2006/relationships/drawing" Target="../drawings/drawing3.xml"/><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control" Target="../activeX/activeX17.xml"/><Relationship Id="rId38" Type="http://schemas.openxmlformats.org/officeDocument/2006/relationships/control" Target="../activeX/activeX20.xml"/><Relationship Id="rId46" Type="http://schemas.openxmlformats.org/officeDocument/2006/relationships/control" Target="../activeX/activeX24.xml"/><Relationship Id="rId2" Type="http://schemas.openxmlformats.org/officeDocument/2006/relationships/customProperty" Target="../customProperty7.bin"/><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5.emf"/><Relationship Id="rId41" Type="http://schemas.openxmlformats.org/officeDocument/2006/relationships/image" Target="../media/image20.emf"/><Relationship Id="rId1" Type="http://schemas.openxmlformats.org/officeDocument/2006/relationships/printerSettings" Target="../printerSettings/printerSettings3.bin"/><Relationship Id="rId6" Type="http://schemas.openxmlformats.org/officeDocument/2006/relationships/customProperty" Target="../customProperty11.bin"/><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8.emf"/><Relationship Id="rId40" Type="http://schemas.openxmlformats.org/officeDocument/2006/relationships/control" Target="../activeX/activeX21.xml"/><Relationship Id="rId45" Type="http://schemas.openxmlformats.org/officeDocument/2006/relationships/image" Target="../media/image22.emf"/><Relationship Id="rId5" Type="http://schemas.openxmlformats.org/officeDocument/2006/relationships/customProperty" Target="../customProperty10.bin"/><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9.xml"/><Relationship Id="rId49" Type="http://schemas.openxmlformats.org/officeDocument/2006/relationships/image" Target="../media/image24.emf"/><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3.xml"/><Relationship Id="rId4" Type="http://schemas.openxmlformats.org/officeDocument/2006/relationships/customProperty" Target="../customProperty9.bin"/><Relationship Id="rId9" Type="http://schemas.openxmlformats.org/officeDocument/2006/relationships/image" Target="../media/image5.png"/><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7.emf"/><Relationship Id="rId43" Type="http://schemas.openxmlformats.org/officeDocument/2006/relationships/image" Target="../media/image21.emf"/><Relationship Id="rId48" Type="http://schemas.openxmlformats.org/officeDocument/2006/relationships/control" Target="../activeX/activeX25.xml"/><Relationship Id="rId8"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GU56"/>
  <sheetViews>
    <sheetView topLeftCell="A55" workbookViewId="0"/>
  </sheetViews>
  <sheetFormatPr defaultRowHeight="15" x14ac:dyDescent="0.25"/>
  <cols>
    <col min="1" max="1" width="13.28515625" bestFit="1" customWidth="1"/>
  </cols>
  <sheetData>
    <row r="1" spans="1:203" ht="409.5" x14ac:dyDescent="0.25">
      <c r="A1" t="s">
        <v>24</v>
      </c>
      <c r="B1" s="63" t="s">
        <v>102</v>
      </c>
    </row>
    <row r="2" spans="1:203" x14ac:dyDescent="0.25">
      <c r="A2" t="s">
        <v>25</v>
      </c>
      <c r="B2" s="63"/>
    </row>
    <row r="3" spans="1:203" x14ac:dyDescent="0.25">
      <c r="A3" t="s">
        <v>26</v>
      </c>
      <c r="C3" t="s">
        <v>82</v>
      </c>
      <c r="D3" t="s">
        <v>83</v>
      </c>
      <c r="E3" t="s">
        <v>84</v>
      </c>
      <c r="F3" t="s">
        <v>85</v>
      </c>
      <c r="G3" t="s">
        <v>86</v>
      </c>
      <c r="H3" t="s">
        <v>87</v>
      </c>
      <c r="I3" t="s">
        <v>88</v>
      </c>
      <c r="J3" t="s">
        <v>89</v>
      </c>
      <c r="K3" t="s">
        <v>90</v>
      </c>
      <c r="L3" t="s">
        <v>91</v>
      </c>
      <c r="M3" t="s">
        <v>92</v>
      </c>
      <c r="N3" t="s">
        <v>93</v>
      </c>
      <c r="O3" t="s">
        <v>94</v>
      </c>
      <c r="P3" t="s">
        <v>95</v>
      </c>
      <c r="Q3" t="s">
        <v>96</v>
      </c>
      <c r="R3" t="s">
        <v>97</v>
      </c>
      <c r="S3" t="s">
        <v>98</v>
      </c>
      <c r="T3" t="s">
        <v>99</v>
      </c>
      <c r="U3" t="s">
        <v>100</v>
      </c>
      <c r="V3" t="s">
        <v>101</v>
      </c>
      <c r="W3" t="s">
        <v>103</v>
      </c>
      <c r="X3" t="s">
        <v>104</v>
      </c>
      <c r="Y3" t="s">
        <v>105</v>
      </c>
      <c r="Z3" t="s">
        <v>106</v>
      </c>
      <c r="AA3" t="s">
        <v>107</v>
      </c>
      <c r="AB3" t="s">
        <v>108</v>
      </c>
      <c r="AC3" t="s">
        <v>109</v>
      </c>
      <c r="AD3" t="s">
        <v>110</v>
      </c>
      <c r="AE3" t="s">
        <v>111</v>
      </c>
      <c r="AF3" t="s">
        <v>112</v>
      </c>
      <c r="AG3" t="s">
        <v>113</v>
      </c>
      <c r="AH3" t="s">
        <v>114</v>
      </c>
      <c r="AI3" t="s">
        <v>115</v>
      </c>
      <c r="AJ3" t="s">
        <v>154</v>
      </c>
      <c r="AK3" t="s">
        <v>155</v>
      </c>
      <c r="AL3" t="s">
        <v>156</v>
      </c>
      <c r="AM3" t="s">
        <v>157</v>
      </c>
      <c r="AN3" t="s">
        <v>158</v>
      </c>
      <c r="AO3" t="s">
        <v>159</v>
      </c>
      <c r="AP3" t="s">
        <v>160</v>
      </c>
      <c r="AQ3" t="s">
        <v>161</v>
      </c>
      <c r="AR3" t="s">
        <v>162</v>
      </c>
      <c r="AS3" t="s">
        <v>163</v>
      </c>
      <c r="AT3" t="s">
        <v>164</v>
      </c>
      <c r="AU3" t="s">
        <v>165</v>
      </c>
      <c r="AV3" t="s">
        <v>166</v>
      </c>
      <c r="AW3" t="s">
        <v>167</v>
      </c>
      <c r="AX3" t="s">
        <v>168</v>
      </c>
      <c r="AY3" t="s">
        <v>169</v>
      </c>
      <c r="AZ3" t="s">
        <v>170</v>
      </c>
      <c r="BA3" t="s">
        <v>171</v>
      </c>
      <c r="BB3" t="s">
        <v>172</v>
      </c>
      <c r="BC3" t="s">
        <v>173</v>
      </c>
      <c r="BD3" t="s">
        <v>174</v>
      </c>
      <c r="BE3" t="s">
        <v>175</v>
      </c>
      <c r="BF3" t="s">
        <v>176</v>
      </c>
      <c r="BG3" t="s">
        <v>177</v>
      </c>
      <c r="BH3" t="s">
        <v>178</v>
      </c>
      <c r="BI3" t="s">
        <v>179</v>
      </c>
      <c r="BJ3" t="s">
        <v>180</v>
      </c>
      <c r="BK3" t="s">
        <v>181</v>
      </c>
      <c r="BL3" t="s">
        <v>182</v>
      </c>
      <c r="BM3" t="s">
        <v>183</v>
      </c>
      <c r="BN3" t="s">
        <v>184</v>
      </c>
      <c r="BO3" t="s">
        <v>185</v>
      </c>
      <c r="BP3" t="s">
        <v>186</v>
      </c>
      <c r="BQ3" t="s">
        <v>187</v>
      </c>
      <c r="BR3" t="s">
        <v>188</v>
      </c>
      <c r="BS3" t="s">
        <v>189</v>
      </c>
      <c r="BT3" t="s">
        <v>190</v>
      </c>
      <c r="BU3" t="s">
        <v>191</v>
      </c>
      <c r="BV3" t="s">
        <v>192</v>
      </c>
      <c r="BW3" t="s">
        <v>193</v>
      </c>
      <c r="BX3" t="s">
        <v>194</v>
      </c>
      <c r="BY3" t="s">
        <v>195</v>
      </c>
      <c r="BZ3" t="s">
        <v>196</v>
      </c>
      <c r="CA3" t="s">
        <v>197</v>
      </c>
      <c r="CB3" t="s">
        <v>198</v>
      </c>
      <c r="CC3" t="s">
        <v>199</v>
      </c>
      <c r="CD3" t="s">
        <v>200</v>
      </c>
      <c r="CE3" t="s">
        <v>201</v>
      </c>
      <c r="CF3" t="s">
        <v>202</v>
      </c>
      <c r="CG3" t="s">
        <v>203</v>
      </c>
      <c r="CH3" t="s">
        <v>204</v>
      </c>
      <c r="CI3" t="s">
        <v>205</v>
      </c>
      <c r="CJ3" t="s">
        <v>206</v>
      </c>
      <c r="CK3" t="s">
        <v>207</v>
      </c>
      <c r="CL3" t="s">
        <v>208</v>
      </c>
      <c r="CM3" t="s">
        <v>209</v>
      </c>
      <c r="CN3" t="s">
        <v>210</v>
      </c>
      <c r="CO3" t="s">
        <v>211</v>
      </c>
      <c r="CP3" t="s">
        <v>212</v>
      </c>
      <c r="CQ3" t="s">
        <v>213</v>
      </c>
      <c r="CR3" t="s">
        <v>214</v>
      </c>
      <c r="CS3" t="s">
        <v>215</v>
      </c>
      <c r="CT3" t="s">
        <v>216</v>
      </c>
      <c r="CU3" t="s">
        <v>217</v>
      </c>
      <c r="CV3" t="s">
        <v>218</v>
      </c>
      <c r="CW3" t="s">
        <v>219</v>
      </c>
      <c r="CX3" t="s">
        <v>220</v>
      </c>
      <c r="CY3" t="s">
        <v>221</v>
      </c>
      <c r="CZ3" t="s">
        <v>222</v>
      </c>
      <c r="DA3" t="s">
        <v>223</v>
      </c>
      <c r="DB3" t="s">
        <v>224</v>
      </c>
      <c r="DC3" t="s">
        <v>225</v>
      </c>
      <c r="DD3" t="s">
        <v>226</v>
      </c>
      <c r="DE3" t="s">
        <v>227</v>
      </c>
      <c r="DF3" t="s">
        <v>228</v>
      </c>
      <c r="DG3" t="s">
        <v>229</v>
      </c>
      <c r="DH3" t="s">
        <v>230</v>
      </c>
      <c r="DI3" t="s">
        <v>231</v>
      </c>
      <c r="DJ3" t="s">
        <v>232</v>
      </c>
      <c r="DK3" t="s">
        <v>233</v>
      </c>
      <c r="DL3" t="s">
        <v>234</v>
      </c>
      <c r="DM3" t="s">
        <v>235</v>
      </c>
      <c r="DN3" t="s">
        <v>236</v>
      </c>
      <c r="DO3" t="s">
        <v>237</v>
      </c>
      <c r="DP3" t="s">
        <v>238</v>
      </c>
      <c r="DQ3" t="s">
        <v>239</v>
      </c>
      <c r="DR3" t="s">
        <v>240</v>
      </c>
      <c r="DS3" t="s">
        <v>241</v>
      </c>
      <c r="DT3" t="s">
        <v>242</v>
      </c>
      <c r="DU3" t="s">
        <v>243</v>
      </c>
      <c r="DV3" t="s">
        <v>244</v>
      </c>
      <c r="DW3" t="s">
        <v>245</v>
      </c>
      <c r="DX3" t="s">
        <v>246</v>
      </c>
      <c r="DY3" t="s">
        <v>247</v>
      </c>
      <c r="DZ3" t="s">
        <v>248</v>
      </c>
      <c r="EA3" t="s">
        <v>249</v>
      </c>
      <c r="EB3" t="s">
        <v>250</v>
      </c>
      <c r="EC3" t="s">
        <v>251</v>
      </c>
      <c r="ED3" t="s">
        <v>252</v>
      </c>
      <c r="EE3" t="s">
        <v>253</v>
      </c>
      <c r="EF3" t="s">
        <v>254</v>
      </c>
      <c r="EG3" t="s">
        <v>255</v>
      </c>
      <c r="EH3" t="s">
        <v>256</v>
      </c>
      <c r="EI3" t="s">
        <v>257</v>
      </c>
      <c r="EJ3" t="s">
        <v>258</v>
      </c>
      <c r="EK3" t="s">
        <v>259</v>
      </c>
      <c r="EL3" t="s">
        <v>260</v>
      </c>
      <c r="EM3" t="s">
        <v>261</v>
      </c>
      <c r="EN3" t="s">
        <v>262</v>
      </c>
      <c r="EO3" t="s">
        <v>263</v>
      </c>
      <c r="EP3" t="s">
        <v>264</v>
      </c>
      <c r="EQ3" t="s">
        <v>265</v>
      </c>
      <c r="ER3" t="s">
        <v>266</v>
      </c>
      <c r="ES3" t="s">
        <v>267</v>
      </c>
      <c r="ET3" t="s">
        <v>268</v>
      </c>
      <c r="EU3" t="s">
        <v>269</v>
      </c>
      <c r="EV3" t="s">
        <v>270</v>
      </c>
      <c r="EW3" t="s">
        <v>271</v>
      </c>
      <c r="EX3" t="s">
        <v>272</v>
      </c>
      <c r="EY3" t="s">
        <v>273</v>
      </c>
      <c r="EZ3" t="s">
        <v>274</v>
      </c>
      <c r="FA3" t="s">
        <v>275</v>
      </c>
      <c r="FB3" t="s">
        <v>276</v>
      </c>
      <c r="FC3" t="s">
        <v>277</v>
      </c>
      <c r="FD3" t="s">
        <v>278</v>
      </c>
      <c r="FE3" t="s">
        <v>279</v>
      </c>
      <c r="FF3" t="s">
        <v>280</v>
      </c>
      <c r="FG3" t="s">
        <v>281</v>
      </c>
      <c r="FH3" t="s">
        <v>282</v>
      </c>
      <c r="FI3" t="s">
        <v>283</v>
      </c>
      <c r="FJ3" t="s">
        <v>284</v>
      </c>
      <c r="FK3" t="s">
        <v>285</v>
      </c>
      <c r="FL3" t="s">
        <v>286</v>
      </c>
      <c r="FM3" t="s">
        <v>287</v>
      </c>
      <c r="FN3" t="s">
        <v>288</v>
      </c>
      <c r="FO3" t="s">
        <v>289</v>
      </c>
      <c r="FP3" t="s">
        <v>290</v>
      </c>
      <c r="FQ3" t="s">
        <v>291</v>
      </c>
      <c r="FR3" t="s">
        <v>292</v>
      </c>
      <c r="FS3" t="s">
        <v>293</v>
      </c>
      <c r="FT3" t="s">
        <v>294</v>
      </c>
      <c r="FU3" t="s">
        <v>295</v>
      </c>
      <c r="FV3" t="s">
        <v>296</v>
      </c>
      <c r="FW3" t="s">
        <v>297</v>
      </c>
      <c r="FX3" t="s">
        <v>298</v>
      </c>
      <c r="FY3" t="s">
        <v>299</v>
      </c>
      <c r="FZ3" t="s">
        <v>300</v>
      </c>
      <c r="GA3" t="s">
        <v>301</v>
      </c>
      <c r="GB3" t="s">
        <v>302</v>
      </c>
      <c r="GC3" t="s">
        <v>303</v>
      </c>
      <c r="GD3" t="s">
        <v>304</v>
      </c>
      <c r="GE3" t="s">
        <v>305</v>
      </c>
      <c r="GF3" t="s">
        <v>306</v>
      </c>
      <c r="GG3" t="s">
        <v>307</v>
      </c>
      <c r="GH3" t="s">
        <v>308</v>
      </c>
      <c r="GI3" t="s">
        <v>309</v>
      </c>
      <c r="GJ3" t="s">
        <v>310</v>
      </c>
      <c r="GK3" t="s">
        <v>311</v>
      </c>
      <c r="GL3" t="s">
        <v>312</v>
      </c>
      <c r="GM3" t="s">
        <v>313</v>
      </c>
      <c r="GN3" t="s">
        <v>314</v>
      </c>
      <c r="GO3" t="s">
        <v>315</v>
      </c>
      <c r="GP3" t="s">
        <v>316</v>
      </c>
      <c r="GQ3" t="s">
        <v>317</v>
      </c>
      <c r="GR3" t="s">
        <v>318</v>
      </c>
      <c r="GS3" t="s">
        <v>319</v>
      </c>
      <c r="GT3" t="s">
        <v>320</v>
      </c>
      <c r="GU3" t="s">
        <v>321</v>
      </c>
    </row>
    <row r="4" spans="1:203" x14ac:dyDescent="0.25">
      <c r="A4" t="s">
        <v>26</v>
      </c>
      <c r="B4" t="s">
        <v>70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c r="DC4">
        <v>0</v>
      </c>
      <c r="DD4">
        <v>0</v>
      </c>
      <c r="DE4">
        <v>0</v>
      </c>
      <c r="DF4">
        <v>0</v>
      </c>
      <c r="DG4">
        <v>0</v>
      </c>
      <c r="DH4">
        <v>0</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0</v>
      </c>
      <c r="GC4">
        <v>0</v>
      </c>
      <c r="GD4">
        <v>0</v>
      </c>
      <c r="GE4">
        <v>0</v>
      </c>
      <c r="GF4">
        <v>0</v>
      </c>
      <c r="GG4">
        <v>0</v>
      </c>
      <c r="GH4">
        <v>0</v>
      </c>
      <c r="GI4">
        <v>0</v>
      </c>
      <c r="GJ4">
        <v>0</v>
      </c>
      <c r="GK4">
        <v>0</v>
      </c>
      <c r="GL4">
        <v>0</v>
      </c>
      <c r="GM4">
        <v>0</v>
      </c>
      <c r="GN4">
        <v>0</v>
      </c>
      <c r="GO4">
        <v>0</v>
      </c>
      <c r="GP4">
        <v>0</v>
      </c>
      <c r="GQ4">
        <v>0</v>
      </c>
      <c r="GR4">
        <v>0</v>
      </c>
      <c r="GS4">
        <v>0</v>
      </c>
      <c r="GT4">
        <v>0</v>
      </c>
      <c r="GU4">
        <v>0</v>
      </c>
    </row>
    <row r="5" spans="1:203" x14ac:dyDescent="0.25">
      <c r="A5" t="s">
        <v>26</v>
      </c>
      <c r="B5" t="s">
        <v>78</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0</v>
      </c>
      <c r="GC5">
        <v>0</v>
      </c>
      <c r="GD5">
        <v>0</v>
      </c>
      <c r="GE5">
        <v>0</v>
      </c>
      <c r="GF5">
        <v>0</v>
      </c>
      <c r="GG5">
        <v>0</v>
      </c>
      <c r="GH5">
        <v>0</v>
      </c>
      <c r="GI5">
        <v>0</v>
      </c>
      <c r="GJ5">
        <v>0</v>
      </c>
      <c r="GK5">
        <v>0</v>
      </c>
      <c r="GL5">
        <v>0</v>
      </c>
      <c r="GM5">
        <v>0</v>
      </c>
      <c r="GN5">
        <v>0</v>
      </c>
      <c r="GO5">
        <v>0</v>
      </c>
      <c r="GP5">
        <v>0</v>
      </c>
      <c r="GQ5">
        <v>0</v>
      </c>
      <c r="GR5">
        <v>0</v>
      </c>
      <c r="GS5">
        <v>0</v>
      </c>
      <c r="GT5">
        <v>0</v>
      </c>
      <c r="GU5">
        <v>0</v>
      </c>
    </row>
    <row r="6" spans="1:203" x14ac:dyDescent="0.25">
      <c r="A6" t="s">
        <v>26</v>
      </c>
      <c r="B6" t="s">
        <v>71</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0</v>
      </c>
      <c r="GC6">
        <v>0</v>
      </c>
      <c r="GD6">
        <v>0</v>
      </c>
      <c r="GE6">
        <v>0</v>
      </c>
      <c r="GF6">
        <v>0</v>
      </c>
      <c r="GG6">
        <v>0</v>
      </c>
      <c r="GH6">
        <v>0</v>
      </c>
      <c r="GI6">
        <v>0</v>
      </c>
      <c r="GJ6">
        <v>0</v>
      </c>
      <c r="GK6">
        <v>0</v>
      </c>
      <c r="GL6">
        <v>0</v>
      </c>
      <c r="GM6">
        <v>0</v>
      </c>
      <c r="GN6">
        <v>0</v>
      </c>
      <c r="GO6">
        <v>0</v>
      </c>
      <c r="GP6">
        <v>0</v>
      </c>
      <c r="GQ6">
        <v>0</v>
      </c>
      <c r="GR6">
        <v>0</v>
      </c>
      <c r="GS6">
        <v>0</v>
      </c>
      <c r="GT6">
        <v>0</v>
      </c>
      <c r="GU6">
        <v>0</v>
      </c>
    </row>
    <row r="7" spans="1:203" x14ac:dyDescent="0.25">
      <c r="A7" t="s">
        <v>26</v>
      </c>
      <c r="B7" t="s">
        <v>72</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0</v>
      </c>
      <c r="GC7">
        <v>0</v>
      </c>
      <c r="GD7">
        <v>0</v>
      </c>
      <c r="GE7">
        <v>0</v>
      </c>
      <c r="GF7">
        <v>0</v>
      </c>
      <c r="GG7">
        <v>0</v>
      </c>
      <c r="GH7">
        <v>0</v>
      </c>
      <c r="GI7">
        <v>0</v>
      </c>
      <c r="GJ7">
        <v>0</v>
      </c>
      <c r="GK7">
        <v>0</v>
      </c>
      <c r="GL7">
        <v>0</v>
      </c>
      <c r="GM7">
        <v>0</v>
      </c>
      <c r="GN7">
        <v>0</v>
      </c>
      <c r="GO7">
        <v>0</v>
      </c>
      <c r="GP7">
        <v>0</v>
      </c>
      <c r="GQ7">
        <v>0</v>
      </c>
      <c r="GR7">
        <v>0</v>
      </c>
      <c r="GS7">
        <v>0</v>
      </c>
      <c r="GT7">
        <v>0</v>
      </c>
      <c r="GU7">
        <v>0</v>
      </c>
    </row>
    <row r="8" spans="1:203" x14ac:dyDescent="0.25">
      <c r="A8" t="s">
        <v>26</v>
      </c>
      <c r="B8" t="s">
        <v>73</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0</v>
      </c>
      <c r="GC8">
        <v>0</v>
      </c>
      <c r="GD8">
        <v>0</v>
      </c>
      <c r="GE8">
        <v>0</v>
      </c>
      <c r="GF8">
        <v>0</v>
      </c>
      <c r="GG8">
        <v>0</v>
      </c>
      <c r="GH8">
        <v>0</v>
      </c>
      <c r="GI8">
        <v>0</v>
      </c>
      <c r="GJ8">
        <v>0</v>
      </c>
      <c r="GK8">
        <v>0</v>
      </c>
      <c r="GL8">
        <v>0</v>
      </c>
      <c r="GM8">
        <v>0</v>
      </c>
      <c r="GN8">
        <v>0</v>
      </c>
      <c r="GO8">
        <v>0</v>
      </c>
      <c r="GP8">
        <v>0</v>
      </c>
      <c r="GQ8">
        <v>0</v>
      </c>
      <c r="GR8">
        <v>0</v>
      </c>
      <c r="GS8">
        <v>0</v>
      </c>
      <c r="GT8">
        <v>0</v>
      </c>
      <c r="GU8">
        <v>0</v>
      </c>
    </row>
    <row r="21" spans="1:8" x14ac:dyDescent="0.25">
      <c r="A21" t="s">
        <v>48</v>
      </c>
    </row>
    <row r="22" spans="1:8" x14ac:dyDescent="0.25">
      <c r="A22" t="s">
        <v>49</v>
      </c>
      <c r="B22" t="s">
        <v>143</v>
      </c>
    </row>
    <row r="23" spans="1:8" x14ac:dyDescent="0.25">
      <c r="A23" t="s">
        <v>50</v>
      </c>
      <c r="B23" t="s">
        <v>51</v>
      </c>
    </row>
    <row r="24" spans="1:8" x14ac:dyDescent="0.25">
      <c r="A24" t="s">
        <v>52</v>
      </c>
      <c r="B24" t="s">
        <v>53</v>
      </c>
    </row>
    <row r="25" spans="1:8" x14ac:dyDescent="0.25">
      <c r="A25" t="s">
        <v>54</v>
      </c>
      <c r="B25" t="s">
        <v>66</v>
      </c>
    </row>
    <row r="26" spans="1:8" x14ac:dyDescent="0.25">
      <c r="A26" t="s">
        <v>55</v>
      </c>
      <c r="B26" t="s">
        <v>144</v>
      </c>
    </row>
    <row r="27" spans="1:8" x14ac:dyDescent="0.25">
      <c r="A27" t="s">
        <v>56</v>
      </c>
      <c r="B27" t="s">
        <v>57</v>
      </c>
    </row>
    <row r="28" spans="1:8" ht="409.5" x14ac:dyDescent="0.25">
      <c r="A28" t="s">
        <v>58</v>
      </c>
      <c r="B28" s="63" t="s">
        <v>147</v>
      </c>
      <c r="C28" s="64" t="s">
        <v>148</v>
      </c>
    </row>
    <row r="29" spans="1:8" ht="409.5" x14ac:dyDescent="0.25">
      <c r="A29" t="s">
        <v>60</v>
      </c>
      <c r="B29" s="63" t="s">
        <v>145</v>
      </c>
      <c r="C29" s="63" t="s">
        <v>59</v>
      </c>
      <c r="D29" s="63" t="s">
        <v>149</v>
      </c>
      <c r="E29" s="63" t="s">
        <v>150</v>
      </c>
      <c r="F29" s="63" t="s">
        <v>151</v>
      </c>
      <c r="G29" s="63" t="s">
        <v>152</v>
      </c>
      <c r="H29" s="63" t="s">
        <v>153</v>
      </c>
    </row>
    <row r="30" spans="1:8" x14ac:dyDescent="0.25">
      <c r="A30" t="s">
        <v>61</v>
      </c>
      <c r="B30" t="s">
        <v>53</v>
      </c>
    </row>
    <row r="31" spans="1:8" x14ac:dyDescent="0.25">
      <c r="A31" t="s">
        <v>62</v>
      </c>
      <c r="B31" t="s">
        <v>53</v>
      </c>
    </row>
    <row r="32" spans="1:8" x14ac:dyDescent="0.25">
      <c r="A32" t="s">
        <v>63</v>
      </c>
      <c r="B32" t="s">
        <v>53</v>
      </c>
    </row>
    <row r="33" spans="1:2" x14ac:dyDescent="0.25">
      <c r="A33" t="s">
        <v>64</v>
      </c>
      <c r="B33" t="s">
        <v>51</v>
      </c>
    </row>
    <row r="34" spans="1:2" x14ac:dyDescent="0.25">
      <c r="A34" t="s">
        <v>65</v>
      </c>
      <c r="B34" t="s">
        <v>146</v>
      </c>
    </row>
    <row r="50" spans="1:4" x14ac:dyDescent="0.25">
      <c r="A50" t="s">
        <v>31</v>
      </c>
    </row>
    <row r="51" spans="1:4" x14ac:dyDescent="0.25">
      <c r="A51" t="s">
        <v>32</v>
      </c>
    </row>
    <row r="52" spans="1:4" x14ac:dyDescent="0.25">
      <c r="A52" t="s">
        <v>33</v>
      </c>
      <c r="C52" t="s">
        <v>27</v>
      </c>
      <c r="D52" t="s">
        <v>28</v>
      </c>
    </row>
    <row r="53" spans="1:4" x14ac:dyDescent="0.25">
      <c r="A53" t="s">
        <v>33</v>
      </c>
      <c r="B53" t="s">
        <v>29</v>
      </c>
      <c r="C53">
        <v>1</v>
      </c>
      <c r="D53">
        <v>2</v>
      </c>
    </row>
    <row r="54" spans="1:4" x14ac:dyDescent="0.25">
      <c r="A54" t="s">
        <v>33</v>
      </c>
      <c r="B54" t="s">
        <v>30</v>
      </c>
      <c r="C54">
        <v>3</v>
      </c>
      <c r="D54">
        <v>4</v>
      </c>
    </row>
    <row r="55" spans="1:4" x14ac:dyDescent="0.25">
      <c r="A55" t="s">
        <v>68</v>
      </c>
    </row>
    <row r="56" spans="1:4" x14ac:dyDescent="0.25">
      <c r="A56" t="s">
        <v>69</v>
      </c>
    </row>
  </sheetData>
  <pageMargins left="0.7" right="0.7" top="0.75" bottom="0.75" header="0.3" footer="0.3"/>
  <pageSetup orientation="portrait" horizontalDpi="300" verticalDpi="0" r:id="rId1"/>
  <customProperties>
    <customPr name="_pios_id" r:id="rId2"/>
    <customPr name="CofWorksheetType" r:id="rId3"/>
    <customPr name="EpmWorksheetKeyString_GUID" r:id="rId4"/>
    <customPr name="IbpWorksheetKeyString_GUID" r:id="rId5"/>
  </customProperties>
  <drawing r:id="rId6"/>
  <legacyDrawing r:id="rId7"/>
  <controls>
    <mc:AlternateContent xmlns:mc="http://schemas.openxmlformats.org/markup-compatibility/2006">
      <mc:Choice Requires="x14">
        <control shapeId="13313" r:id="rId8" name="FPMExcelClientSheetOptionstb1">
          <controlPr defaultSize="0" autoLine="0" autoPict="0" r:id="rId9">
            <anchor moveWithCells="1" sizeWithCells="1">
              <from>
                <xdr:col>0</xdr:col>
                <xdr:colOff>0</xdr:colOff>
                <xdr:row>0</xdr:row>
                <xdr:rowOff>0</xdr:rowOff>
              </from>
              <to>
                <xdr:col>1</xdr:col>
                <xdr:colOff>0</xdr:colOff>
                <xdr:row>0</xdr:row>
                <xdr:rowOff>0</xdr:rowOff>
              </to>
            </anchor>
          </controlPr>
        </control>
      </mc:Choice>
      <mc:Fallback>
        <control shapeId="13313" r:id="rId8"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Q209"/>
  <sheetViews>
    <sheetView showGridLines="0" topLeftCell="A112" zoomScale="85" zoomScaleNormal="85" workbookViewId="0">
      <selection activeCell="F152" sqref="F152"/>
    </sheetView>
  </sheetViews>
  <sheetFormatPr defaultColWidth="9.140625" defaultRowHeight="15" x14ac:dyDescent="0.25"/>
  <cols>
    <col min="1" max="1" width="1.7109375" style="1" customWidth="1"/>
    <col min="2" max="2" width="12.7109375" style="1" customWidth="1"/>
    <col min="3" max="3" width="15.7109375" style="1" customWidth="1"/>
    <col min="4" max="4" width="82.140625" style="1" customWidth="1"/>
    <col min="5" max="5" width="3.28515625" style="1" customWidth="1"/>
    <col min="6" max="6" width="14.28515625" customWidth="1"/>
    <col min="7" max="7" width="3.28515625" style="1" customWidth="1"/>
    <col min="8" max="8" width="30.7109375" style="1" customWidth="1"/>
    <col min="9" max="9" width="3.28515625" style="1" customWidth="1"/>
    <col min="10" max="10" width="14.28515625" customWidth="1"/>
    <col min="11" max="11" width="3.28515625" style="1" customWidth="1"/>
    <col min="12" max="12" width="36.7109375" style="1" customWidth="1"/>
    <col min="13" max="16" width="10.7109375" style="1" customWidth="1"/>
    <col min="17" max="17" width="90.7109375" style="1" customWidth="1"/>
    <col min="18" max="16384" width="9.140625" style="1"/>
  </cols>
  <sheetData>
    <row r="1" spans="1:17" ht="42" customHeight="1" x14ac:dyDescent="0.2">
      <c r="A1" s="2"/>
      <c r="B1" s="85" t="s">
        <v>47</v>
      </c>
      <c r="C1" s="85"/>
      <c r="D1" s="85"/>
      <c r="E1" s="85"/>
      <c r="F1" s="85"/>
      <c r="G1" s="85"/>
      <c r="H1" s="85"/>
      <c r="I1" s="85"/>
      <c r="J1" s="85"/>
      <c r="K1" s="85"/>
      <c r="L1" s="85"/>
    </row>
    <row r="2" spans="1:17" ht="15.75" customHeight="1" x14ac:dyDescent="0.25">
      <c r="A2" s="35" t="s">
        <v>23</v>
      </c>
      <c r="B2" s="2"/>
      <c r="C2" s="2"/>
      <c r="D2" s="2"/>
      <c r="E2" s="2"/>
      <c r="G2" s="2"/>
      <c r="H2" s="2"/>
      <c r="I2" s="2"/>
      <c r="J2" s="37"/>
      <c r="K2" s="2"/>
      <c r="L2" s="2"/>
    </row>
    <row r="3" spans="1:17" ht="15.75" customHeight="1" x14ac:dyDescent="0.25">
      <c r="A3" s="2"/>
      <c r="B3" s="3" t="s">
        <v>0</v>
      </c>
      <c r="C3" s="2"/>
      <c r="D3" s="2"/>
      <c r="E3" s="2"/>
      <c r="F3" s="37"/>
      <c r="G3" s="2"/>
      <c r="H3" s="2"/>
      <c r="I3" s="2"/>
      <c r="J3" s="37"/>
      <c r="K3" s="2"/>
      <c r="L3" s="2"/>
    </row>
    <row r="4" spans="1:17" ht="18" customHeight="1" thickBot="1" x14ac:dyDescent="0.3">
      <c r="A4" s="2"/>
      <c r="B4" s="2"/>
      <c r="C4" s="2"/>
      <c r="D4" s="2"/>
      <c r="E4" s="2"/>
      <c r="F4" s="37"/>
      <c r="G4" s="2"/>
      <c r="H4" s="2"/>
      <c r="I4" s="2"/>
      <c r="J4" s="37"/>
      <c r="K4" s="2"/>
      <c r="L4" s="2"/>
    </row>
    <row r="5" spans="1:17" ht="28.35" customHeight="1" x14ac:dyDescent="0.2">
      <c r="A5" s="2"/>
      <c r="B5" s="86" t="s">
        <v>116</v>
      </c>
      <c r="C5" s="87"/>
      <c r="D5" s="87"/>
      <c r="E5" s="87"/>
      <c r="F5" s="87"/>
      <c r="G5" s="87"/>
      <c r="H5" s="87"/>
      <c r="I5" s="87"/>
      <c r="J5" s="87"/>
      <c r="K5" s="87"/>
      <c r="L5" s="88"/>
      <c r="Q5" s="20" t="s">
        <v>16</v>
      </c>
    </row>
    <row r="6" spans="1:17" ht="28.35" customHeight="1" thickBot="1" x14ac:dyDescent="0.25">
      <c r="A6" s="2"/>
      <c r="B6" s="89"/>
      <c r="C6" s="90"/>
      <c r="D6" s="90"/>
      <c r="E6" s="90"/>
      <c r="F6" s="90"/>
      <c r="G6" s="90"/>
      <c r="H6" s="90"/>
      <c r="I6" s="90"/>
      <c r="J6" s="90"/>
      <c r="K6" s="90"/>
      <c r="L6" s="91"/>
      <c r="Q6" s="21" t="s">
        <v>17</v>
      </c>
    </row>
    <row r="7" spans="1:17" ht="21.95" customHeight="1" x14ac:dyDescent="0.25">
      <c r="A7" s="2"/>
      <c r="B7" s="92" t="s">
        <v>8</v>
      </c>
      <c r="C7" s="16"/>
      <c r="D7" s="16"/>
      <c r="E7" s="16"/>
      <c r="F7" s="38"/>
      <c r="G7" s="16"/>
      <c r="H7" s="16"/>
      <c r="I7" s="16"/>
      <c r="J7" s="38"/>
      <c r="K7" s="16"/>
      <c r="L7" s="17"/>
      <c r="Q7" s="84" t="s">
        <v>119</v>
      </c>
    </row>
    <row r="8" spans="1:17" ht="18" customHeight="1" x14ac:dyDescent="0.25">
      <c r="A8" s="2"/>
      <c r="B8" s="93"/>
      <c r="C8" s="2"/>
      <c r="D8" s="2"/>
      <c r="E8" s="2"/>
      <c r="F8" s="37"/>
      <c r="G8" s="2"/>
      <c r="H8" s="2"/>
      <c r="I8" s="2"/>
      <c r="J8" s="37"/>
      <c r="K8" s="2"/>
      <c r="L8" s="10"/>
      <c r="Q8" s="84"/>
    </row>
    <row r="9" spans="1:17" ht="17.100000000000001" customHeight="1" x14ac:dyDescent="0.2">
      <c r="A9" s="2"/>
      <c r="B9" s="93"/>
      <c r="C9" s="5"/>
      <c r="D9" s="6"/>
      <c r="E9" s="95" t="s">
        <v>1</v>
      </c>
      <c r="F9" s="96"/>
      <c r="G9" s="97"/>
      <c r="H9" s="4" t="s">
        <v>2</v>
      </c>
      <c r="I9" s="95" t="s">
        <v>3</v>
      </c>
      <c r="J9" s="96"/>
      <c r="K9" s="97"/>
      <c r="L9" s="11" t="s">
        <v>2</v>
      </c>
      <c r="Q9" s="84"/>
    </row>
    <row r="10" spans="1:17" ht="5.0999999999999996" customHeight="1" x14ac:dyDescent="0.25">
      <c r="A10" s="2"/>
      <c r="B10" s="93"/>
      <c r="C10" s="98"/>
      <c r="D10" s="2"/>
      <c r="E10" s="12"/>
      <c r="F10" s="39"/>
      <c r="G10" s="12"/>
      <c r="H10" s="8"/>
      <c r="I10" s="12"/>
      <c r="J10" s="39"/>
      <c r="K10" s="12"/>
      <c r="L10" s="10"/>
      <c r="Q10" s="84"/>
    </row>
    <row r="11" spans="1:17" ht="15.95" customHeight="1" x14ac:dyDescent="0.2">
      <c r="A11" s="2"/>
      <c r="B11" s="93"/>
      <c r="C11" s="99"/>
      <c r="D11" s="57" t="s">
        <v>5</v>
      </c>
      <c r="E11" s="12"/>
      <c r="F11" s="31">
        <v>10000</v>
      </c>
      <c r="G11" s="12"/>
      <c r="H11" s="61" t="s">
        <v>19</v>
      </c>
      <c r="I11" s="12"/>
      <c r="J11" s="34" t="s">
        <v>7</v>
      </c>
      <c r="K11" s="12"/>
      <c r="L11" s="13" t="s">
        <v>6</v>
      </c>
      <c r="Q11" s="84"/>
    </row>
    <row r="12" spans="1:17" ht="5.0999999999999996" customHeight="1" thickBot="1" x14ac:dyDescent="0.3">
      <c r="A12" s="2"/>
      <c r="B12" s="94"/>
      <c r="C12" s="100"/>
      <c r="D12" s="14"/>
      <c r="E12" s="19"/>
      <c r="F12" s="43"/>
      <c r="G12" s="19"/>
      <c r="H12" s="18"/>
      <c r="I12" s="19"/>
      <c r="J12" s="43"/>
      <c r="K12" s="19"/>
      <c r="L12" s="15"/>
      <c r="Q12" s="84"/>
    </row>
    <row r="13" spans="1:17" ht="21.95" customHeight="1" x14ac:dyDescent="0.25">
      <c r="A13" s="2"/>
      <c r="B13" s="93" t="s">
        <v>4</v>
      </c>
      <c r="C13" s="2"/>
      <c r="D13" s="2"/>
      <c r="E13" s="2"/>
      <c r="F13" s="37"/>
      <c r="G13" s="2"/>
      <c r="H13" s="2"/>
      <c r="I13" s="2"/>
      <c r="J13" s="37"/>
      <c r="K13" s="2"/>
      <c r="L13" s="10"/>
      <c r="Q13" s="84"/>
    </row>
    <row r="14" spans="1:17" ht="18" customHeight="1" x14ac:dyDescent="0.25">
      <c r="A14" s="2"/>
      <c r="B14" s="93"/>
      <c r="C14" s="2"/>
      <c r="D14" s="2"/>
      <c r="E14" s="2"/>
      <c r="F14" s="37"/>
      <c r="G14" s="2"/>
      <c r="H14" s="2"/>
      <c r="I14" s="2"/>
      <c r="J14" s="37"/>
      <c r="K14" s="2"/>
      <c r="L14" s="10"/>
      <c r="Q14" s="84"/>
    </row>
    <row r="15" spans="1:17" ht="17.100000000000001" customHeight="1" x14ac:dyDescent="0.2">
      <c r="A15" s="2"/>
      <c r="B15" s="93"/>
      <c r="C15" s="5"/>
      <c r="D15" s="6"/>
      <c r="E15" s="95" t="s">
        <v>1</v>
      </c>
      <c r="F15" s="96"/>
      <c r="G15" s="97"/>
      <c r="H15" s="4" t="s">
        <v>2</v>
      </c>
      <c r="I15" s="95" t="s">
        <v>3</v>
      </c>
      <c r="J15" s="96"/>
      <c r="K15" s="97"/>
      <c r="L15" s="11" t="s">
        <v>2</v>
      </c>
      <c r="Q15" s="84"/>
    </row>
    <row r="16" spans="1:17" ht="5.0999999999999996" customHeight="1" x14ac:dyDescent="0.25">
      <c r="A16" s="2"/>
      <c r="B16" s="93"/>
      <c r="C16" s="98"/>
      <c r="D16" s="2"/>
      <c r="E16" s="12"/>
      <c r="F16" s="39"/>
      <c r="G16" s="12"/>
      <c r="H16" s="8"/>
      <c r="I16" s="12"/>
      <c r="J16" s="39"/>
      <c r="K16" s="12"/>
      <c r="L16" s="10"/>
      <c r="Q16" s="84"/>
    </row>
    <row r="17" spans="1:17" ht="15.95" customHeight="1" x14ac:dyDescent="0.2">
      <c r="A17" s="2"/>
      <c r="B17" s="93"/>
      <c r="C17" s="99"/>
      <c r="D17" s="57" t="s">
        <v>5</v>
      </c>
      <c r="E17" s="12"/>
      <c r="F17" s="31">
        <v>10000</v>
      </c>
      <c r="G17" s="12"/>
      <c r="H17" s="61" t="s">
        <v>6</v>
      </c>
      <c r="I17" s="12"/>
      <c r="J17" s="25" t="s">
        <v>7</v>
      </c>
      <c r="K17" s="12"/>
      <c r="L17" s="13" t="s">
        <v>6</v>
      </c>
      <c r="Q17" s="84"/>
    </row>
    <row r="18" spans="1:17" ht="5.0999999999999996" customHeight="1" thickBot="1" x14ac:dyDescent="0.3">
      <c r="A18" s="2"/>
      <c r="B18" s="101"/>
      <c r="C18" s="102"/>
      <c r="D18" s="77"/>
      <c r="E18" s="78"/>
      <c r="F18" s="79"/>
      <c r="G18" s="78"/>
      <c r="H18" s="80"/>
      <c r="I18" s="78"/>
      <c r="J18" s="79"/>
      <c r="K18" s="78"/>
      <c r="L18" s="81"/>
      <c r="Q18" s="84"/>
    </row>
    <row r="19" spans="1:17" ht="9" customHeight="1" x14ac:dyDescent="0.25">
      <c r="A19" s="2"/>
      <c r="B19" s="2"/>
      <c r="C19" s="2"/>
      <c r="D19" s="2"/>
      <c r="E19" s="2"/>
      <c r="F19" s="37"/>
      <c r="G19" s="2"/>
      <c r="H19" s="2"/>
      <c r="I19" s="2"/>
      <c r="J19" s="37"/>
      <c r="K19" s="2"/>
      <c r="L19" s="2"/>
      <c r="Q19" s="84"/>
    </row>
    <row r="20" spans="1:17" ht="24.6" customHeight="1" x14ac:dyDescent="0.25">
      <c r="A20" s="2"/>
      <c r="B20" s="2"/>
      <c r="C20" s="2"/>
      <c r="D20" s="2"/>
      <c r="E20" s="2"/>
      <c r="F20" s="37"/>
      <c r="G20" s="2"/>
      <c r="H20" s="2"/>
      <c r="I20" s="2"/>
      <c r="J20" s="37"/>
      <c r="K20" s="2"/>
      <c r="L20" s="2"/>
      <c r="Q20" s="22"/>
    </row>
    <row r="21" spans="1:17" ht="15" customHeight="1" thickBot="1" x14ac:dyDescent="0.3">
      <c r="A21" s="2"/>
      <c r="B21" s="2"/>
      <c r="C21" s="2"/>
      <c r="D21" s="2"/>
      <c r="E21" s="2"/>
      <c r="F21" s="37"/>
      <c r="G21" s="2"/>
      <c r="H21" s="2"/>
      <c r="I21" s="2"/>
      <c r="J21" s="37"/>
      <c r="K21" s="2"/>
      <c r="L21" s="2"/>
      <c r="Q21" s="23" t="s">
        <v>18</v>
      </c>
    </row>
    <row r="22" spans="1:17" ht="28.35" customHeight="1" x14ac:dyDescent="0.2">
      <c r="A22" s="2"/>
      <c r="B22" s="103" t="s">
        <v>9</v>
      </c>
      <c r="C22" s="104"/>
      <c r="D22" s="104"/>
      <c r="E22" s="104"/>
      <c r="F22" s="104"/>
      <c r="G22" s="104"/>
      <c r="H22" s="104"/>
      <c r="I22" s="104"/>
      <c r="J22" s="104"/>
      <c r="K22" s="104"/>
      <c r="L22" s="105"/>
      <c r="Q22" s="84" t="s">
        <v>120</v>
      </c>
    </row>
    <row r="23" spans="1:17" ht="28.35" customHeight="1" x14ac:dyDescent="0.2">
      <c r="A23" s="2"/>
      <c r="B23" s="106"/>
      <c r="C23" s="107"/>
      <c r="D23" s="107"/>
      <c r="E23" s="107"/>
      <c r="F23" s="107"/>
      <c r="G23" s="107"/>
      <c r="H23" s="107"/>
      <c r="I23" s="107"/>
      <c r="J23" s="107"/>
      <c r="K23" s="107"/>
      <c r="L23" s="108"/>
      <c r="Q23" s="84"/>
    </row>
    <row r="24" spans="1:17" ht="18" customHeight="1" x14ac:dyDescent="0.25">
      <c r="A24" s="2"/>
      <c r="B24" s="109" t="s">
        <v>4</v>
      </c>
      <c r="C24" s="2"/>
      <c r="D24" s="2"/>
      <c r="E24" s="2"/>
      <c r="F24" s="37"/>
      <c r="G24" s="2"/>
      <c r="H24" s="2"/>
      <c r="I24" s="2"/>
      <c r="J24" s="37"/>
      <c r="K24" s="2"/>
      <c r="L24" s="10"/>
      <c r="Q24" s="84"/>
    </row>
    <row r="25" spans="1:17" ht="17.100000000000001" customHeight="1" x14ac:dyDescent="0.2">
      <c r="A25" s="2"/>
      <c r="B25" s="93"/>
      <c r="C25" s="5"/>
      <c r="D25" s="6"/>
      <c r="E25" s="95" t="s">
        <v>1</v>
      </c>
      <c r="F25" s="96"/>
      <c r="G25" s="97"/>
      <c r="H25" s="4" t="s">
        <v>2</v>
      </c>
      <c r="I25" s="95" t="s">
        <v>3</v>
      </c>
      <c r="J25" s="96"/>
      <c r="K25" s="97"/>
      <c r="L25" s="11" t="s">
        <v>2</v>
      </c>
      <c r="Q25" s="84"/>
    </row>
    <row r="26" spans="1:17" ht="5.0999999999999996" customHeight="1" x14ac:dyDescent="0.25">
      <c r="A26" s="2"/>
      <c r="B26" s="93"/>
      <c r="C26" s="99"/>
      <c r="D26" s="2"/>
      <c r="E26" s="12"/>
      <c r="F26" s="39"/>
      <c r="G26" s="12"/>
      <c r="H26" s="9"/>
      <c r="I26" s="12"/>
      <c r="J26" s="39"/>
      <c r="K26" s="12"/>
      <c r="L26" s="10"/>
      <c r="Q26" s="84"/>
    </row>
    <row r="27" spans="1:17" ht="15.95" customHeight="1" x14ac:dyDescent="0.2">
      <c r="A27" s="2"/>
      <c r="B27" s="93"/>
      <c r="C27" s="99"/>
      <c r="D27" s="57" t="s">
        <v>117</v>
      </c>
      <c r="E27" s="12"/>
      <c r="F27" s="41">
        <v>10000</v>
      </c>
      <c r="G27" s="12"/>
      <c r="H27" s="61" t="s">
        <v>6</v>
      </c>
      <c r="I27" s="12"/>
      <c r="J27" s="44" t="s">
        <v>7</v>
      </c>
      <c r="K27" s="12"/>
      <c r="L27" s="13" t="s">
        <v>6</v>
      </c>
      <c r="Q27" s="84"/>
    </row>
    <row r="28" spans="1:17" ht="5.0999999999999996" customHeight="1" x14ac:dyDescent="0.25">
      <c r="A28" s="2"/>
      <c r="B28" s="93"/>
      <c r="C28" s="110"/>
      <c r="D28" s="58"/>
      <c r="E28" s="7"/>
      <c r="F28" s="40"/>
      <c r="G28" s="7"/>
      <c r="H28" s="6"/>
      <c r="I28" s="7"/>
      <c r="J28" s="40"/>
      <c r="K28" s="7"/>
      <c r="L28" s="59"/>
      <c r="Q28" s="84"/>
    </row>
    <row r="29" spans="1:17" ht="5.0999999999999996" customHeight="1" x14ac:dyDescent="0.25">
      <c r="A29" s="2"/>
      <c r="B29" s="93"/>
      <c r="C29" s="99"/>
      <c r="D29" s="2"/>
      <c r="E29" s="12"/>
      <c r="F29" s="39"/>
      <c r="G29" s="12"/>
      <c r="H29" s="9"/>
      <c r="I29" s="12"/>
      <c r="J29" s="39"/>
      <c r="K29" s="12"/>
      <c r="L29" s="10"/>
      <c r="Q29" s="84"/>
    </row>
    <row r="30" spans="1:17" ht="15.95" customHeight="1" x14ac:dyDescent="0.25">
      <c r="A30" s="2"/>
      <c r="B30" s="93"/>
      <c r="C30" s="99"/>
      <c r="D30" s="57" t="s">
        <v>118</v>
      </c>
      <c r="E30" s="12"/>
      <c r="F30" s="30">
        <v>10000</v>
      </c>
      <c r="G30" s="12"/>
      <c r="H30" s="61" t="s">
        <v>21</v>
      </c>
      <c r="I30" s="12"/>
      <c r="J30" s="45" t="s">
        <v>7</v>
      </c>
      <c r="K30" s="12"/>
      <c r="L30" s="13" t="s">
        <v>19</v>
      </c>
      <c r="Q30" s="24"/>
    </row>
    <row r="31" spans="1:17" ht="5.0999999999999996" customHeight="1" x14ac:dyDescent="0.25">
      <c r="A31" s="2"/>
      <c r="B31" s="93"/>
      <c r="C31" s="110"/>
      <c r="D31" s="58"/>
      <c r="E31" s="7"/>
      <c r="F31" s="40"/>
      <c r="G31" s="7"/>
      <c r="H31" s="6"/>
      <c r="I31" s="7"/>
      <c r="J31" s="40"/>
      <c r="K31" s="7"/>
      <c r="L31" s="59"/>
    </row>
    <row r="32" spans="1:17" ht="5.0999999999999996" customHeight="1" x14ac:dyDescent="0.25">
      <c r="A32" s="2"/>
      <c r="B32" s="93"/>
      <c r="C32" s="99"/>
      <c r="D32" s="2"/>
      <c r="E32" s="12"/>
      <c r="F32" s="39"/>
      <c r="G32" s="12"/>
      <c r="H32" s="9"/>
      <c r="I32" s="12"/>
      <c r="J32" s="39"/>
      <c r="K32" s="12"/>
      <c r="L32" s="10"/>
    </row>
    <row r="33" spans="1:12" ht="15.95" customHeight="1" x14ac:dyDescent="0.2">
      <c r="A33" s="2"/>
      <c r="B33" s="93"/>
      <c r="C33" s="99"/>
      <c r="D33" s="57" t="s">
        <v>10</v>
      </c>
      <c r="E33" s="12"/>
      <c r="F33" s="41">
        <v>10000</v>
      </c>
      <c r="G33" s="12"/>
      <c r="H33" s="61" t="s">
        <v>6</v>
      </c>
      <c r="I33" s="12"/>
      <c r="J33" s="44" t="s">
        <v>7</v>
      </c>
      <c r="K33" s="12"/>
      <c r="L33" s="13" t="s">
        <v>6</v>
      </c>
    </row>
    <row r="34" spans="1:12" ht="5.0999999999999996" customHeight="1" x14ac:dyDescent="0.25">
      <c r="A34" s="2"/>
      <c r="B34" s="93"/>
      <c r="C34" s="110"/>
      <c r="D34" s="58"/>
      <c r="E34" s="7"/>
      <c r="F34" s="40"/>
      <c r="G34" s="7"/>
      <c r="H34" s="6"/>
      <c r="I34" s="7"/>
      <c r="J34" s="40"/>
      <c r="K34" s="7"/>
      <c r="L34" s="59"/>
    </row>
    <row r="35" spans="1:12" ht="5.0999999999999996" customHeight="1" x14ac:dyDescent="0.25">
      <c r="A35" s="2"/>
      <c r="B35" s="93"/>
      <c r="C35" s="99"/>
      <c r="D35" s="2"/>
      <c r="E35" s="12"/>
      <c r="F35" s="39"/>
      <c r="G35" s="12"/>
      <c r="H35" s="9"/>
      <c r="I35" s="12"/>
      <c r="J35" s="39"/>
      <c r="K35" s="12"/>
      <c r="L35" s="10"/>
    </row>
    <row r="36" spans="1:12" ht="15.95" customHeight="1" x14ac:dyDescent="0.2">
      <c r="A36" s="2"/>
      <c r="B36" s="93"/>
      <c r="C36" s="99"/>
      <c r="D36" s="57" t="s">
        <v>11</v>
      </c>
      <c r="E36" s="12"/>
      <c r="F36" s="26">
        <v>10000</v>
      </c>
      <c r="G36" s="12"/>
      <c r="H36" s="61" t="s">
        <v>20</v>
      </c>
      <c r="I36" s="12"/>
      <c r="J36" s="44" t="s">
        <v>7</v>
      </c>
      <c r="K36" s="12"/>
      <c r="L36" s="13" t="s">
        <v>19</v>
      </c>
    </row>
    <row r="37" spans="1:12" ht="5.0999999999999996" customHeight="1" x14ac:dyDescent="0.25">
      <c r="A37" s="2"/>
      <c r="B37" s="93"/>
      <c r="C37" s="110"/>
      <c r="D37" s="58"/>
      <c r="E37" s="7"/>
      <c r="F37" s="40"/>
      <c r="G37" s="7"/>
      <c r="H37" s="6"/>
      <c r="I37" s="7"/>
      <c r="J37" s="40"/>
      <c r="K37" s="7"/>
      <c r="L37" s="59"/>
    </row>
    <row r="38" spans="1:12" ht="5.0999999999999996" customHeight="1" x14ac:dyDescent="0.25">
      <c r="A38" s="2"/>
      <c r="B38" s="93"/>
      <c r="C38" s="99"/>
      <c r="D38" s="2"/>
      <c r="E38" s="12"/>
      <c r="F38" s="39"/>
      <c r="G38" s="12"/>
      <c r="H38" s="9"/>
      <c r="I38" s="12"/>
      <c r="J38" s="39"/>
      <c r="K38" s="12"/>
      <c r="L38" s="10"/>
    </row>
    <row r="39" spans="1:12" ht="15.95" customHeight="1" x14ac:dyDescent="0.25">
      <c r="A39" s="2"/>
      <c r="B39" s="93"/>
      <c r="C39" s="99"/>
      <c r="D39" s="57" t="s">
        <v>12</v>
      </c>
      <c r="E39" s="12"/>
      <c r="F39" s="39"/>
      <c r="G39" s="12"/>
      <c r="H39" s="9"/>
      <c r="I39" s="12"/>
      <c r="J39" s="39"/>
      <c r="K39" s="12"/>
      <c r="L39" s="10"/>
    </row>
    <row r="40" spans="1:12" ht="5.0999999999999996" customHeight="1" x14ac:dyDescent="0.25">
      <c r="A40" s="2"/>
      <c r="B40" s="93"/>
      <c r="C40" s="56"/>
      <c r="D40" s="57"/>
      <c r="E40" s="12"/>
      <c r="F40" s="39"/>
      <c r="G40" s="12"/>
      <c r="H40" s="9"/>
      <c r="I40" s="12"/>
      <c r="J40" s="39"/>
      <c r="K40" s="12"/>
      <c r="L40" s="10"/>
    </row>
    <row r="41" spans="1:12" ht="15.95" customHeight="1" x14ac:dyDescent="0.2">
      <c r="A41" s="2"/>
      <c r="B41" s="93"/>
      <c r="C41" s="56"/>
      <c r="D41" s="33" t="s">
        <v>22</v>
      </c>
      <c r="E41" s="12"/>
      <c r="F41" s="30">
        <v>10000</v>
      </c>
      <c r="G41" s="12"/>
      <c r="H41" s="61" t="s">
        <v>21</v>
      </c>
      <c r="I41" s="12"/>
      <c r="J41" s="44" t="s">
        <v>7</v>
      </c>
      <c r="K41" s="12"/>
      <c r="L41" s="13" t="s">
        <v>19</v>
      </c>
    </row>
    <row r="42" spans="1:12" ht="5.0999999999999996" customHeight="1" x14ac:dyDescent="0.25">
      <c r="A42" s="2"/>
      <c r="B42" s="93"/>
      <c r="C42" s="56"/>
      <c r="D42" s="32"/>
      <c r="E42" s="7"/>
      <c r="F42" s="40"/>
      <c r="G42" s="7"/>
      <c r="H42" s="6"/>
      <c r="I42" s="7"/>
      <c r="J42" s="40"/>
      <c r="K42" s="7"/>
      <c r="L42" s="59"/>
    </row>
    <row r="43" spans="1:12" ht="5.0999999999999996" customHeight="1" x14ac:dyDescent="0.25">
      <c r="A43" s="2"/>
      <c r="B43" s="93"/>
      <c r="C43" s="56"/>
      <c r="D43" s="57"/>
      <c r="E43" s="12"/>
      <c r="F43" s="39"/>
      <c r="G43" s="12"/>
      <c r="H43" s="9"/>
      <c r="I43" s="12"/>
      <c r="J43" s="39"/>
      <c r="K43" s="12"/>
      <c r="L43" s="10"/>
    </row>
    <row r="44" spans="1:12" ht="15.95" customHeight="1" x14ac:dyDescent="0.2">
      <c r="A44" s="2"/>
      <c r="B44" s="93"/>
      <c r="C44" s="56"/>
      <c r="D44" s="33" t="s">
        <v>121</v>
      </c>
      <c r="E44" s="12"/>
      <c r="F44" s="30">
        <v>10000</v>
      </c>
      <c r="G44" s="12"/>
      <c r="H44" s="61" t="s">
        <v>21</v>
      </c>
      <c r="I44" s="12"/>
      <c r="J44" s="44" t="s">
        <v>7</v>
      </c>
      <c r="K44" s="12"/>
      <c r="L44" s="13" t="s">
        <v>19</v>
      </c>
    </row>
    <row r="45" spans="1:12" ht="5.0999999999999996" customHeight="1" x14ac:dyDescent="0.25">
      <c r="A45" s="2"/>
      <c r="B45" s="93"/>
      <c r="C45" s="56"/>
      <c r="D45" s="32"/>
      <c r="E45" s="7"/>
      <c r="F45" s="40"/>
      <c r="G45" s="7"/>
      <c r="H45" s="6"/>
      <c r="I45" s="7"/>
      <c r="J45" s="40"/>
      <c r="K45" s="7"/>
      <c r="L45" s="59"/>
    </row>
    <row r="46" spans="1:12" ht="5.0999999999999996" customHeight="1" x14ac:dyDescent="0.25">
      <c r="A46" s="2"/>
      <c r="B46" s="93"/>
      <c r="C46" s="56"/>
      <c r="D46" s="57"/>
      <c r="E46" s="12"/>
      <c r="F46" s="39"/>
      <c r="G46" s="12"/>
      <c r="H46" s="9"/>
      <c r="I46" s="12"/>
      <c r="J46" s="39"/>
      <c r="K46" s="12"/>
      <c r="L46" s="10"/>
    </row>
    <row r="47" spans="1:12" ht="15.95" customHeight="1" x14ac:dyDescent="0.2">
      <c r="A47" s="2"/>
      <c r="B47" s="93"/>
      <c r="C47" s="56"/>
      <c r="D47" s="33" t="s">
        <v>122</v>
      </c>
      <c r="E47" s="12"/>
      <c r="F47" s="30">
        <v>10000</v>
      </c>
      <c r="G47" s="12"/>
      <c r="H47" s="61" t="s">
        <v>21</v>
      </c>
      <c r="I47" s="12"/>
      <c r="J47" s="44" t="s">
        <v>7</v>
      </c>
      <c r="K47" s="12"/>
      <c r="L47" s="13" t="s">
        <v>19</v>
      </c>
    </row>
    <row r="48" spans="1:12" ht="5.0999999999999996" customHeight="1" x14ac:dyDescent="0.25">
      <c r="A48" s="2"/>
      <c r="B48" s="93"/>
      <c r="C48" s="56"/>
      <c r="D48" s="32"/>
      <c r="E48" s="7"/>
      <c r="F48" s="40"/>
      <c r="G48" s="7"/>
      <c r="H48" s="6"/>
      <c r="I48" s="7"/>
      <c r="J48" s="40"/>
      <c r="K48" s="7"/>
      <c r="L48" s="59"/>
    </row>
    <row r="49" spans="1:12" ht="5.0999999999999996" customHeight="1" x14ac:dyDescent="0.25">
      <c r="A49" s="2"/>
      <c r="B49" s="93"/>
      <c r="C49" s="56"/>
      <c r="D49" s="57"/>
      <c r="E49" s="12"/>
      <c r="F49" s="39"/>
      <c r="G49" s="12"/>
      <c r="H49" s="9"/>
      <c r="I49" s="12"/>
      <c r="J49" s="39"/>
      <c r="K49" s="12"/>
      <c r="L49" s="10"/>
    </row>
    <row r="50" spans="1:12" ht="15.95" customHeight="1" x14ac:dyDescent="0.2">
      <c r="A50" s="2"/>
      <c r="B50" s="93"/>
      <c r="C50" s="56"/>
      <c r="D50" s="33" t="s">
        <v>123</v>
      </c>
      <c r="E50" s="12"/>
      <c r="F50" s="30">
        <v>10000</v>
      </c>
      <c r="G50" s="12"/>
      <c r="H50" s="61" t="s">
        <v>21</v>
      </c>
      <c r="I50" s="12"/>
      <c r="J50" s="44" t="s">
        <v>7</v>
      </c>
      <c r="K50" s="12"/>
      <c r="L50" s="13" t="s">
        <v>19</v>
      </c>
    </row>
    <row r="51" spans="1:12" ht="5.0999999999999996" customHeight="1" x14ac:dyDescent="0.25">
      <c r="A51" s="2"/>
      <c r="B51" s="93"/>
      <c r="C51" s="56"/>
      <c r="D51" s="32"/>
      <c r="E51" s="7"/>
      <c r="F51" s="40"/>
      <c r="G51" s="7"/>
      <c r="H51" s="6"/>
      <c r="I51" s="7"/>
      <c r="J51" s="40"/>
      <c r="K51" s="7"/>
      <c r="L51" s="59"/>
    </row>
    <row r="52" spans="1:12" ht="5.0999999999999996" customHeight="1" x14ac:dyDescent="0.25">
      <c r="A52" s="2"/>
      <c r="B52" s="93"/>
      <c r="C52" s="56"/>
      <c r="D52" s="57"/>
      <c r="E52" s="12"/>
      <c r="F52" s="39"/>
      <c r="G52" s="12"/>
      <c r="H52" s="9"/>
      <c r="I52" s="12"/>
      <c r="J52" s="39"/>
      <c r="K52" s="12"/>
      <c r="L52" s="10"/>
    </row>
    <row r="53" spans="1:12" ht="15.95" customHeight="1" x14ac:dyDescent="0.2">
      <c r="A53" s="2"/>
      <c r="B53" s="93"/>
      <c r="C53" s="56"/>
      <c r="D53" s="33" t="s">
        <v>124</v>
      </c>
      <c r="E53" s="12"/>
      <c r="F53" s="30">
        <v>10000</v>
      </c>
      <c r="G53" s="12"/>
      <c r="H53" s="61" t="s">
        <v>21</v>
      </c>
      <c r="I53" s="12"/>
      <c r="J53" s="44" t="s">
        <v>7</v>
      </c>
      <c r="K53" s="12"/>
      <c r="L53" s="13" t="s">
        <v>19</v>
      </c>
    </row>
    <row r="54" spans="1:12" ht="5.0999999999999996" customHeight="1" x14ac:dyDescent="0.25">
      <c r="A54" s="2"/>
      <c r="B54" s="93"/>
      <c r="C54" s="56"/>
      <c r="D54" s="32"/>
      <c r="E54" s="7"/>
      <c r="F54" s="40"/>
      <c r="G54" s="7"/>
      <c r="H54" s="6"/>
      <c r="I54" s="7"/>
      <c r="J54" s="40"/>
      <c r="K54" s="7"/>
      <c r="L54" s="59"/>
    </row>
    <row r="55" spans="1:12" ht="5.0999999999999996" customHeight="1" x14ac:dyDescent="0.25">
      <c r="A55" s="2"/>
      <c r="B55" s="93"/>
      <c r="C55" s="56"/>
      <c r="D55" s="57"/>
      <c r="E55" s="12"/>
      <c r="F55" s="39"/>
      <c r="G55" s="12"/>
      <c r="H55" s="9"/>
      <c r="I55" s="12"/>
      <c r="J55" s="39"/>
      <c r="K55" s="12"/>
      <c r="L55" s="10"/>
    </row>
    <row r="56" spans="1:12" ht="15.95" customHeight="1" x14ac:dyDescent="0.2">
      <c r="A56" s="2"/>
      <c r="B56" s="93"/>
      <c r="C56" s="56"/>
      <c r="D56" s="33" t="s">
        <v>125</v>
      </c>
      <c r="E56" s="12"/>
      <c r="F56" s="30">
        <v>10000</v>
      </c>
      <c r="G56" s="12"/>
      <c r="H56" s="61" t="s">
        <v>21</v>
      </c>
      <c r="I56" s="12"/>
      <c r="J56" s="44" t="s">
        <v>7</v>
      </c>
      <c r="K56" s="12"/>
      <c r="L56" s="13" t="s">
        <v>19</v>
      </c>
    </row>
    <row r="57" spans="1:12" ht="5.0999999999999996" customHeight="1" x14ac:dyDescent="0.25">
      <c r="A57" s="2"/>
      <c r="B57" s="93"/>
      <c r="C57" s="56"/>
      <c r="D57" s="32"/>
      <c r="E57" s="7"/>
      <c r="F57" s="40"/>
      <c r="G57" s="7"/>
      <c r="H57" s="6"/>
      <c r="I57" s="7"/>
      <c r="J57" s="40"/>
      <c r="K57" s="7"/>
      <c r="L57" s="59"/>
    </row>
    <row r="58" spans="1:12" ht="5.0999999999999996" customHeight="1" x14ac:dyDescent="0.25">
      <c r="A58" s="2"/>
      <c r="B58" s="93"/>
      <c r="C58" s="56"/>
      <c r="D58" s="57"/>
      <c r="E58" s="12"/>
      <c r="F58" s="39"/>
      <c r="G58" s="12"/>
      <c r="H58" s="9"/>
      <c r="I58" s="12"/>
      <c r="J58" s="39"/>
      <c r="K58" s="12"/>
      <c r="L58" s="10"/>
    </row>
    <row r="59" spans="1:12" ht="15.95" customHeight="1" x14ac:dyDescent="0.2">
      <c r="A59" s="2"/>
      <c r="B59" s="93"/>
      <c r="C59" s="56"/>
      <c r="D59" s="33" t="s">
        <v>126</v>
      </c>
      <c r="E59" s="12"/>
      <c r="F59" s="62">
        <v>10000</v>
      </c>
      <c r="G59" s="12"/>
      <c r="H59" s="61" t="s">
        <v>21</v>
      </c>
      <c r="I59" s="12"/>
      <c r="J59" s="44" t="s">
        <v>7</v>
      </c>
      <c r="K59" s="12"/>
      <c r="L59" s="13" t="s">
        <v>19</v>
      </c>
    </row>
    <row r="60" spans="1:12" ht="5.0999999999999996" customHeight="1" x14ac:dyDescent="0.25">
      <c r="A60" s="2"/>
      <c r="B60" s="93"/>
      <c r="C60" s="56"/>
      <c r="D60" s="32"/>
      <c r="E60" s="7"/>
      <c r="F60" s="40"/>
      <c r="G60" s="7"/>
      <c r="H60" s="6"/>
      <c r="I60" s="7"/>
      <c r="J60" s="40"/>
      <c r="K60" s="7"/>
      <c r="L60" s="59"/>
    </row>
    <row r="61" spans="1:12" ht="5.0999999999999996" customHeight="1" x14ac:dyDescent="0.25">
      <c r="A61" s="2"/>
      <c r="B61" s="93"/>
      <c r="C61" s="56"/>
      <c r="D61" s="57"/>
      <c r="E61" s="12"/>
      <c r="F61" s="39"/>
      <c r="G61" s="12"/>
      <c r="H61" s="9"/>
      <c r="I61" s="12"/>
      <c r="J61" s="39"/>
      <c r="K61" s="12"/>
      <c r="L61" s="10"/>
    </row>
    <row r="62" spans="1:12" ht="15.95" customHeight="1" x14ac:dyDescent="0.2">
      <c r="A62" s="2"/>
      <c r="B62" s="93"/>
      <c r="C62" s="56"/>
      <c r="D62" s="33" t="s">
        <v>127</v>
      </c>
      <c r="E62" s="12"/>
      <c r="F62" s="62">
        <v>10000</v>
      </c>
      <c r="G62" s="12"/>
      <c r="H62" s="61" t="s">
        <v>21</v>
      </c>
      <c r="I62" s="12"/>
      <c r="J62" s="44" t="s">
        <v>7</v>
      </c>
      <c r="K62" s="12"/>
      <c r="L62" s="13" t="s">
        <v>19</v>
      </c>
    </row>
    <row r="63" spans="1:12" ht="5.0999999999999996" customHeight="1" x14ac:dyDescent="0.25">
      <c r="A63" s="2"/>
      <c r="B63" s="93"/>
      <c r="C63" s="56"/>
      <c r="D63" s="32"/>
      <c r="E63" s="7"/>
      <c r="F63" s="40"/>
      <c r="G63" s="7"/>
      <c r="H63" s="6"/>
      <c r="I63" s="7"/>
      <c r="J63" s="40"/>
      <c r="K63" s="7"/>
      <c r="L63" s="59"/>
    </row>
    <row r="64" spans="1:12" ht="5.0999999999999996" customHeight="1" x14ac:dyDescent="0.25">
      <c r="A64" s="2"/>
      <c r="B64" s="93"/>
      <c r="C64" s="56"/>
      <c r="D64" s="57"/>
      <c r="E64" s="12"/>
      <c r="F64" s="39"/>
      <c r="G64" s="12"/>
      <c r="H64" s="9"/>
      <c r="I64" s="12"/>
      <c r="J64" s="39"/>
      <c r="K64" s="12"/>
      <c r="L64" s="10"/>
    </row>
    <row r="65" spans="1:12" ht="15.95" customHeight="1" x14ac:dyDescent="0.2">
      <c r="A65" s="2"/>
      <c r="B65" s="93"/>
      <c r="C65" s="56"/>
      <c r="D65" s="33" t="s">
        <v>128</v>
      </c>
      <c r="E65" s="12"/>
      <c r="F65" s="30">
        <v>10000</v>
      </c>
      <c r="G65" s="12"/>
      <c r="H65" s="61" t="s">
        <v>21</v>
      </c>
      <c r="I65" s="12"/>
      <c r="J65" s="44" t="s">
        <v>7</v>
      </c>
      <c r="K65" s="12"/>
      <c r="L65" s="13" t="s">
        <v>19</v>
      </c>
    </row>
    <row r="66" spans="1:12" ht="5.0999999999999996" customHeight="1" x14ac:dyDescent="0.25">
      <c r="A66" s="2"/>
      <c r="B66" s="93"/>
      <c r="C66" s="56"/>
      <c r="D66" s="32"/>
      <c r="E66" s="7"/>
      <c r="F66" s="40"/>
      <c r="G66" s="7"/>
      <c r="H66" s="6"/>
      <c r="I66" s="7"/>
      <c r="J66" s="40"/>
      <c r="K66" s="7"/>
      <c r="L66" s="59"/>
    </row>
    <row r="67" spans="1:12" ht="5.0999999999999996" customHeight="1" x14ac:dyDescent="0.25">
      <c r="A67" s="2"/>
      <c r="B67" s="93"/>
      <c r="C67" s="56"/>
      <c r="D67" s="57"/>
      <c r="E67" s="12"/>
      <c r="F67" s="39"/>
      <c r="G67" s="12"/>
      <c r="H67" s="9"/>
      <c r="I67" s="12"/>
      <c r="J67" s="39"/>
      <c r="K67" s="12"/>
      <c r="L67" s="10"/>
    </row>
    <row r="68" spans="1:12" ht="15.95" customHeight="1" x14ac:dyDescent="0.2">
      <c r="A68" s="2"/>
      <c r="B68" s="93"/>
      <c r="C68" s="56"/>
      <c r="D68" s="33" t="s">
        <v>129</v>
      </c>
      <c r="E68" s="12"/>
      <c r="F68" s="30">
        <v>10000</v>
      </c>
      <c r="G68" s="12"/>
      <c r="H68" s="61" t="s">
        <v>21</v>
      </c>
      <c r="I68" s="12"/>
      <c r="J68" s="44" t="s">
        <v>7</v>
      </c>
      <c r="K68" s="12"/>
      <c r="L68" s="13" t="s">
        <v>19</v>
      </c>
    </row>
    <row r="69" spans="1:12" ht="5.0999999999999996" customHeight="1" x14ac:dyDescent="0.25">
      <c r="A69" s="2"/>
      <c r="B69" s="93"/>
      <c r="C69" s="56"/>
      <c r="D69" s="32"/>
      <c r="E69" s="7"/>
      <c r="F69" s="40"/>
      <c r="G69" s="7"/>
      <c r="H69" s="6"/>
      <c r="I69" s="7"/>
      <c r="J69" s="40"/>
      <c r="K69" s="7"/>
      <c r="L69" s="59"/>
    </row>
    <row r="70" spans="1:12" ht="5.0999999999999996" customHeight="1" x14ac:dyDescent="0.25">
      <c r="A70" s="2"/>
      <c r="B70" s="93"/>
      <c r="C70" s="56"/>
      <c r="D70" s="57"/>
      <c r="E70" s="12"/>
      <c r="F70" s="39"/>
      <c r="G70" s="12"/>
      <c r="H70" s="9"/>
      <c r="I70" s="12"/>
      <c r="J70" s="39"/>
      <c r="K70" s="12"/>
      <c r="L70" s="10"/>
    </row>
    <row r="71" spans="1:12" ht="15.95" customHeight="1" x14ac:dyDescent="0.2">
      <c r="A71" s="2"/>
      <c r="B71" s="93"/>
      <c r="C71" s="56"/>
      <c r="D71" s="33" t="s">
        <v>130</v>
      </c>
      <c r="E71" s="12"/>
      <c r="F71" s="30">
        <v>10000</v>
      </c>
      <c r="G71" s="12"/>
      <c r="H71" s="61" t="s">
        <v>21</v>
      </c>
      <c r="I71" s="12"/>
      <c r="J71" s="44" t="s">
        <v>7</v>
      </c>
      <c r="K71" s="12"/>
      <c r="L71" s="13" t="s">
        <v>19</v>
      </c>
    </row>
    <row r="72" spans="1:12" ht="5.0999999999999996" customHeight="1" x14ac:dyDescent="0.25">
      <c r="A72" s="2"/>
      <c r="B72" s="93"/>
      <c r="C72" s="56"/>
      <c r="D72" s="32"/>
      <c r="E72" s="7"/>
      <c r="F72" s="40"/>
      <c r="G72" s="7"/>
      <c r="H72" s="6"/>
      <c r="I72" s="7"/>
      <c r="J72" s="40"/>
      <c r="K72" s="7"/>
      <c r="L72" s="59"/>
    </row>
    <row r="73" spans="1:12" ht="5.0999999999999996" customHeight="1" x14ac:dyDescent="0.25">
      <c r="A73" s="2"/>
      <c r="B73" s="93"/>
      <c r="C73" s="56"/>
      <c r="D73" s="57"/>
      <c r="E73" s="12"/>
      <c r="F73" s="39"/>
      <c r="G73" s="12"/>
      <c r="H73" s="9"/>
      <c r="I73" s="12"/>
      <c r="J73" s="39"/>
      <c r="K73" s="12"/>
      <c r="L73" s="10"/>
    </row>
    <row r="74" spans="1:12" ht="15.95" customHeight="1" x14ac:dyDescent="0.2">
      <c r="A74" s="2"/>
      <c r="B74" s="93"/>
      <c r="C74" s="56"/>
      <c r="D74" s="33" t="s">
        <v>131</v>
      </c>
      <c r="E74" s="12"/>
      <c r="F74" s="30">
        <v>10000</v>
      </c>
      <c r="G74" s="12"/>
      <c r="H74" s="61" t="s">
        <v>21</v>
      </c>
      <c r="I74" s="12"/>
      <c r="J74" s="44" t="s">
        <v>7</v>
      </c>
      <c r="K74" s="12"/>
      <c r="L74" s="13" t="s">
        <v>19</v>
      </c>
    </row>
    <row r="75" spans="1:12" ht="5.0999999999999996" customHeight="1" x14ac:dyDescent="0.25">
      <c r="A75" s="2"/>
      <c r="B75" s="93"/>
      <c r="C75" s="56"/>
      <c r="D75" s="32"/>
      <c r="E75" s="7"/>
      <c r="F75" s="40"/>
      <c r="G75" s="7"/>
      <c r="H75" s="6"/>
      <c r="I75" s="7"/>
      <c r="J75" s="40"/>
      <c r="K75" s="7"/>
      <c r="L75" s="59"/>
    </row>
    <row r="76" spans="1:12" ht="5.0999999999999996" customHeight="1" x14ac:dyDescent="0.25">
      <c r="A76" s="2"/>
      <c r="B76" s="93"/>
      <c r="C76" s="56"/>
      <c r="D76" s="57"/>
      <c r="E76" s="12"/>
      <c r="F76" s="39"/>
      <c r="G76" s="12"/>
      <c r="H76" s="9"/>
      <c r="I76" s="12"/>
      <c r="J76" s="39"/>
      <c r="K76" s="12"/>
      <c r="L76" s="10"/>
    </row>
    <row r="77" spans="1:12" ht="15.95" customHeight="1" x14ac:dyDescent="0.2">
      <c r="A77" s="2"/>
      <c r="B77" s="93"/>
      <c r="C77" s="56"/>
      <c r="D77" s="33" t="s">
        <v>132</v>
      </c>
      <c r="E77" s="12"/>
      <c r="F77" s="30">
        <v>10000</v>
      </c>
      <c r="G77" s="12"/>
      <c r="H77" s="61" t="s">
        <v>21</v>
      </c>
      <c r="I77" s="12"/>
      <c r="J77" s="44" t="s">
        <v>7</v>
      </c>
      <c r="K77" s="12"/>
      <c r="L77" s="13" t="s">
        <v>19</v>
      </c>
    </row>
    <row r="78" spans="1:12" ht="5.0999999999999996" customHeight="1" x14ac:dyDescent="0.25">
      <c r="A78" s="2"/>
      <c r="B78" s="93"/>
      <c r="C78" s="56"/>
      <c r="D78" s="32"/>
      <c r="E78" s="7"/>
      <c r="F78" s="40"/>
      <c r="G78" s="7"/>
      <c r="H78" s="6"/>
      <c r="I78" s="7"/>
      <c r="J78" s="40"/>
      <c r="K78" s="7"/>
      <c r="L78" s="59"/>
    </row>
    <row r="79" spans="1:12" ht="5.0999999999999996" customHeight="1" x14ac:dyDescent="0.25">
      <c r="A79" s="2"/>
      <c r="B79" s="93"/>
      <c r="C79" s="56"/>
      <c r="D79" s="57"/>
      <c r="E79" s="12"/>
      <c r="F79" s="39"/>
      <c r="G79" s="12"/>
      <c r="H79" s="9"/>
      <c r="I79" s="12"/>
      <c r="J79" s="39"/>
      <c r="K79" s="12"/>
      <c r="L79" s="10"/>
    </row>
    <row r="80" spans="1:12" ht="15.95" customHeight="1" x14ac:dyDescent="0.2">
      <c r="A80" s="2"/>
      <c r="B80" s="93"/>
      <c r="C80" s="56"/>
      <c r="D80" s="33" t="s">
        <v>133</v>
      </c>
      <c r="E80" s="12"/>
      <c r="F80" s="62">
        <v>10000</v>
      </c>
      <c r="G80" s="12"/>
      <c r="H80" s="61" t="s">
        <v>21</v>
      </c>
      <c r="I80" s="12"/>
      <c r="J80" s="44" t="s">
        <v>7</v>
      </c>
      <c r="K80" s="12"/>
      <c r="L80" s="13" t="s">
        <v>19</v>
      </c>
    </row>
    <row r="81" spans="1:12" ht="5.0999999999999996" customHeight="1" x14ac:dyDescent="0.25">
      <c r="A81" s="2"/>
      <c r="B81" s="93"/>
      <c r="C81" s="56"/>
      <c r="D81" s="32"/>
      <c r="E81" s="7"/>
      <c r="F81" s="40"/>
      <c r="G81" s="7"/>
      <c r="H81" s="6"/>
      <c r="I81" s="7"/>
      <c r="J81" s="40"/>
      <c r="K81" s="7"/>
      <c r="L81" s="59"/>
    </row>
    <row r="82" spans="1:12" ht="5.0999999999999996" customHeight="1" x14ac:dyDescent="0.25">
      <c r="A82" s="2"/>
      <c r="B82" s="93"/>
      <c r="C82" s="56"/>
      <c r="D82" s="57"/>
      <c r="E82" s="12"/>
      <c r="F82" s="39"/>
      <c r="G82" s="12"/>
      <c r="H82" s="9"/>
      <c r="I82" s="12"/>
      <c r="J82" s="39"/>
      <c r="K82" s="12"/>
      <c r="L82" s="10"/>
    </row>
    <row r="83" spans="1:12" ht="15.95" customHeight="1" x14ac:dyDescent="0.2">
      <c r="A83" s="2"/>
      <c r="B83" s="93"/>
      <c r="C83" s="56"/>
      <c r="D83" s="33" t="s">
        <v>134</v>
      </c>
      <c r="E83" s="12"/>
      <c r="F83" s="62">
        <v>10000</v>
      </c>
      <c r="G83" s="12"/>
      <c r="H83" s="61" t="s">
        <v>21</v>
      </c>
      <c r="I83" s="12"/>
      <c r="J83" s="44" t="s">
        <v>7</v>
      </c>
      <c r="K83" s="12"/>
      <c r="L83" s="13" t="s">
        <v>19</v>
      </c>
    </row>
    <row r="84" spans="1:12" ht="5.0999999999999996" customHeight="1" x14ac:dyDescent="0.25">
      <c r="A84" s="2"/>
      <c r="B84" s="93"/>
      <c r="C84" s="56"/>
      <c r="D84" s="32"/>
      <c r="E84" s="7"/>
      <c r="F84" s="40"/>
      <c r="G84" s="7"/>
      <c r="H84" s="6"/>
      <c r="I84" s="7"/>
      <c r="J84" s="40"/>
      <c r="K84" s="7"/>
      <c r="L84" s="59"/>
    </row>
    <row r="85" spans="1:12" ht="5.0999999999999996" customHeight="1" x14ac:dyDescent="0.25">
      <c r="A85" s="2"/>
      <c r="B85" s="93"/>
      <c r="C85" s="56"/>
      <c r="D85" s="57"/>
      <c r="E85" s="12"/>
      <c r="F85" s="39"/>
      <c r="G85" s="12"/>
      <c r="H85" s="9"/>
      <c r="I85" s="12"/>
      <c r="J85" s="39"/>
      <c r="K85" s="12"/>
      <c r="L85" s="10"/>
    </row>
    <row r="86" spans="1:12" ht="15.95" customHeight="1" x14ac:dyDescent="0.2">
      <c r="A86" s="2"/>
      <c r="B86" s="93"/>
      <c r="C86" s="56"/>
      <c r="D86" s="33" t="s">
        <v>135</v>
      </c>
      <c r="E86" s="12"/>
      <c r="F86" s="30">
        <v>10000</v>
      </c>
      <c r="G86" s="12"/>
      <c r="H86" s="61" t="s">
        <v>21</v>
      </c>
      <c r="I86" s="12"/>
      <c r="J86" s="44" t="s">
        <v>7</v>
      </c>
      <c r="K86" s="12"/>
      <c r="L86" s="13" t="s">
        <v>19</v>
      </c>
    </row>
    <row r="87" spans="1:12" ht="5.0999999999999996" customHeight="1" x14ac:dyDescent="0.25">
      <c r="A87" s="2"/>
      <c r="B87" s="93"/>
      <c r="C87" s="56"/>
      <c r="D87" s="32"/>
      <c r="E87" s="7"/>
      <c r="F87" s="40"/>
      <c r="G87" s="7"/>
      <c r="H87" s="6"/>
      <c r="I87" s="7"/>
      <c r="J87" s="40"/>
      <c r="K87" s="7"/>
      <c r="L87" s="59"/>
    </row>
    <row r="88" spans="1:12" ht="5.0999999999999996" customHeight="1" x14ac:dyDescent="0.25">
      <c r="A88" s="2"/>
      <c r="B88" s="93"/>
      <c r="C88" s="56"/>
      <c r="D88" s="57"/>
      <c r="E88" s="12"/>
      <c r="F88" s="39"/>
      <c r="G88" s="12"/>
      <c r="H88" s="9"/>
      <c r="I88" s="12"/>
      <c r="J88" s="39"/>
      <c r="K88" s="12"/>
      <c r="L88" s="10"/>
    </row>
    <row r="89" spans="1:12" ht="15.95" customHeight="1" x14ac:dyDescent="0.2">
      <c r="A89" s="2"/>
      <c r="B89" s="93"/>
      <c r="C89" s="56"/>
      <c r="D89" s="33" t="s">
        <v>136</v>
      </c>
      <c r="E89" s="12"/>
      <c r="F89" s="30">
        <v>10000</v>
      </c>
      <c r="G89" s="12"/>
      <c r="H89" s="61" t="s">
        <v>21</v>
      </c>
      <c r="I89" s="12"/>
      <c r="J89" s="44" t="s">
        <v>7</v>
      </c>
      <c r="K89" s="12"/>
      <c r="L89" s="13" t="s">
        <v>19</v>
      </c>
    </row>
    <row r="90" spans="1:12" ht="5.0999999999999996" customHeight="1" x14ac:dyDescent="0.25">
      <c r="A90" s="2"/>
      <c r="B90" s="93"/>
      <c r="C90" s="56"/>
      <c r="D90" s="32"/>
      <c r="E90" s="7"/>
      <c r="F90" s="40"/>
      <c r="G90" s="7"/>
      <c r="H90" s="6"/>
      <c r="I90" s="7"/>
      <c r="J90" s="40"/>
      <c r="K90" s="7"/>
      <c r="L90" s="59"/>
    </row>
    <row r="91" spans="1:12" ht="5.0999999999999996" customHeight="1" x14ac:dyDescent="0.25">
      <c r="A91" s="2"/>
      <c r="B91" s="93"/>
      <c r="C91" s="56"/>
      <c r="D91" s="57"/>
      <c r="E91" s="12"/>
      <c r="F91" s="39"/>
      <c r="G91" s="12"/>
      <c r="H91" s="9"/>
      <c r="I91" s="12"/>
      <c r="J91" s="39"/>
      <c r="K91" s="12"/>
      <c r="L91" s="10"/>
    </row>
    <row r="92" spans="1:12" ht="15.95" customHeight="1" x14ac:dyDescent="0.2">
      <c r="A92" s="2"/>
      <c r="B92" s="93"/>
      <c r="C92" s="56"/>
      <c r="D92" s="33" t="s">
        <v>137</v>
      </c>
      <c r="E92" s="12"/>
      <c r="F92" s="30">
        <v>10000</v>
      </c>
      <c r="G92" s="12"/>
      <c r="H92" s="61" t="s">
        <v>21</v>
      </c>
      <c r="I92" s="12"/>
      <c r="J92" s="44" t="s">
        <v>7</v>
      </c>
      <c r="K92" s="12"/>
      <c r="L92" s="13" t="s">
        <v>19</v>
      </c>
    </row>
    <row r="93" spans="1:12" ht="5.0999999999999996" customHeight="1" x14ac:dyDescent="0.25">
      <c r="A93" s="2"/>
      <c r="B93" s="93"/>
      <c r="C93" s="56"/>
      <c r="D93" s="32"/>
      <c r="E93" s="7"/>
      <c r="F93" s="40"/>
      <c r="G93" s="7"/>
      <c r="H93" s="6"/>
      <c r="I93" s="7"/>
      <c r="J93" s="40"/>
      <c r="K93" s="7"/>
      <c r="L93" s="59"/>
    </row>
    <row r="94" spans="1:12" ht="4.9000000000000004" customHeight="1" x14ac:dyDescent="0.25">
      <c r="A94" s="2"/>
      <c r="B94" s="93"/>
      <c r="C94" s="56"/>
      <c r="D94" s="57"/>
      <c r="E94" s="12"/>
      <c r="F94" s="39"/>
      <c r="G94" s="12"/>
      <c r="H94" s="9"/>
      <c r="I94" s="12"/>
      <c r="J94" s="39"/>
      <c r="K94" s="12"/>
      <c r="L94" s="10"/>
    </row>
    <row r="95" spans="1:12" ht="15.75" customHeight="1" x14ac:dyDescent="0.2">
      <c r="A95" s="2"/>
      <c r="B95" s="93"/>
      <c r="C95" s="56"/>
      <c r="D95" s="33" t="s">
        <v>138</v>
      </c>
      <c r="E95" s="12"/>
      <c r="F95" s="30">
        <v>10000</v>
      </c>
      <c r="G95" s="12"/>
      <c r="H95" s="61" t="s">
        <v>21</v>
      </c>
      <c r="I95" s="12"/>
      <c r="J95" s="44" t="s">
        <v>7</v>
      </c>
      <c r="K95" s="12"/>
      <c r="L95" s="13" t="s">
        <v>19</v>
      </c>
    </row>
    <row r="96" spans="1:12" ht="4.9000000000000004" customHeight="1" x14ac:dyDescent="0.25">
      <c r="A96" s="2"/>
      <c r="B96" s="93"/>
      <c r="C96" s="56"/>
      <c r="D96" s="32"/>
      <c r="E96" s="7"/>
      <c r="F96" s="40"/>
      <c r="G96" s="7"/>
      <c r="H96" s="6"/>
      <c r="I96" s="7"/>
      <c r="J96" s="40"/>
      <c r="K96" s="7"/>
      <c r="L96" s="59"/>
    </row>
    <row r="97" spans="1:12" ht="4.9000000000000004" customHeight="1" x14ac:dyDescent="0.25">
      <c r="A97" s="2"/>
      <c r="B97" s="93"/>
      <c r="C97" s="56"/>
      <c r="D97" s="57"/>
      <c r="E97" s="12"/>
      <c r="F97" s="39"/>
      <c r="G97" s="12"/>
      <c r="H97" s="9"/>
      <c r="I97" s="12"/>
      <c r="J97" s="39"/>
      <c r="K97" s="12"/>
      <c r="L97" s="10"/>
    </row>
    <row r="98" spans="1:12" ht="15.75" customHeight="1" x14ac:dyDescent="0.2">
      <c r="A98" s="2"/>
      <c r="B98" s="93"/>
      <c r="C98" s="56"/>
      <c r="D98" s="33" t="s">
        <v>139</v>
      </c>
      <c r="E98" s="12"/>
      <c r="F98" s="30">
        <v>10000</v>
      </c>
      <c r="G98" s="12"/>
      <c r="H98" s="61" t="s">
        <v>21</v>
      </c>
      <c r="I98" s="12"/>
      <c r="J98" s="44" t="s">
        <v>7</v>
      </c>
      <c r="K98" s="12"/>
      <c r="L98" s="13" t="s">
        <v>19</v>
      </c>
    </row>
    <row r="99" spans="1:12" ht="4.9000000000000004" customHeight="1" x14ac:dyDescent="0.25">
      <c r="A99" s="2"/>
      <c r="B99" s="93"/>
      <c r="C99" s="56"/>
      <c r="D99" s="32"/>
      <c r="E99" s="7"/>
      <c r="F99" s="40"/>
      <c r="G99" s="7"/>
      <c r="H99" s="6"/>
      <c r="I99" s="7"/>
      <c r="J99" s="40"/>
      <c r="K99" s="7"/>
      <c r="L99" s="59"/>
    </row>
    <row r="100" spans="1:12" ht="4.9000000000000004" customHeight="1" x14ac:dyDescent="0.25">
      <c r="A100" s="2"/>
      <c r="B100" s="93"/>
      <c r="C100" s="56"/>
      <c r="D100" s="57"/>
      <c r="E100" s="12"/>
      <c r="F100" s="39"/>
      <c r="G100" s="12"/>
      <c r="H100" s="9"/>
      <c r="I100" s="12"/>
      <c r="J100" s="39"/>
      <c r="K100" s="12"/>
      <c r="L100" s="10"/>
    </row>
    <row r="101" spans="1:12" ht="15.75" customHeight="1" x14ac:dyDescent="0.2">
      <c r="A101" s="2"/>
      <c r="B101" s="93"/>
      <c r="C101" s="56"/>
      <c r="D101" s="33" t="s">
        <v>140</v>
      </c>
      <c r="E101" s="12"/>
      <c r="F101" s="62">
        <v>10000</v>
      </c>
      <c r="G101" s="12"/>
      <c r="H101" s="61" t="s">
        <v>21</v>
      </c>
      <c r="I101" s="12"/>
      <c r="J101" s="44" t="s">
        <v>7</v>
      </c>
      <c r="K101" s="12"/>
      <c r="L101" s="13" t="s">
        <v>19</v>
      </c>
    </row>
    <row r="102" spans="1:12" ht="4.9000000000000004" customHeight="1" x14ac:dyDescent="0.25">
      <c r="A102" s="2"/>
      <c r="B102" s="93"/>
      <c r="C102" s="56"/>
      <c r="D102" s="32"/>
      <c r="E102" s="7"/>
      <c r="F102" s="40"/>
      <c r="G102" s="7"/>
      <c r="H102" s="6"/>
      <c r="I102" s="7"/>
      <c r="J102" s="40"/>
      <c r="K102" s="7"/>
      <c r="L102" s="59"/>
    </row>
    <row r="103" spans="1:12" ht="4.9000000000000004" customHeight="1" x14ac:dyDescent="0.25">
      <c r="A103" s="2"/>
      <c r="B103" s="93"/>
      <c r="C103" s="56"/>
      <c r="D103" s="57"/>
      <c r="E103" s="12"/>
      <c r="F103" s="39"/>
      <c r="G103" s="12"/>
      <c r="H103" s="9"/>
      <c r="I103" s="12"/>
      <c r="J103" s="39"/>
      <c r="K103" s="12"/>
      <c r="L103" s="10"/>
    </row>
    <row r="104" spans="1:12" ht="15.75" customHeight="1" x14ac:dyDescent="0.2">
      <c r="A104" s="2"/>
      <c r="B104" s="93"/>
      <c r="C104" s="56"/>
      <c r="D104" s="33" t="s">
        <v>141</v>
      </c>
      <c r="E104" s="12"/>
      <c r="F104" s="62">
        <v>10000</v>
      </c>
      <c r="G104" s="12"/>
      <c r="H104" s="61" t="s">
        <v>21</v>
      </c>
      <c r="I104" s="12"/>
      <c r="J104" s="44" t="s">
        <v>7</v>
      </c>
      <c r="K104" s="12"/>
      <c r="L104" s="13" t="s">
        <v>19</v>
      </c>
    </row>
    <row r="105" spans="1:12" ht="4.9000000000000004" customHeight="1" x14ac:dyDescent="0.25">
      <c r="A105" s="2"/>
      <c r="B105" s="93"/>
      <c r="C105" s="56"/>
      <c r="D105" s="32"/>
      <c r="E105" s="7"/>
      <c r="F105" s="40"/>
      <c r="G105" s="7"/>
      <c r="H105" s="6"/>
      <c r="I105" s="7"/>
      <c r="J105" s="40"/>
      <c r="K105" s="7"/>
      <c r="L105" s="59"/>
    </row>
    <row r="106" spans="1:12" ht="4.9000000000000004" customHeight="1" x14ac:dyDescent="0.25">
      <c r="A106" s="2"/>
      <c r="B106" s="93"/>
      <c r="C106" s="56"/>
      <c r="D106" s="57"/>
      <c r="E106" s="12"/>
      <c r="F106" s="39"/>
      <c r="G106" s="12"/>
      <c r="H106" s="9"/>
      <c r="I106" s="12"/>
      <c r="J106" s="39"/>
      <c r="K106" s="12"/>
      <c r="L106" s="10"/>
    </row>
    <row r="107" spans="1:12" ht="15.75" customHeight="1" x14ac:dyDescent="0.2">
      <c r="A107" s="2"/>
      <c r="B107" s="93"/>
      <c r="C107" s="56"/>
      <c r="D107" s="33" t="s">
        <v>142</v>
      </c>
      <c r="E107" s="12"/>
      <c r="F107" s="30">
        <v>10000</v>
      </c>
      <c r="G107" s="12"/>
      <c r="H107" s="61" t="s">
        <v>21</v>
      </c>
      <c r="I107" s="12"/>
      <c r="J107" s="44" t="s">
        <v>7</v>
      </c>
      <c r="K107" s="12"/>
      <c r="L107" s="13" t="s">
        <v>19</v>
      </c>
    </row>
    <row r="108" spans="1:12" ht="4.9000000000000004" customHeight="1" x14ac:dyDescent="0.25">
      <c r="A108" s="2"/>
      <c r="B108" s="93"/>
      <c r="C108" s="56"/>
      <c r="D108" s="32"/>
      <c r="E108" s="7"/>
      <c r="F108" s="40"/>
      <c r="G108" s="7"/>
      <c r="H108" s="6"/>
      <c r="I108" s="7"/>
      <c r="J108" s="40"/>
      <c r="K108" s="7"/>
      <c r="L108" s="59"/>
    </row>
    <row r="109" spans="1:12" ht="4.9000000000000004" customHeight="1" x14ac:dyDescent="0.25">
      <c r="A109" s="2"/>
      <c r="B109" s="93"/>
      <c r="C109" s="56"/>
      <c r="D109" s="57"/>
      <c r="E109" s="12"/>
      <c r="F109" s="39"/>
      <c r="G109" s="12"/>
      <c r="H109" s="9"/>
      <c r="I109" s="12"/>
      <c r="J109" s="39"/>
      <c r="K109" s="12"/>
      <c r="L109" s="10"/>
    </row>
    <row r="110" spans="1:12" ht="15.75" customHeight="1" x14ac:dyDescent="0.2">
      <c r="A110" s="2"/>
      <c r="B110" s="93"/>
      <c r="C110" s="56"/>
      <c r="D110" s="33" t="s">
        <v>34</v>
      </c>
      <c r="E110" s="12"/>
      <c r="F110" s="36">
        <v>10000</v>
      </c>
      <c r="G110" s="12"/>
      <c r="H110" s="61" t="s">
        <v>35</v>
      </c>
      <c r="I110" s="12"/>
      <c r="J110" s="46" t="s">
        <v>7</v>
      </c>
      <c r="K110" s="12"/>
      <c r="L110" s="13" t="s">
        <v>36</v>
      </c>
    </row>
    <row r="111" spans="1:12" ht="4.9000000000000004" customHeight="1" x14ac:dyDescent="0.25">
      <c r="A111" s="2"/>
      <c r="B111" s="93"/>
      <c r="C111" s="56"/>
      <c r="D111" s="32"/>
      <c r="E111" s="7"/>
      <c r="F111" s="40"/>
      <c r="G111" s="7"/>
      <c r="H111" s="6"/>
      <c r="I111" s="7"/>
      <c r="J111" s="40"/>
      <c r="K111" s="7"/>
      <c r="L111" s="59"/>
    </row>
    <row r="112" spans="1:12" ht="4.9000000000000004" customHeight="1" x14ac:dyDescent="0.25">
      <c r="A112" s="2"/>
      <c r="B112" s="93"/>
      <c r="C112" s="56"/>
      <c r="D112" s="57"/>
      <c r="E112" s="12"/>
      <c r="F112" s="39"/>
      <c r="G112" s="12"/>
      <c r="H112" s="9"/>
      <c r="I112" s="12"/>
      <c r="J112" s="39"/>
      <c r="K112" s="12"/>
      <c r="L112" s="10"/>
    </row>
    <row r="113" spans="1:12" ht="15.75" customHeight="1" x14ac:dyDescent="0.2">
      <c r="A113" s="2"/>
      <c r="B113" s="93"/>
      <c r="C113" s="56"/>
      <c r="D113" s="54" t="s">
        <v>45</v>
      </c>
      <c r="E113" s="12"/>
      <c r="F113" s="55">
        <v>10000</v>
      </c>
      <c r="G113" s="12"/>
      <c r="H113" s="61" t="s">
        <v>46</v>
      </c>
      <c r="I113" s="12"/>
      <c r="J113" s="44" t="s">
        <v>7</v>
      </c>
      <c r="K113" s="12"/>
      <c r="L113" s="13" t="s">
        <v>19</v>
      </c>
    </row>
    <row r="114" spans="1:12" ht="4.9000000000000004" customHeight="1" x14ac:dyDescent="0.25">
      <c r="A114" s="2"/>
      <c r="B114" s="93"/>
      <c r="C114" s="56"/>
      <c r="D114" s="32"/>
      <c r="E114" s="7"/>
      <c r="F114" s="40"/>
      <c r="G114" s="7"/>
      <c r="H114" s="6"/>
      <c r="I114" s="7"/>
      <c r="J114" s="40"/>
      <c r="K114" s="7"/>
      <c r="L114" s="59"/>
    </row>
    <row r="115" spans="1:12" ht="5.0999999999999996" customHeight="1" x14ac:dyDescent="0.25">
      <c r="A115" s="2"/>
      <c r="B115" s="93"/>
      <c r="C115" s="56"/>
      <c r="D115" s="57"/>
      <c r="E115" s="12"/>
      <c r="F115" s="39"/>
      <c r="G115" s="12"/>
      <c r="H115" s="9"/>
      <c r="I115" s="12"/>
      <c r="J115" s="39"/>
      <c r="K115" s="12"/>
      <c r="L115" s="10"/>
    </row>
    <row r="116" spans="1:12" ht="15.75" customHeight="1" x14ac:dyDescent="0.2">
      <c r="A116" s="2"/>
      <c r="B116" s="93"/>
      <c r="C116" s="56"/>
      <c r="D116" s="33" t="s">
        <v>74</v>
      </c>
      <c r="E116" s="12"/>
      <c r="F116" s="75">
        <v>10000</v>
      </c>
      <c r="G116" s="12"/>
      <c r="H116" s="74" t="s">
        <v>6</v>
      </c>
      <c r="I116" s="12"/>
      <c r="J116" s="44" t="s">
        <v>7</v>
      </c>
      <c r="K116" s="12"/>
      <c r="L116" s="13" t="s">
        <v>6</v>
      </c>
    </row>
    <row r="117" spans="1:12" ht="5.0999999999999996" customHeight="1" x14ac:dyDescent="0.25">
      <c r="A117" s="2"/>
      <c r="B117" s="93"/>
      <c r="C117" s="56"/>
      <c r="D117" s="32"/>
      <c r="E117" s="7"/>
      <c r="F117" s="40"/>
      <c r="G117" s="7"/>
      <c r="H117" s="6"/>
      <c r="I117" s="7"/>
      <c r="J117" s="40"/>
      <c r="K117" s="7"/>
      <c r="L117" s="59"/>
    </row>
    <row r="118" spans="1:12" ht="5.0999999999999996" customHeight="1" x14ac:dyDescent="0.25">
      <c r="A118" s="2"/>
      <c r="B118" s="93"/>
      <c r="C118" s="56"/>
      <c r="D118" s="57"/>
      <c r="E118" s="12"/>
      <c r="F118" s="39"/>
      <c r="G118" s="12"/>
      <c r="H118" s="9"/>
      <c r="I118" s="12"/>
      <c r="J118" s="39"/>
      <c r="K118" s="12"/>
      <c r="L118" s="10"/>
    </row>
    <row r="119" spans="1:12" ht="15.75" customHeight="1" x14ac:dyDescent="0.2">
      <c r="A119" s="2"/>
      <c r="B119" s="93"/>
      <c r="C119" s="56"/>
      <c r="D119" s="33" t="s">
        <v>75</v>
      </c>
      <c r="E119" s="12"/>
      <c r="F119" s="76">
        <v>10000</v>
      </c>
      <c r="G119" s="12"/>
      <c r="H119" s="61" t="s">
        <v>6</v>
      </c>
      <c r="I119" s="12"/>
      <c r="J119" s="44" t="s">
        <v>7</v>
      </c>
      <c r="K119" s="12"/>
      <c r="L119" s="13" t="s">
        <v>6</v>
      </c>
    </row>
    <row r="120" spans="1:12" ht="5.0999999999999996" customHeight="1" x14ac:dyDescent="0.25">
      <c r="A120" s="2"/>
      <c r="B120" s="93"/>
      <c r="C120" s="56"/>
      <c r="D120" s="32"/>
      <c r="E120" s="7"/>
      <c r="F120" s="40"/>
      <c r="G120" s="7"/>
      <c r="H120" s="6"/>
      <c r="I120" s="7"/>
      <c r="J120" s="40"/>
      <c r="K120" s="7"/>
      <c r="L120" s="59"/>
    </row>
    <row r="121" spans="1:12" ht="5.0999999999999996" customHeight="1" x14ac:dyDescent="0.25">
      <c r="A121" s="2"/>
      <c r="B121" s="93"/>
      <c r="C121" s="56"/>
      <c r="D121" s="57"/>
      <c r="E121" s="12"/>
      <c r="F121" s="39"/>
      <c r="G121" s="12"/>
      <c r="H121" s="9"/>
      <c r="I121" s="12"/>
      <c r="J121" s="39"/>
      <c r="K121" s="12"/>
      <c r="L121" s="10"/>
    </row>
    <row r="122" spans="1:12" ht="15.75" customHeight="1" x14ac:dyDescent="0.2">
      <c r="A122" s="2"/>
      <c r="B122" s="93"/>
      <c r="C122" s="56"/>
      <c r="D122" s="33" t="s">
        <v>76</v>
      </c>
      <c r="E122" s="12"/>
      <c r="F122" s="76">
        <v>10000</v>
      </c>
      <c r="G122" s="12"/>
      <c r="H122" s="61" t="s">
        <v>6</v>
      </c>
      <c r="I122" s="12"/>
      <c r="J122" s="44" t="s">
        <v>7</v>
      </c>
      <c r="K122" s="12"/>
      <c r="L122" s="13" t="s">
        <v>6</v>
      </c>
    </row>
    <row r="123" spans="1:12" ht="5.0999999999999996" customHeight="1" x14ac:dyDescent="0.25">
      <c r="A123" s="2"/>
      <c r="B123" s="93"/>
      <c r="C123" s="56"/>
      <c r="D123" s="32"/>
      <c r="E123" s="7"/>
      <c r="F123" s="40"/>
      <c r="G123" s="7"/>
      <c r="H123" s="6"/>
      <c r="I123" s="7"/>
      <c r="J123" s="40"/>
      <c r="K123" s="7"/>
      <c r="L123" s="59"/>
    </row>
    <row r="124" spans="1:12" ht="5.0999999999999996" customHeight="1" x14ac:dyDescent="0.25">
      <c r="A124" s="2"/>
      <c r="B124" s="93"/>
      <c r="C124" s="56"/>
      <c r="D124" s="57"/>
      <c r="E124" s="12"/>
      <c r="F124" s="39"/>
      <c r="G124" s="12"/>
      <c r="H124" s="9"/>
      <c r="I124" s="12"/>
      <c r="J124" s="39"/>
      <c r="K124" s="12"/>
      <c r="L124" s="10"/>
    </row>
    <row r="125" spans="1:12" ht="15.75" customHeight="1" x14ac:dyDescent="0.2">
      <c r="A125" s="2"/>
      <c r="B125" s="93"/>
      <c r="C125" s="56"/>
      <c r="D125" s="33" t="s">
        <v>77</v>
      </c>
      <c r="E125" s="12"/>
      <c r="F125" s="76">
        <v>10000</v>
      </c>
      <c r="G125" s="12"/>
      <c r="H125" s="61" t="s">
        <v>6</v>
      </c>
      <c r="I125" s="12"/>
      <c r="J125" s="44" t="s">
        <v>7</v>
      </c>
      <c r="K125" s="12"/>
      <c r="L125" s="13" t="s">
        <v>6</v>
      </c>
    </row>
    <row r="126" spans="1:12" ht="5.0999999999999996" customHeight="1" x14ac:dyDescent="0.25">
      <c r="A126" s="2"/>
      <c r="B126" s="93"/>
      <c r="C126" s="56"/>
      <c r="D126" s="32"/>
      <c r="E126" s="7"/>
      <c r="F126" s="40"/>
      <c r="G126" s="7"/>
      <c r="H126" s="6"/>
      <c r="I126" s="7"/>
      <c r="J126" s="40"/>
      <c r="K126" s="7"/>
      <c r="L126" s="59"/>
    </row>
    <row r="127" spans="1:12" ht="5.0999999999999996" customHeight="1" x14ac:dyDescent="0.25">
      <c r="A127" s="2"/>
      <c r="B127" s="93"/>
      <c r="C127" s="56"/>
      <c r="D127" s="57"/>
      <c r="E127" s="12"/>
      <c r="F127" s="39"/>
      <c r="G127" s="12"/>
      <c r="H127" s="9"/>
      <c r="I127" s="12"/>
      <c r="J127" s="39"/>
      <c r="K127" s="12"/>
      <c r="L127" s="10"/>
    </row>
    <row r="128" spans="1:12" ht="15.75" customHeight="1" x14ac:dyDescent="0.2">
      <c r="A128" s="2"/>
      <c r="B128" s="93"/>
      <c r="C128" s="56"/>
      <c r="D128" s="33" t="s">
        <v>78</v>
      </c>
      <c r="E128" s="12"/>
      <c r="F128" s="76">
        <v>10000</v>
      </c>
      <c r="G128" s="12"/>
      <c r="H128" s="61" t="s">
        <v>6</v>
      </c>
      <c r="I128" s="12"/>
      <c r="J128" s="44" t="s">
        <v>7</v>
      </c>
      <c r="K128" s="12"/>
      <c r="L128" s="13" t="s">
        <v>6</v>
      </c>
    </row>
    <row r="129" spans="1:12" ht="5.0999999999999996" customHeight="1" x14ac:dyDescent="0.25">
      <c r="A129" s="2"/>
      <c r="B129" s="93"/>
      <c r="C129" s="56"/>
      <c r="D129" s="32"/>
      <c r="E129" s="7"/>
      <c r="F129" s="40"/>
      <c r="G129" s="7"/>
      <c r="H129" s="6"/>
      <c r="I129" s="7"/>
      <c r="J129" s="40"/>
      <c r="K129" s="7"/>
      <c r="L129" s="59"/>
    </row>
    <row r="130" spans="1:12" ht="5.0999999999999996" customHeight="1" x14ac:dyDescent="0.25">
      <c r="A130" s="2"/>
      <c r="B130" s="93"/>
      <c r="C130" s="56"/>
      <c r="D130" s="57"/>
      <c r="E130" s="12"/>
      <c r="F130" s="39"/>
      <c r="G130" s="12"/>
      <c r="H130" s="9"/>
      <c r="I130" s="12"/>
      <c r="J130" s="39"/>
      <c r="K130" s="12"/>
      <c r="L130" s="10"/>
    </row>
    <row r="131" spans="1:12" ht="15.75" customHeight="1" x14ac:dyDescent="0.2">
      <c r="A131" s="2"/>
      <c r="B131" s="93"/>
      <c r="C131" s="56"/>
      <c r="D131" s="33" t="s">
        <v>70</v>
      </c>
      <c r="E131" s="12"/>
      <c r="F131" s="76">
        <v>10000</v>
      </c>
      <c r="G131" s="12"/>
      <c r="H131" s="61" t="s">
        <v>6</v>
      </c>
      <c r="I131" s="12"/>
      <c r="J131" s="44" t="s">
        <v>7</v>
      </c>
      <c r="K131" s="12"/>
      <c r="L131" s="13" t="s">
        <v>6</v>
      </c>
    </row>
    <row r="132" spans="1:12" ht="5.0999999999999996" customHeight="1" x14ac:dyDescent="0.25">
      <c r="A132" s="2"/>
      <c r="B132" s="93"/>
      <c r="C132" s="56"/>
      <c r="D132" s="32"/>
      <c r="E132" s="7"/>
      <c r="F132" s="40"/>
      <c r="G132" s="7"/>
      <c r="H132" s="6"/>
      <c r="I132" s="7"/>
      <c r="J132" s="40"/>
      <c r="K132" s="7"/>
      <c r="L132" s="59"/>
    </row>
    <row r="133" spans="1:12" ht="5.0999999999999996" customHeight="1" x14ac:dyDescent="0.25">
      <c r="A133" s="2"/>
      <c r="B133" s="93"/>
      <c r="C133" s="56"/>
      <c r="D133" s="57"/>
      <c r="E133" s="12"/>
      <c r="F133" s="39"/>
      <c r="G133" s="12"/>
      <c r="H133" s="9"/>
      <c r="I133" s="12"/>
      <c r="J133" s="39"/>
      <c r="K133" s="12"/>
      <c r="L133" s="10"/>
    </row>
    <row r="134" spans="1:12" ht="15.75" customHeight="1" x14ac:dyDescent="0.2">
      <c r="A134" s="2"/>
      <c r="B134" s="93"/>
      <c r="C134" s="56"/>
      <c r="D134" s="33" t="s">
        <v>71</v>
      </c>
      <c r="E134" s="12"/>
      <c r="F134" s="76">
        <v>10000</v>
      </c>
      <c r="G134" s="12"/>
      <c r="H134" s="61" t="s">
        <v>6</v>
      </c>
      <c r="I134" s="12"/>
      <c r="J134" s="44" t="s">
        <v>7</v>
      </c>
      <c r="K134" s="12"/>
      <c r="L134" s="13" t="s">
        <v>6</v>
      </c>
    </row>
    <row r="135" spans="1:12" ht="5.0999999999999996" customHeight="1" x14ac:dyDescent="0.25">
      <c r="A135" s="2"/>
      <c r="B135" s="93"/>
      <c r="C135" s="56"/>
      <c r="D135" s="32"/>
      <c r="E135" s="7"/>
      <c r="F135" s="40"/>
      <c r="G135" s="7"/>
      <c r="H135" s="6"/>
      <c r="I135" s="7"/>
      <c r="J135" s="40"/>
      <c r="K135" s="7"/>
      <c r="L135" s="59"/>
    </row>
    <row r="136" spans="1:12" ht="5.0999999999999996" customHeight="1" x14ac:dyDescent="0.25">
      <c r="A136" s="2"/>
      <c r="B136" s="93"/>
      <c r="C136" s="56"/>
      <c r="D136" s="57"/>
      <c r="E136" s="12"/>
      <c r="F136" s="39"/>
      <c r="G136" s="12"/>
      <c r="H136" s="9"/>
      <c r="I136" s="12"/>
      <c r="J136" s="39"/>
      <c r="K136" s="12"/>
      <c r="L136" s="10"/>
    </row>
    <row r="137" spans="1:12" ht="15.75" customHeight="1" x14ac:dyDescent="0.2">
      <c r="A137" s="2"/>
      <c r="B137" s="93"/>
      <c r="C137" s="56"/>
      <c r="D137" s="33" t="s">
        <v>79</v>
      </c>
      <c r="E137" s="12"/>
      <c r="F137" s="76">
        <v>10000</v>
      </c>
      <c r="G137" s="12"/>
      <c r="H137" s="61" t="s">
        <v>6</v>
      </c>
      <c r="I137" s="12"/>
      <c r="J137" s="44" t="s">
        <v>7</v>
      </c>
      <c r="K137" s="12"/>
      <c r="L137" s="13" t="s">
        <v>6</v>
      </c>
    </row>
    <row r="138" spans="1:12" ht="5.0999999999999996" customHeight="1" x14ac:dyDescent="0.25">
      <c r="A138" s="2"/>
      <c r="B138" s="93"/>
      <c r="C138" s="56"/>
      <c r="D138" s="32"/>
      <c r="E138" s="7"/>
      <c r="F138" s="40"/>
      <c r="G138" s="7"/>
      <c r="H138" s="6"/>
      <c r="I138" s="7"/>
      <c r="J138" s="40"/>
      <c r="K138" s="7"/>
      <c r="L138" s="59"/>
    </row>
    <row r="139" spans="1:12" ht="5.0999999999999996" customHeight="1" x14ac:dyDescent="0.25">
      <c r="A139" s="2"/>
      <c r="B139" s="93"/>
      <c r="C139" s="56"/>
      <c r="D139" s="57"/>
      <c r="E139" s="12"/>
      <c r="F139" s="39"/>
      <c r="G139" s="12"/>
      <c r="H139" s="9"/>
      <c r="I139" s="12"/>
      <c r="J139" s="39"/>
      <c r="K139" s="12"/>
      <c r="L139" s="10"/>
    </row>
    <row r="140" spans="1:12" ht="15.75" customHeight="1" x14ac:dyDescent="0.2">
      <c r="A140" s="2"/>
      <c r="B140" s="93"/>
      <c r="C140" s="56"/>
      <c r="D140" s="33" t="s">
        <v>80</v>
      </c>
      <c r="E140" s="12"/>
      <c r="F140" s="76">
        <v>10000</v>
      </c>
      <c r="G140" s="12"/>
      <c r="H140" s="61" t="s">
        <v>6</v>
      </c>
      <c r="I140" s="12"/>
      <c r="J140" s="44" t="s">
        <v>7</v>
      </c>
      <c r="K140" s="12"/>
      <c r="L140" s="13" t="s">
        <v>6</v>
      </c>
    </row>
    <row r="141" spans="1:12" ht="5.0999999999999996" customHeight="1" x14ac:dyDescent="0.25">
      <c r="A141" s="2"/>
      <c r="B141" s="93"/>
      <c r="C141" s="56"/>
      <c r="D141" s="32"/>
      <c r="E141" s="7"/>
      <c r="F141" s="40"/>
      <c r="G141" s="7"/>
      <c r="H141" s="6"/>
      <c r="I141" s="7"/>
      <c r="J141" s="40"/>
      <c r="K141" s="7"/>
      <c r="L141" s="59"/>
    </row>
    <row r="142" spans="1:12" ht="5.0999999999999996" customHeight="1" x14ac:dyDescent="0.25">
      <c r="A142" s="2"/>
      <c r="B142" s="93"/>
      <c r="C142" s="56"/>
      <c r="D142" s="57"/>
      <c r="E142" s="12"/>
      <c r="F142" s="39"/>
      <c r="G142" s="12"/>
      <c r="H142" s="9"/>
      <c r="I142" s="12"/>
      <c r="J142" s="39"/>
      <c r="K142" s="12"/>
      <c r="L142" s="10"/>
    </row>
    <row r="143" spans="1:12" ht="15.75" customHeight="1" x14ac:dyDescent="0.2">
      <c r="A143" s="2"/>
      <c r="B143" s="93"/>
      <c r="C143" s="56"/>
      <c r="D143" s="33" t="s">
        <v>81</v>
      </c>
      <c r="E143" s="12"/>
      <c r="F143" s="76">
        <v>10000</v>
      </c>
      <c r="G143" s="12"/>
      <c r="H143" s="61" t="s">
        <v>6</v>
      </c>
      <c r="I143" s="12"/>
      <c r="J143" s="44" t="s">
        <v>7</v>
      </c>
      <c r="K143" s="12"/>
      <c r="L143" s="13" t="s">
        <v>6</v>
      </c>
    </row>
    <row r="144" spans="1:12" ht="5.0999999999999996" customHeight="1" x14ac:dyDescent="0.25">
      <c r="A144" s="2"/>
      <c r="B144" s="93"/>
      <c r="C144" s="56"/>
      <c r="D144" s="32"/>
      <c r="E144" s="7"/>
      <c r="F144" s="40"/>
      <c r="G144" s="7"/>
      <c r="H144" s="6"/>
      <c r="I144" s="7"/>
      <c r="J144" s="40"/>
      <c r="K144" s="7"/>
      <c r="L144" s="59"/>
    </row>
    <row r="145" spans="1:12" ht="5.0999999999999996" customHeight="1" x14ac:dyDescent="0.25">
      <c r="A145" s="2"/>
      <c r="B145" s="93"/>
      <c r="C145" s="56"/>
      <c r="D145" s="57"/>
      <c r="E145" s="12"/>
      <c r="F145" s="39"/>
      <c r="G145" s="12"/>
      <c r="H145" s="9"/>
      <c r="I145" s="12"/>
      <c r="J145" s="39"/>
      <c r="K145" s="12"/>
      <c r="L145" s="10"/>
    </row>
    <row r="146" spans="1:12" ht="15.75" customHeight="1" x14ac:dyDescent="0.2">
      <c r="A146" s="2"/>
      <c r="B146" s="93"/>
      <c r="C146" s="56"/>
      <c r="D146" s="33" t="s">
        <v>73</v>
      </c>
      <c r="E146" s="12"/>
      <c r="F146" s="76">
        <v>10000</v>
      </c>
      <c r="G146" s="12"/>
      <c r="H146" s="61" t="s">
        <v>6</v>
      </c>
      <c r="I146" s="12"/>
      <c r="J146" s="44" t="s">
        <v>7</v>
      </c>
      <c r="K146" s="12"/>
      <c r="L146" s="13" t="s">
        <v>6</v>
      </c>
    </row>
    <row r="147" spans="1:12" ht="5.0999999999999996" customHeight="1" x14ac:dyDescent="0.25">
      <c r="A147" s="2"/>
      <c r="B147" s="93"/>
      <c r="C147" s="56"/>
      <c r="D147" s="32"/>
      <c r="E147" s="7"/>
      <c r="F147" s="40"/>
      <c r="G147" s="7"/>
      <c r="H147" s="6"/>
      <c r="I147" s="7"/>
      <c r="J147" s="40"/>
      <c r="K147" s="7"/>
      <c r="L147" s="59"/>
    </row>
    <row r="148" spans="1:12" ht="21.95" customHeight="1" x14ac:dyDescent="0.25">
      <c r="A148" s="2"/>
      <c r="B148" s="93"/>
      <c r="C148" s="56"/>
      <c r="D148" s="2"/>
      <c r="E148" s="2"/>
      <c r="F148" s="37"/>
      <c r="G148" s="2"/>
      <c r="H148" s="9"/>
      <c r="I148" s="2"/>
      <c r="J148" s="37"/>
      <c r="K148" s="2"/>
      <c r="L148" s="10"/>
    </row>
    <row r="149" spans="1:12" ht="5.0999999999999996" customHeight="1" thickBot="1" x14ac:dyDescent="0.3">
      <c r="A149" s="2"/>
      <c r="B149" s="94"/>
      <c r="C149" s="60"/>
      <c r="D149" s="14"/>
      <c r="E149" s="14"/>
      <c r="F149" s="42"/>
      <c r="G149" s="14"/>
      <c r="H149" s="18"/>
      <c r="I149" s="14"/>
      <c r="J149" s="42"/>
      <c r="K149" s="14"/>
      <c r="L149" s="15"/>
    </row>
    <row r="150" spans="1:12" ht="15.95" customHeight="1" x14ac:dyDescent="0.25">
      <c r="A150" s="2"/>
      <c r="B150" s="92" t="s">
        <v>8</v>
      </c>
      <c r="C150" s="16"/>
      <c r="D150" s="16"/>
      <c r="E150" s="16"/>
      <c r="F150" s="38"/>
      <c r="G150" s="16"/>
      <c r="H150" s="16"/>
      <c r="I150" s="16"/>
      <c r="J150" s="38"/>
      <c r="K150" s="16"/>
      <c r="L150" s="17"/>
    </row>
    <row r="151" spans="1:12" ht="18" customHeight="1" x14ac:dyDescent="0.2">
      <c r="A151" s="2"/>
      <c r="B151" s="93"/>
      <c r="C151" s="5"/>
      <c r="D151" s="6"/>
      <c r="E151" s="95" t="s">
        <v>1</v>
      </c>
      <c r="F151" s="96"/>
      <c r="G151" s="97"/>
      <c r="H151" s="4" t="s">
        <v>2</v>
      </c>
      <c r="I151" s="95" t="s">
        <v>3</v>
      </c>
      <c r="J151" s="96"/>
      <c r="K151" s="97"/>
      <c r="L151" s="11" t="s">
        <v>2</v>
      </c>
    </row>
    <row r="152" spans="1:12" ht="5.0999999999999996" customHeight="1" x14ac:dyDescent="0.25">
      <c r="A152" s="2"/>
      <c r="B152" s="93"/>
      <c r="C152" s="99"/>
      <c r="D152" s="2"/>
      <c r="E152" s="12"/>
      <c r="F152" s="39"/>
      <c r="G152" s="12"/>
      <c r="H152" s="9"/>
      <c r="I152" s="12"/>
      <c r="J152" s="39"/>
      <c r="K152" s="12"/>
      <c r="L152" s="10"/>
    </row>
    <row r="153" spans="1:12" ht="15.95" customHeight="1" x14ac:dyDescent="0.2">
      <c r="A153" s="2"/>
      <c r="B153" s="93"/>
      <c r="C153" s="99"/>
      <c r="D153" s="57" t="s">
        <v>117</v>
      </c>
      <c r="E153" s="12"/>
      <c r="F153" s="41">
        <v>10000</v>
      </c>
      <c r="G153" s="12"/>
      <c r="H153" s="61" t="s">
        <v>6</v>
      </c>
      <c r="I153" s="12"/>
      <c r="J153" s="44" t="s">
        <v>7</v>
      </c>
      <c r="K153" s="12"/>
      <c r="L153" s="13" t="s">
        <v>6</v>
      </c>
    </row>
    <row r="154" spans="1:12" ht="5.0999999999999996" customHeight="1" x14ac:dyDescent="0.25">
      <c r="A154" s="2"/>
      <c r="B154" s="93"/>
      <c r="C154" s="110"/>
      <c r="D154" s="58"/>
      <c r="E154" s="7"/>
      <c r="F154" s="40"/>
      <c r="G154" s="7"/>
      <c r="H154" s="6"/>
      <c r="I154" s="7"/>
      <c r="J154" s="40"/>
      <c r="K154" s="7"/>
      <c r="L154" s="59"/>
    </row>
    <row r="155" spans="1:12" ht="5.0999999999999996" customHeight="1" x14ac:dyDescent="0.25">
      <c r="A155" s="2"/>
      <c r="B155" s="93"/>
      <c r="C155" s="99"/>
      <c r="D155" s="2"/>
      <c r="E155" s="12"/>
      <c r="F155" s="39"/>
      <c r="G155" s="12"/>
      <c r="H155" s="9"/>
      <c r="I155" s="12"/>
      <c r="J155" s="39"/>
      <c r="K155" s="12"/>
      <c r="L155" s="10"/>
    </row>
    <row r="156" spans="1:12" ht="15.95" customHeight="1" x14ac:dyDescent="0.2">
      <c r="A156" s="2"/>
      <c r="B156" s="93"/>
      <c r="C156" s="99"/>
      <c r="D156" s="57" t="s">
        <v>118</v>
      </c>
      <c r="E156" s="12"/>
      <c r="F156" s="41">
        <v>10000</v>
      </c>
      <c r="G156" s="12"/>
      <c r="H156" s="61" t="s">
        <v>6</v>
      </c>
      <c r="I156" s="12"/>
      <c r="J156" s="44" t="s">
        <v>7</v>
      </c>
      <c r="K156" s="12"/>
      <c r="L156" s="13" t="s">
        <v>6</v>
      </c>
    </row>
    <row r="157" spans="1:12" ht="5.0999999999999996" customHeight="1" x14ac:dyDescent="0.25">
      <c r="A157" s="2"/>
      <c r="B157" s="93"/>
      <c r="C157" s="110"/>
      <c r="D157" s="58"/>
      <c r="E157" s="7"/>
      <c r="F157" s="40"/>
      <c r="G157" s="7"/>
      <c r="H157" s="6"/>
      <c r="I157" s="7"/>
      <c r="J157" s="40"/>
      <c r="K157" s="7"/>
      <c r="L157" s="59"/>
    </row>
    <row r="158" spans="1:12" ht="5.0999999999999996" customHeight="1" x14ac:dyDescent="0.25">
      <c r="A158" s="2"/>
      <c r="B158" s="93"/>
      <c r="C158" s="99"/>
      <c r="D158" s="2"/>
      <c r="E158" s="12"/>
      <c r="F158" s="39"/>
      <c r="G158" s="12"/>
      <c r="H158" s="9"/>
      <c r="I158" s="12"/>
      <c r="J158" s="39"/>
      <c r="K158" s="12"/>
      <c r="L158" s="10"/>
    </row>
    <row r="159" spans="1:12" ht="15.95" customHeight="1" x14ac:dyDescent="0.2">
      <c r="A159" s="2"/>
      <c r="B159" s="93"/>
      <c r="C159" s="99"/>
      <c r="D159" s="57" t="s">
        <v>10</v>
      </c>
      <c r="E159" s="12"/>
      <c r="F159" s="41"/>
      <c r="G159" s="12"/>
      <c r="H159" s="61" t="s">
        <v>6</v>
      </c>
      <c r="I159" s="12"/>
      <c r="J159" s="44" t="s">
        <v>7</v>
      </c>
      <c r="K159" s="12"/>
      <c r="L159" s="13" t="s">
        <v>6</v>
      </c>
    </row>
    <row r="160" spans="1:12" ht="5.0999999999999996" customHeight="1" x14ac:dyDescent="0.25">
      <c r="A160" s="2"/>
      <c r="B160" s="93"/>
      <c r="C160" s="110"/>
      <c r="D160" s="58"/>
      <c r="E160" s="7"/>
      <c r="F160" s="40"/>
      <c r="G160" s="7"/>
      <c r="H160" s="6"/>
      <c r="I160" s="7"/>
      <c r="J160" s="40"/>
      <c r="K160" s="7"/>
      <c r="L160" s="59"/>
    </row>
    <row r="161" spans="1:12" ht="5.0999999999999996" customHeight="1" x14ac:dyDescent="0.25">
      <c r="A161" s="2"/>
      <c r="B161" s="93"/>
      <c r="C161" s="99"/>
      <c r="D161" s="2"/>
      <c r="E161" s="12"/>
      <c r="F161" s="39"/>
      <c r="G161" s="12"/>
      <c r="H161" s="9"/>
      <c r="I161" s="12"/>
      <c r="J161" s="39"/>
      <c r="K161" s="12"/>
      <c r="L161" s="10"/>
    </row>
    <row r="162" spans="1:12" ht="15.95" customHeight="1" x14ac:dyDescent="0.2">
      <c r="A162" s="2"/>
      <c r="B162" s="93"/>
      <c r="C162" s="99"/>
      <c r="D162" s="57" t="s">
        <v>11</v>
      </c>
      <c r="E162" s="12"/>
      <c r="F162" s="41">
        <v>10000</v>
      </c>
      <c r="G162" s="12"/>
      <c r="H162" s="61" t="s">
        <v>6</v>
      </c>
      <c r="I162" s="12"/>
      <c r="J162" s="44" t="s">
        <v>7</v>
      </c>
      <c r="K162" s="12"/>
      <c r="L162" s="13" t="s">
        <v>6</v>
      </c>
    </row>
    <row r="163" spans="1:12" ht="5.0999999999999996" customHeight="1" x14ac:dyDescent="0.25">
      <c r="A163" s="2"/>
      <c r="B163" s="93"/>
      <c r="C163" s="110"/>
      <c r="D163" s="58"/>
      <c r="E163" s="7"/>
      <c r="F163" s="40"/>
      <c r="G163" s="7"/>
      <c r="H163" s="6"/>
      <c r="I163" s="7"/>
      <c r="J163" s="40"/>
      <c r="K163" s="7"/>
      <c r="L163" s="59"/>
    </row>
    <row r="164" spans="1:12" ht="5.0999999999999996" customHeight="1" x14ac:dyDescent="0.25">
      <c r="A164" s="2"/>
      <c r="B164" s="93"/>
      <c r="C164" s="99"/>
      <c r="D164" s="2"/>
      <c r="E164" s="12"/>
      <c r="F164" s="39"/>
      <c r="G164" s="12"/>
      <c r="H164" s="9"/>
      <c r="I164" s="12"/>
      <c r="J164" s="39"/>
      <c r="K164" s="12"/>
      <c r="L164" s="10"/>
    </row>
    <row r="165" spans="1:12" ht="15.95" customHeight="1" x14ac:dyDescent="0.25">
      <c r="A165" s="2"/>
      <c r="B165" s="93"/>
      <c r="C165" s="99"/>
      <c r="D165" s="57" t="s">
        <v>12</v>
      </c>
      <c r="E165" s="12"/>
      <c r="F165" s="39"/>
      <c r="G165" s="12"/>
      <c r="H165" s="9"/>
      <c r="I165" s="12"/>
      <c r="J165" s="39"/>
      <c r="K165" s="12"/>
      <c r="L165" s="10"/>
    </row>
    <row r="166" spans="1:12" ht="5.0999999999999996" customHeight="1" x14ac:dyDescent="0.25">
      <c r="A166" s="2"/>
      <c r="B166" s="93"/>
      <c r="C166" s="56"/>
      <c r="D166" s="57"/>
      <c r="E166" s="12"/>
      <c r="F166" s="39"/>
      <c r="G166" s="12"/>
      <c r="H166" s="9"/>
      <c r="I166" s="12"/>
      <c r="J166" s="39"/>
      <c r="K166" s="12"/>
      <c r="L166" s="10"/>
    </row>
    <row r="167" spans="1:12" ht="15.75" customHeight="1" x14ac:dyDescent="0.2">
      <c r="A167" s="2"/>
      <c r="B167" s="93"/>
      <c r="C167" s="56"/>
      <c r="D167" s="33" t="s">
        <v>37</v>
      </c>
      <c r="E167" s="12"/>
      <c r="F167" s="53">
        <v>10000</v>
      </c>
      <c r="G167" s="12"/>
      <c r="H167" s="61" t="s">
        <v>44</v>
      </c>
      <c r="I167" s="12"/>
      <c r="J167" s="44" t="s">
        <v>7</v>
      </c>
      <c r="K167" s="12"/>
      <c r="L167" s="13" t="s">
        <v>19</v>
      </c>
    </row>
    <row r="168" spans="1:12" ht="5.0999999999999996" customHeight="1" x14ac:dyDescent="0.25">
      <c r="A168" s="2"/>
      <c r="B168" s="93"/>
      <c r="C168" s="56"/>
      <c r="D168" s="32"/>
      <c r="E168" s="7"/>
      <c r="F168" s="40"/>
      <c r="G168" s="7"/>
      <c r="H168" s="6"/>
      <c r="I168" s="7"/>
      <c r="J168" s="40"/>
      <c r="K168" s="7"/>
      <c r="L168" s="59"/>
    </row>
    <row r="169" spans="1:12" ht="4.9000000000000004" customHeight="1" x14ac:dyDescent="0.25">
      <c r="A169" s="2"/>
      <c r="B169" s="93"/>
      <c r="C169" s="56"/>
      <c r="D169" s="57"/>
      <c r="E169" s="12"/>
      <c r="F169" s="39"/>
      <c r="G169" s="12"/>
      <c r="H169" s="9"/>
      <c r="I169" s="12"/>
      <c r="J169" s="39"/>
      <c r="K169" s="12"/>
      <c r="L169" s="10"/>
    </row>
    <row r="170" spans="1:12" ht="15.75" customHeight="1" x14ac:dyDescent="0.2">
      <c r="A170" s="2"/>
      <c r="B170" s="93"/>
      <c r="C170" s="56"/>
      <c r="D170" s="33" t="s">
        <v>38</v>
      </c>
      <c r="E170" s="12"/>
      <c r="F170" s="41">
        <v>10000</v>
      </c>
      <c r="G170" s="12"/>
      <c r="H170" s="61" t="s">
        <v>19</v>
      </c>
      <c r="I170" s="12"/>
      <c r="J170" s="47" t="s">
        <v>7</v>
      </c>
      <c r="K170" s="12"/>
      <c r="L170" s="13" t="s">
        <v>20</v>
      </c>
    </row>
    <row r="171" spans="1:12" ht="4.9000000000000004" customHeight="1" x14ac:dyDescent="0.25">
      <c r="A171" s="2"/>
      <c r="B171" s="93"/>
      <c r="C171" s="56"/>
      <c r="D171" s="32"/>
      <c r="E171" s="7"/>
      <c r="F171" s="40"/>
      <c r="G171" s="7"/>
      <c r="H171" s="6"/>
      <c r="I171" s="7"/>
      <c r="J171" s="40"/>
      <c r="K171" s="7"/>
      <c r="L171" s="59"/>
    </row>
    <row r="172" spans="1:12" ht="4.9000000000000004" customHeight="1" x14ac:dyDescent="0.25">
      <c r="A172" s="2"/>
      <c r="B172" s="93"/>
      <c r="C172" s="56"/>
      <c r="D172" s="57"/>
      <c r="E172" s="12"/>
      <c r="F172" s="39"/>
      <c r="G172" s="12"/>
      <c r="H172" s="9"/>
      <c r="I172" s="12"/>
      <c r="J172" s="39"/>
      <c r="K172" s="12"/>
      <c r="L172" s="10"/>
    </row>
    <row r="173" spans="1:12" ht="15.75" customHeight="1" x14ac:dyDescent="0.2">
      <c r="A173" s="2"/>
      <c r="B173" s="93"/>
      <c r="C173" s="56"/>
      <c r="D173" s="33" t="s">
        <v>39</v>
      </c>
      <c r="E173" s="12"/>
      <c r="F173" s="41">
        <v>10000</v>
      </c>
      <c r="G173" s="12"/>
      <c r="H173" s="61" t="s">
        <v>19</v>
      </c>
      <c r="I173" s="12"/>
      <c r="J173" s="48" t="s">
        <v>7</v>
      </c>
      <c r="K173" s="12"/>
      <c r="L173" s="13" t="s">
        <v>20</v>
      </c>
    </row>
    <row r="174" spans="1:12" ht="4.9000000000000004" customHeight="1" x14ac:dyDescent="0.25">
      <c r="A174" s="2"/>
      <c r="B174" s="93"/>
      <c r="C174" s="56"/>
      <c r="D174" s="32"/>
      <c r="E174" s="7"/>
      <c r="F174" s="40"/>
      <c r="G174" s="7"/>
      <c r="H174" s="6"/>
      <c r="I174" s="7"/>
      <c r="J174" s="40"/>
      <c r="K174" s="7"/>
      <c r="L174" s="59"/>
    </row>
    <row r="175" spans="1:12" ht="4.9000000000000004" customHeight="1" x14ac:dyDescent="0.25">
      <c r="A175" s="2"/>
      <c r="B175" s="93"/>
      <c r="C175" s="56"/>
      <c r="D175" s="57"/>
      <c r="E175" s="12"/>
      <c r="F175" s="39"/>
      <c r="G175" s="12"/>
      <c r="H175" s="9"/>
      <c r="I175" s="12"/>
      <c r="J175" s="39"/>
      <c r="K175" s="12"/>
      <c r="L175" s="10"/>
    </row>
    <row r="176" spans="1:12" ht="15.75" customHeight="1" x14ac:dyDescent="0.2">
      <c r="A176" s="2"/>
      <c r="B176" s="93"/>
      <c r="C176" s="56"/>
      <c r="D176" s="33" t="s">
        <v>40</v>
      </c>
      <c r="E176" s="12"/>
      <c r="F176" s="41">
        <v>10000</v>
      </c>
      <c r="G176" s="12"/>
      <c r="H176" s="61" t="s">
        <v>19</v>
      </c>
      <c r="I176" s="12"/>
      <c r="J176" s="49" t="s">
        <v>7</v>
      </c>
      <c r="K176" s="12"/>
      <c r="L176" s="13" t="s">
        <v>20</v>
      </c>
    </row>
    <row r="177" spans="1:12" ht="4.9000000000000004" customHeight="1" x14ac:dyDescent="0.25">
      <c r="A177" s="2"/>
      <c r="B177" s="93"/>
      <c r="C177" s="56"/>
      <c r="D177" s="32"/>
      <c r="E177" s="7"/>
      <c r="F177" s="40"/>
      <c r="G177" s="7"/>
      <c r="H177" s="6"/>
      <c r="I177" s="7"/>
      <c r="J177" s="40"/>
      <c r="K177" s="7"/>
      <c r="L177" s="59"/>
    </row>
    <row r="178" spans="1:12" ht="4.9000000000000004" customHeight="1" x14ac:dyDescent="0.25">
      <c r="A178" s="2"/>
      <c r="B178" s="93"/>
      <c r="C178" s="56"/>
      <c r="D178" s="57"/>
      <c r="E178" s="12"/>
      <c r="F178" s="39"/>
      <c r="G178" s="12"/>
      <c r="H178" s="9"/>
      <c r="I178" s="12"/>
      <c r="J178" s="39"/>
      <c r="K178" s="12"/>
      <c r="L178" s="10"/>
    </row>
    <row r="179" spans="1:12" ht="15.75" customHeight="1" x14ac:dyDescent="0.2">
      <c r="A179" s="2"/>
      <c r="B179" s="93"/>
      <c r="C179" s="56"/>
      <c r="D179" s="33" t="s">
        <v>41</v>
      </c>
      <c r="E179" s="12"/>
      <c r="F179" s="41">
        <v>10000</v>
      </c>
      <c r="G179" s="12"/>
      <c r="H179" s="61" t="s">
        <v>19</v>
      </c>
      <c r="I179" s="12"/>
      <c r="J179" s="50" t="s">
        <v>7</v>
      </c>
      <c r="K179" s="12"/>
      <c r="L179" s="13" t="s">
        <v>20</v>
      </c>
    </row>
    <row r="180" spans="1:12" ht="4.9000000000000004" customHeight="1" x14ac:dyDescent="0.25">
      <c r="A180" s="2"/>
      <c r="B180" s="93"/>
      <c r="C180" s="56"/>
      <c r="D180" s="32"/>
      <c r="E180" s="7"/>
      <c r="F180" s="40"/>
      <c r="G180" s="7"/>
      <c r="H180" s="6"/>
      <c r="I180" s="7"/>
      <c r="J180" s="40"/>
      <c r="K180" s="7"/>
      <c r="L180" s="59"/>
    </row>
    <row r="181" spans="1:12" ht="4.9000000000000004" customHeight="1" x14ac:dyDescent="0.25">
      <c r="A181" s="2"/>
      <c r="B181" s="93"/>
      <c r="C181" s="56"/>
      <c r="D181" s="57"/>
      <c r="E181" s="12"/>
      <c r="F181" s="39"/>
      <c r="G181" s="12"/>
      <c r="H181" s="9"/>
      <c r="I181" s="12"/>
      <c r="J181" s="39"/>
      <c r="K181" s="12"/>
      <c r="L181" s="10"/>
    </row>
    <row r="182" spans="1:12" ht="15.75" customHeight="1" x14ac:dyDescent="0.2">
      <c r="A182" s="2"/>
      <c r="B182" s="93"/>
      <c r="C182" s="56"/>
      <c r="D182" s="33" t="s">
        <v>42</v>
      </c>
      <c r="E182" s="12"/>
      <c r="F182" s="41">
        <v>10000</v>
      </c>
      <c r="G182" s="12"/>
      <c r="H182" s="61" t="s">
        <v>19</v>
      </c>
      <c r="I182" s="12"/>
      <c r="J182" s="51" t="s">
        <v>7</v>
      </c>
      <c r="K182" s="12"/>
      <c r="L182" s="13" t="s">
        <v>20</v>
      </c>
    </row>
    <row r="183" spans="1:12" ht="4.9000000000000004" customHeight="1" x14ac:dyDescent="0.25">
      <c r="A183" s="2"/>
      <c r="B183" s="93"/>
      <c r="C183" s="56"/>
      <c r="D183" s="32"/>
      <c r="E183" s="7"/>
      <c r="F183" s="40"/>
      <c r="G183" s="7"/>
      <c r="H183" s="6"/>
      <c r="I183" s="7"/>
      <c r="J183" s="40"/>
      <c r="K183" s="7"/>
      <c r="L183" s="59"/>
    </row>
    <row r="184" spans="1:12" ht="4.9000000000000004" customHeight="1" x14ac:dyDescent="0.25">
      <c r="A184" s="2"/>
      <c r="B184" s="93"/>
      <c r="C184" s="56"/>
      <c r="D184" s="57"/>
      <c r="E184" s="12"/>
      <c r="F184" s="39"/>
      <c r="G184" s="12"/>
      <c r="H184" s="9"/>
      <c r="I184" s="12"/>
      <c r="J184" s="39"/>
      <c r="K184" s="12"/>
      <c r="L184" s="10"/>
    </row>
    <row r="185" spans="1:12" ht="15.75" customHeight="1" x14ac:dyDescent="0.2">
      <c r="A185" s="2"/>
      <c r="B185" s="93"/>
      <c r="C185" s="56"/>
      <c r="D185" s="33" t="s">
        <v>43</v>
      </c>
      <c r="E185" s="12"/>
      <c r="F185" s="41">
        <v>10000</v>
      </c>
      <c r="G185" s="12"/>
      <c r="H185" s="61" t="s">
        <v>19</v>
      </c>
      <c r="I185" s="12"/>
      <c r="J185" s="52" t="s">
        <v>7</v>
      </c>
      <c r="K185" s="12"/>
      <c r="L185" s="13" t="s">
        <v>20</v>
      </c>
    </row>
    <row r="186" spans="1:12" ht="4.9000000000000004" customHeight="1" x14ac:dyDescent="0.25">
      <c r="A186" s="2"/>
      <c r="B186" s="93"/>
      <c r="C186" s="56"/>
      <c r="D186" s="32"/>
      <c r="E186" s="7"/>
      <c r="F186" s="40"/>
      <c r="G186" s="7"/>
      <c r="H186" s="6"/>
      <c r="I186" s="7"/>
      <c r="J186" s="40"/>
      <c r="K186" s="7"/>
      <c r="L186" s="59"/>
    </row>
    <row r="187" spans="1:12" ht="21.95" customHeight="1" x14ac:dyDescent="0.25">
      <c r="A187" s="2"/>
      <c r="B187" s="93"/>
      <c r="C187" s="56"/>
      <c r="D187" s="2"/>
      <c r="E187" s="2"/>
      <c r="F187" s="37"/>
      <c r="G187" s="2"/>
      <c r="H187" s="9"/>
      <c r="I187" s="2"/>
      <c r="J187" s="37"/>
      <c r="K187" s="2"/>
      <c r="L187" s="10"/>
    </row>
    <row r="188" spans="1:12" ht="5.0999999999999996" customHeight="1" thickBot="1" x14ac:dyDescent="0.3">
      <c r="A188" s="2"/>
      <c r="B188" s="94"/>
      <c r="C188" s="60"/>
      <c r="D188" s="14"/>
      <c r="E188" s="14"/>
      <c r="F188" s="42"/>
      <c r="G188" s="14"/>
      <c r="H188" s="18"/>
      <c r="I188" s="14"/>
      <c r="J188" s="42"/>
      <c r="K188" s="14"/>
      <c r="L188" s="15"/>
    </row>
    <row r="189" spans="1:12" ht="24.6" customHeight="1" x14ac:dyDescent="0.25">
      <c r="A189" s="2"/>
      <c r="B189" s="2"/>
      <c r="C189" s="2"/>
      <c r="D189" s="2"/>
      <c r="E189" s="2"/>
      <c r="F189" s="37"/>
      <c r="G189" s="2"/>
      <c r="H189" s="2"/>
      <c r="I189" s="2"/>
      <c r="J189" s="37"/>
      <c r="K189" s="2"/>
      <c r="L189" s="2"/>
    </row>
    <row r="190" spans="1:12" ht="15.75" thickBot="1" x14ac:dyDescent="0.3">
      <c r="A190" s="2"/>
      <c r="B190" s="2"/>
      <c r="C190" s="2"/>
      <c r="D190" s="2"/>
      <c r="E190" s="2"/>
      <c r="F190" s="37"/>
      <c r="G190" s="2"/>
      <c r="H190" s="2"/>
      <c r="I190" s="2"/>
      <c r="J190" s="37"/>
      <c r="K190" s="2"/>
      <c r="L190" s="2"/>
    </row>
    <row r="191" spans="1:12" ht="28.35" customHeight="1" x14ac:dyDescent="0.2">
      <c r="A191" s="2"/>
      <c r="B191" s="103" t="s">
        <v>13</v>
      </c>
      <c r="C191" s="104"/>
      <c r="D191" s="104"/>
      <c r="E191" s="104"/>
      <c r="F191" s="104"/>
      <c r="G191" s="104"/>
      <c r="H191" s="104"/>
      <c r="I191" s="104"/>
      <c r="J191" s="104"/>
      <c r="K191" s="104"/>
      <c r="L191" s="105"/>
    </row>
    <row r="192" spans="1:12" ht="28.35" customHeight="1" x14ac:dyDescent="0.2">
      <c r="A192" s="2"/>
      <c r="B192" s="106"/>
      <c r="C192" s="107"/>
      <c r="D192" s="107"/>
      <c r="E192" s="107"/>
      <c r="F192" s="107"/>
      <c r="G192" s="107"/>
      <c r="H192" s="107"/>
      <c r="I192" s="107"/>
      <c r="J192" s="107"/>
      <c r="K192" s="107"/>
      <c r="L192" s="108"/>
    </row>
    <row r="193" spans="1:12" ht="21.75" customHeight="1" x14ac:dyDescent="0.25">
      <c r="A193" s="2"/>
      <c r="B193" s="109" t="s">
        <v>4</v>
      </c>
      <c r="C193" s="2"/>
      <c r="D193" s="2"/>
      <c r="E193" s="2"/>
      <c r="F193" s="37"/>
      <c r="G193" s="2"/>
      <c r="H193" s="2"/>
      <c r="I193" s="2"/>
      <c r="J193" s="37"/>
      <c r="K193" s="2"/>
      <c r="L193" s="10"/>
    </row>
    <row r="194" spans="1:12" ht="18" customHeight="1" x14ac:dyDescent="0.2">
      <c r="A194" s="2"/>
      <c r="B194" s="93"/>
      <c r="C194" s="5"/>
      <c r="D194" s="6"/>
      <c r="E194" s="95" t="s">
        <v>1</v>
      </c>
      <c r="F194" s="96"/>
      <c r="G194" s="97"/>
      <c r="H194" s="4" t="s">
        <v>2</v>
      </c>
      <c r="I194" s="95" t="s">
        <v>3</v>
      </c>
      <c r="J194" s="96"/>
      <c r="K194" s="97"/>
      <c r="L194" s="11" t="s">
        <v>2</v>
      </c>
    </row>
    <row r="195" spans="1:12" ht="5.0999999999999996" customHeight="1" x14ac:dyDescent="0.25">
      <c r="A195" s="2"/>
      <c r="B195" s="93"/>
      <c r="C195" s="98"/>
      <c r="D195" s="2"/>
      <c r="E195" s="12"/>
      <c r="F195" s="39"/>
      <c r="G195" s="12"/>
      <c r="H195" s="8"/>
      <c r="I195" s="12"/>
      <c r="J195" s="39"/>
      <c r="K195" s="12"/>
      <c r="L195" s="10"/>
    </row>
    <row r="196" spans="1:12" ht="15.75" customHeight="1" x14ac:dyDescent="0.2">
      <c r="A196" s="2"/>
      <c r="B196" s="93"/>
      <c r="C196" s="99"/>
      <c r="D196" s="57" t="s">
        <v>14</v>
      </c>
      <c r="E196" s="12"/>
      <c r="F196" s="41">
        <v>10000</v>
      </c>
      <c r="G196" s="12"/>
      <c r="H196" s="61" t="s">
        <v>6</v>
      </c>
      <c r="I196" s="12"/>
      <c r="J196" s="44" t="s">
        <v>7</v>
      </c>
      <c r="K196" s="12"/>
      <c r="L196" s="13" t="s">
        <v>6</v>
      </c>
    </row>
    <row r="197" spans="1:12" ht="5.0999999999999996" customHeight="1" x14ac:dyDescent="0.25">
      <c r="A197" s="2"/>
      <c r="B197" s="93"/>
      <c r="C197" s="110"/>
      <c r="D197" s="58"/>
      <c r="E197" s="7"/>
      <c r="F197" s="40"/>
      <c r="G197" s="7"/>
      <c r="H197" s="6"/>
      <c r="I197" s="7"/>
      <c r="J197" s="40"/>
      <c r="K197" s="7"/>
      <c r="L197" s="59"/>
    </row>
    <row r="198" spans="1:12" ht="5.0999999999999996" customHeight="1" x14ac:dyDescent="0.25">
      <c r="A198" s="2"/>
      <c r="B198" s="93"/>
      <c r="C198" s="99"/>
      <c r="D198" s="2"/>
      <c r="E198" s="12"/>
      <c r="F198" s="39"/>
      <c r="G198" s="12"/>
      <c r="H198" s="9"/>
      <c r="I198" s="12"/>
      <c r="J198" s="39"/>
      <c r="K198" s="12"/>
      <c r="L198" s="10"/>
    </row>
    <row r="199" spans="1:12" ht="15.75" customHeight="1" x14ac:dyDescent="0.2">
      <c r="A199" s="2"/>
      <c r="B199" s="93"/>
      <c r="C199" s="99"/>
      <c r="D199" s="57" t="s">
        <v>15</v>
      </c>
      <c r="E199" s="12"/>
      <c r="F199" s="41">
        <v>10000</v>
      </c>
      <c r="G199" s="12"/>
      <c r="H199" s="61" t="s">
        <v>6</v>
      </c>
      <c r="I199" s="12"/>
      <c r="J199" s="44" t="s">
        <v>7</v>
      </c>
      <c r="K199" s="12"/>
      <c r="L199" s="13" t="s">
        <v>6</v>
      </c>
    </row>
    <row r="200" spans="1:12" ht="5.0999999999999996" customHeight="1" x14ac:dyDescent="0.25">
      <c r="A200" s="2"/>
      <c r="B200" s="111"/>
      <c r="C200" s="110"/>
      <c r="D200" s="58"/>
      <c r="E200" s="7"/>
      <c r="F200" s="40"/>
      <c r="G200" s="7"/>
      <c r="H200" s="6"/>
      <c r="I200" s="7"/>
      <c r="J200" s="40"/>
      <c r="K200" s="7"/>
      <c r="L200" s="59"/>
    </row>
    <row r="201" spans="1:12" ht="21.75" customHeight="1" x14ac:dyDescent="0.25">
      <c r="A201" s="2"/>
      <c r="B201" s="109" t="s">
        <v>8</v>
      </c>
      <c r="C201" s="2"/>
      <c r="D201" s="2"/>
      <c r="E201" s="2"/>
      <c r="F201" s="37"/>
      <c r="G201" s="2"/>
      <c r="H201" s="2"/>
      <c r="I201" s="2"/>
      <c r="J201" s="37"/>
      <c r="K201" s="2"/>
      <c r="L201" s="10"/>
    </row>
    <row r="202" spans="1:12" ht="18" customHeight="1" x14ac:dyDescent="0.2">
      <c r="A202" s="2"/>
      <c r="B202" s="93"/>
      <c r="C202" s="5"/>
      <c r="D202" s="6"/>
      <c r="E202" s="95" t="s">
        <v>1</v>
      </c>
      <c r="F202" s="96"/>
      <c r="G202" s="97"/>
      <c r="H202" s="4" t="s">
        <v>2</v>
      </c>
      <c r="I202" s="95" t="s">
        <v>3</v>
      </c>
      <c r="J202" s="96"/>
      <c r="K202" s="97"/>
      <c r="L202" s="11" t="s">
        <v>2</v>
      </c>
    </row>
    <row r="203" spans="1:12" ht="5.0999999999999996" customHeight="1" x14ac:dyDescent="0.25">
      <c r="A203" s="2"/>
      <c r="B203" s="93"/>
      <c r="C203" s="98"/>
      <c r="D203" s="2"/>
      <c r="E203" s="12"/>
      <c r="F203" s="39"/>
      <c r="G203" s="12"/>
      <c r="H203" s="8"/>
      <c r="I203" s="12"/>
      <c r="J203" s="39"/>
      <c r="K203" s="12"/>
      <c r="L203" s="10"/>
    </row>
    <row r="204" spans="1:12" ht="15.75" customHeight="1" x14ac:dyDescent="0.2">
      <c r="A204" s="2"/>
      <c r="B204" s="93"/>
      <c r="C204" s="99"/>
      <c r="D204" s="57" t="s">
        <v>14</v>
      </c>
      <c r="E204" s="12"/>
      <c r="F204" s="41">
        <v>10000</v>
      </c>
      <c r="G204" s="12"/>
      <c r="H204" s="61" t="s">
        <v>6</v>
      </c>
      <c r="I204" s="12"/>
      <c r="J204" s="44" t="s">
        <v>7</v>
      </c>
      <c r="K204" s="12"/>
      <c r="L204" s="13" t="s">
        <v>6</v>
      </c>
    </row>
    <row r="205" spans="1:12" ht="5.0999999999999996" customHeight="1" x14ac:dyDescent="0.25">
      <c r="A205" s="2"/>
      <c r="B205" s="93"/>
      <c r="C205" s="110"/>
      <c r="D205" s="58"/>
      <c r="E205" s="7"/>
      <c r="F205" s="40"/>
      <c r="G205" s="7"/>
      <c r="H205" s="6"/>
      <c r="I205" s="7"/>
      <c r="J205" s="40"/>
      <c r="K205" s="7"/>
      <c r="L205" s="59"/>
    </row>
    <row r="206" spans="1:12" ht="5.0999999999999996" customHeight="1" x14ac:dyDescent="0.25">
      <c r="A206" s="2"/>
      <c r="B206" s="93"/>
      <c r="C206" s="99"/>
      <c r="D206" s="2"/>
      <c r="E206" s="12"/>
      <c r="F206" s="39"/>
      <c r="G206" s="12"/>
      <c r="H206" s="9"/>
      <c r="I206" s="12"/>
      <c r="J206" s="39"/>
      <c r="K206" s="12"/>
      <c r="L206" s="10"/>
    </row>
    <row r="207" spans="1:12" ht="15.75" customHeight="1" x14ac:dyDescent="0.2">
      <c r="A207" s="2"/>
      <c r="B207" s="93"/>
      <c r="C207" s="99"/>
      <c r="D207" s="57" t="s">
        <v>15</v>
      </c>
      <c r="E207" s="12"/>
      <c r="F207" s="41">
        <v>10000</v>
      </c>
      <c r="G207" s="12"/>
      <c r="H207" s="61" t="s">
        <v>6</v>
      </c>
      <c r="I207" s="12"/>
      <c r="J207" s="44" t="s">
        <v>7</v>
      </c>
      <c r="K207" s="12"/>
      <c r="L207" s="13" t="s">
        <v>6</v>
      </c>
    </row>
    <row r="208" spans="1:12" ht="5.0999999999999996" customHeight="1" thickBot="1" x14ac:dyDescent="0.3">
      <c r="A208" s="2"/>
      <c r="B208" s="94"/>
      <c r="C208" s="100"/>
      <c r="D208" s="14"/>
      <c r="E208" s="19"/>
      <c r="F208" s="43"/>
      <c r="G208" s="19"/>
      <c r="H208" s="18"/>
      <c r="I208" s="19"/>
      <c r="J208" s="43"/>
      <c r="K208" s="19"/>
      <c r="L208" s="15"/>
    </row>
    <row r="209" spans="1:12" ht="15" customHeight="1" x14ac:dyDescent="0.25">
      <c r="A209" s="2"/>
      <c r="B209" s="2"/>
      <c r="C209" s="2"/>
      <c r="D209" s="2"/>
      <c r="E209" s="2"/>
      <c r="F209" s="37"/>
      <c r="G209" s="2"/>
      <c r="H209" s="2"/>
      <c r="I209" s="2"/>
      <c r="J209" s="37"/>
      <c r="K209" s="2"/>
      <c r="L209" s="2"/>
    </row>
  </sheetData>
  <sheetProtection algorithmName="SHA-512" hashValue="QhtEGtjA10MLnJ7Gv2mEQVecCvcxw1GbUJk9yZ2o9Gq1EHdcLmUu7vMLzaOl/q2CpveTmb4zVx4qDqu0RNOskw==" saltValue="ern4mbMBXZjt26f2fcMlMg==" spinCount="100000" sheet="1" objects="1" scenarios="1" formatCells="0"/>
  <mergeCells count="43">
    <mergeCell ref="B201:B208"/>
    <mergeCell ref="E202:G202"/>
    <mergeCell ref="I202:K202"/>
    <mergeCell ref="C203:C205"/>
    <mergeCell ref="C206:C208"/>
    <mergeCell ref="B191:L191"/>
    <mergeCell ref="B192:L192"/>
    <mergeCell ref="B193:B200"/>
    <mergeCell ref="E194:G194"/>
    <mergeCell ref="I194:K194"/>
    <mergeCell ref="C195:C197"/>
    <mergeCell ref="C198:C200"/>
    <mergeCell ref="C35:C37"/>
    <mergeCell ref="C38:C39"/>
    <mergeCell ref="B150:B188"/>
    <mergeCell ref="E151:G151"/>
    <mergeCell ref="I151:K151"/>
    <mergeCell ref="C152:C154"/>
    <mergeCell ref="C155:C157"/>
    <mergeCell ref="C158:C160"/>
    <mergeCell ref="C161:C163"/>
    <mergeCell ref="C164:C165"/>
    <mergeCell ref="E25:G25"/>
    <mergeCell ref="I25:K25"/>
    <mergeCell ref="C26:C28"/>
    <mergeCell ref="C29:C31"/>
    <mergeCell ref="C32:C34"/>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149"/>
  </mergeCells>
  <pageMargins left="0.7" right="0.7" top="0.75" bottom="0.75" header="0.3" footer="0.3"/>
  <pageSetup orientation="portrait" horizontalDpi="300" verticalDpi="200" r:id="rId1"/>
  <customProperties>
    <customPr name="_pios_id" r:id="rId2"/>
    <customPr name="IbpWorksheetKeyString_GUID" r:id="rId3"/>
  </customProperties>
  <drawing r:id="rId4"/>
  <legacyDrawing r:id="rId5"/>
  <controls>
    <mc:AlternateContent xmlns:mc="http://schemas.openxmlformats.org/markup-compatibility/2006">
      <mc:Choice Requires="x14">
        <control shapeId="18477" r:id="rId6" name="cbApplyOddEvenFormatting">
          <controlPr defaultSize="0" autoFill="0" autoLine="0" r:id="rId7">
            <anchor moveWithCells="1">
              <from>
                <xdr:col>7</xdr:col>
                <xdr:colOff>1676400</xdr:colOff>
                <xdr:row>190</xdr:row>
                <xdr:rowOff>66675</xdr:rowOff>
              </from>
              <to>
                <xdr:col>7</xdr:col>
                <xdr:colOff>1800225</xdr:colOff>
                <xdr:row>190</xdr:row>
                <xdr:rowOff>342900</xdr:rowOff>
              </to>
            </anchor>
          </controlPr>
        </control>
      </mc:Choice>
      <mc:Fallback>
        <control shapeId="18477" r:id="rId6" name="cbApplyOddEvenFormatting"/>
      </mc:Fallback>
    </mc:AlternateContent>
    <mc:AlternateContent xmlns:mc="http://schemas.openxmlformats.org/markup-compatibility/2006">
      <mc:Choice Requires="x14">
        <control shapeId="18459" r:id="rId8" name="cbApplyMemberFormatting">
          <controlPr defaultSize="0" autoFill="0" autoLine="0" r:id="rId9">
            <anchor moveWithCells="1">
              <from>
                <xdr:col>9</xdr:col>
                <xdr:colOff>476250</xdr:colOff>
                <xdr:row>21</xdr:row>
                <xdr:rowOff>66675</xdr:rowOff>
              </from>
              <to>
                <xdr:col>9</xdr:col>
                <xdr:colOff>600075</xdr:colOff>
                <xdr:row>21</xdr:row>
                <xdr:rowOff>342900</xdr:rowOff>
              </to>
            </anchor>
          </controlPr>
        </control>
      </mc:Choice>
      <mc:Fallback>
        <control shapeId="18459" r:id="rId8" name="cbApplyMemberFormatting"/>
      </mc:Fallback>
    </mc:AlternateContent>
    <mc:AlternateContent xmlns:mc="http://schemas.openxmlformats.org/markup-compatibility/2006">
      <mc:Choice Requires="x14">
        <control shapeId="18433" r:id="rId10" name="cbApplyLevelFormatting">
          <controlPr defaultSize="0" autoFill="0" autoLine="0" r:id="rId11">
            <anchor moveWithCells="1">
              <from>
                <xdr:col>7</xdr:col>
                <xdr:colOff>1485900</xdr:colOff>
                <xdr:row>4</xdr:row>
                <xdr:rowOff>66675</xdr:rowOff>
              </from>
              <to>
                <xdr:col>7</xdr:col>
                <xdr:colOff>1609725</xdr:colOff>
                <xdr:row>4</xdr:row>
                <xdr:rowOff>342900</xdr:rowOff>
              </to>
            </anchor>
          </controlPr>
        </control>
      </mc:Choice>
      <mc:Fallback>
        <control shapeId="18433" r:id="rId10" name="cbApplyLevelFormatting"/>
      </mc:Fallback>
    </mc:AlternateContent>
    <mc:AlternateContent xmlns:mc="http://schemas.openxmlformats.org/markup-compatibility/2006">
      <mc:Choice Requires="x14">
        <control shapeId="18434" r:id="rId12"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18435" r:id="rId13" name="obLevelRowFirst">
          <controlPr defaultSize="0" autoFill="0" autoLine="0" autoPict="0" macro="_xll.IBPXLClient.TechnicalCategory.ButtonActionInIBPClientFormattingSheet">
            <anchor moveWithCells="1">
              <from>
                <xdr:col>3</xdr:col>
                <xdr:colOff>485775</xdr:colOff>
                <xdr:row>5</xdr:row>
                <xdr:rowOff>57150</xdr:rowOff>
              </from>
              <to>
                <xdr:col>3</xdr:col>
                <xdr:colOff>2619375</xdr:colOff>
                <xdr:row>5</xdr:row>
                <xdr:rowOff>276225</xdr:rowOff>
              </to>
            </anchor>
          </controlPr>
        </control>
      </mc:Choice>
    </mc:AlternateContent>
    <mc:AlternateContent xmlns:mc="http://schemas.openxmlformats.org/markup-compatibility/2006">
      <mc:Choice Requires="x14">
        <control shapeId="18436" r:id="rId14" name="obLevelColumnFirst">
          <controlPr defaultSize="0" autoFill="0" autoLine="0" autoPict="0" macro="_xll.IBPXLClient.TechnicalCategory.ButtonActionInIBP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18437" r:id="rId15" name="Group Box 5">
          <controlPr defaultSize="0" autoPict="0">
            <anchor moveWithCells="1">
              <from>
                <xdr:col>3</xdr:col>
                <xdr:colOff>2752725</xdr:colOff>
                <xdr:row>5</xdr:row>
                <xdr:rowOff>0</xdr:rowOff>
              </from>
              <to>
                <xdr:col>8</xdr:col>
                <xdr:colOff>180975</xdr:colOff>
                <xdr:row>6</xdr:row>
                <xdr:rowOff>0</xdr:rowOff>
              </to>
            </anchor>
          </controlPr>
        </control>
      </mc:Choice>
    </mc:AlternateContent>
    <mc:AlternateContent xmlns:mc="http://schemas.openxmlformats.org/markup-compatibility/2006">
      <mc:Choice Requires="x14">
        <control shapeId="18442" r:id="rId16" name="Group Box 10">
          <controlPr defaultSize="0" autoPict="0">
            <anchor moveWithCells="1">
              <from>
                <xdr:col>10</xdr:col>
                <xdr:colOff>209550</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18445" r:id="rId17" name="cbUseDefaultLevelFirst">
          <controlPr defaultSize="0" autoFill="0" autoLine="0" autoPict="0">
            <anchor moveWithCells="1">
              <from>
                <xdr:col>2</xdr:col>
                <xdr:colOff>123825</xdr:colOff>
                <xdr:row>14</xdr:row>
                <xdr:rowOff>200025</xdr:rowOff>
              </from>
              <to>
                <xdr:col>2</xdr:col>
                <xdr:colOff>1019175</xdr:colOff>
                <xdr:row>17</xdr:row>
                <xdr:rowOff>38100</xdr:rowOff>
              </to>
            </anchor>
          </controlPr>
        </control>
      </mc:Choice>
    </mc:AlternateContent>
    <mc:AlternateContent xmlns:mc="http://schemas.openxmlformats.org/markup-compatibility/2006">
      <mc:Choice Requires="x14">
        <control shapeId="18451" r:id="rId18" name="Group Box 19">
          <controlPr defaultSize="0" autoPict="0">
            <anchor moveWithCells="1">
              <from>
                <xdr:col>10</xdr:col>
                <xdr:colOff>209550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8454" r:id="rId19" name="cbUseDefaultLevelSecond">
          <controlPr defaultSize="0" autoFill="0" autoLine="0" autoPict="0">
            <anchor moveWithCells="1">
              <from>
                <xdr:col>2</xdr:col>
                <xdr:colOff>123825</xdr:colOff>
                <xdr:row>9</xdr:row>
                <xdr:rowOff>0</xdr:rowOff>
              </from>
              <to>
                <xdr:col>2</xdr:col>
                <xdr:colOff>1019175</xdr:colOff>
                <xdr:row>11</xdr:row>
                <xdr:rowOff>38100</xdr:rowOff>
              </to>
            </anchor>
          </controlPr>
        </control>
      </mc:Choice>
    </mc:AlternateContent>
    <mc:AlternateContent xmlns:mc="http://schemas.openxmlformats.org/markup-compatibility/2006">
      <mc:Choice Requires="x14">
        <control shapeId="18460" r:id="rId20" name="Group Box 28">
          <controlPr defaultSize="0" autoPict="0">
            <anchor moveWithCells="1">
              <from>
                <xdr:col>1</xdr:col>
                <xdr:colOff>0</xdr:colOff>
                <xdr:row>22</xdr:row>
                <xdr:rowOff>0</xdr:rowOff>
              </from>
              <to>
                <xdr:col>11</xdr:col>
                <xdr:colOff>1276350</xdr:colOff>
                <xdr:row>23</xdr:row>
                <xdr:rowOff>0</xdr:rowOff>
              </to>
            </anchor>
          </controlPr>
        </control>
      </mc:Choice>
    </mc:AlternateContent>
    <mc:AlternateContent xmlns:mc="http://schemas.openxmlformats.org/markup-compatibility/2006">
      <mc:Choice Requires="x14">
        <control shapeId="18461" r:id="rId21" name="obMemberRowFirst">
          <controlPr defaultSize="0" autoFill="0" autoLine="0" autoPict="0" macro="_xll.IBPXLClient.TechnicalCategory.ButtonActionInIBPClientFormattingSheet">
            <anchor moveWithCells="1">
              <from>
                <xdr:col>3</xdr:col>
                <xdr:colOff>485775</xdr:colOff>
                <xdr:row>22</xdr:row>
                <xdr:rowOff>57150</xdr:rowOff>
              </from>
              <to>
                <xdr:col>3</xdr:col>
                <xdr:colOff>2619375</xdr:colOff>
                <xdr:row>22</xdr:row>
                <xdr:rowOff>276225</xdr:rowOff>
              </to>
            </anchor>
          </controlPr>
        </control>
      </mc:Choice>
    </mc:AlternateContent>
    <mc:AlternateContent xmlns:mc="http://schemas.openxmlformats.org/markup-compatibility/2006">
      <mc:Choice Requires="x14">
        <control shapeId="18462" r:id="rId22" name="obMemberColumnFirst">
          <controlPr defaultSize="0" autoFill="0" autoLine="0" autoPict="0" macro="_xll.IBPXLClient.TechnicalCategory.ButtonActionInIBPClientFormattingSheet">
            <anchor moveWithCells="1">
              <from>
                <xdr:col>1</xdr:col>
                <xdr:colOff>209550</xdr:colOff>
                <xdr:row>22</xdr:row>
                <xdr:rowOff>57150</xdr:rowOff>
              </from>
              <to>
                <xdr:col>3</xdr:col>
                <xdr:colOff>447675</xdr:colOff>
                <xdr:row>22</xdr:row>
                <xdr:rowOff>276225</xdr:rowOff>
              </to>
            </anchor>
          </controlPr>
        </control>
      </mc:Choice>
    </mc:AlternateContent>
    <mc:AlternateContent xmlns:mc="http://schemas.openxmlformats.org/markup-compatibility/2006">
      <mc:Choice Requires="x14">
        <control shapeId="18464" r:id="rId23" name="cbApplyCalculatedMemberFirst">
          <controlPr defaultSize="0" autoFill="0" autoLine="0" autoPict="0">
            <anchor moveWithCells="1">
              <from>
                <xdr:col>2</xdr:col>
                <xdr:colOff>123825</xdr:colOff>
                <xdr:row>25</xdr:row>
                <xdr:rowOff>0</xdr:rowOff>
              </from>
              <to>
                <xdr:col>2</xdr:col>
                <xdr:colOff>1019175</xdr:colOff>
                <xdr:row>28</xdr:row>
                <xdr:rowOff>0</xdr:rowOff>
              </to>
            </anchor>
          </controlPr>
        </control>
      </mc:Choice>
    </mc:AlternateContent>
    <mc:AlternateContent xmlns:mc="http://schemas.openxmlformats.org/markup-compatibility/2006">
      <mc:Choice Requires="x14">
        <control shapeId="18465" r:id="rId24" name="cbApplyImputableMemberFirst">
          <controlPr defaultSize="0" autoFill="0" autoLine="0" autoPict="0">
            <anchor moveWithCells="1">
              <from>
                <xdr:col>2</xdr:col>
                <xdr:colOff>123825</xdr:colOff>
                <xdr:row>28</xdr:row>
                <xdr:rowOff>0</xdr:rowOff>
              </from>
              <to>
                <xdr:col>2</xdr:col>
                <xdr:colOff>1019175</xdr:colOff>
                <xdr:row>30</xdr:row>
                <xdr:rowOff>38100</xdr:rowOff>
              </to>
            </anchor>
          </controlPr>
        </control>
      </mc:Choice>
    </mc:AlternateContent>
    <mc:AlternateContent xmlns:mc="http://schemas.openxmlformats.org/markup-compatibility/2006">
      <mc:Choice Requires="x14">
        <control shapeId="18466" r:id="rId25" name="cbApplyLocalMemberFirst">
          <controlPr defaultSize="0" autoFill="0" autoLine="0" autoPict="0">
            <anchor moveWithCells="1">
              <from>
                <xdr:col>2</xdr:col>
                <xdr:colOff>123825</xdr:colOff>
                <xdr:row>31</xdr:row>
                <xdr:rowOff>0</xdr:rowOff>
              </from>
              <to>
                <xdr:col>2</xdr:col>
                <xdr:colOff>1019175</xdr:colOff>
                <xdr:row>33</xdr:row>
                <xdr:rowOff>38100</xdr:rowOff>
              </to>
            </anchor>
          </controlPr>
        </control>
      </mc:Choice>
    </mc:AlternateContent>
    <mc:AlternateContent xmlns:mc="http://schemas.openxmlformats.org/markup-compatibility/2006">
      <mc:Choice Requires="x14">
        <control shapeId="18467" r:id="rId26" name="cbApplyChangedMemberFirst">
          <controlPr defaultSize="0" autoFill="0" autoLine="0" autoPict="0">
            <anchor moveWithCells="1">
              <from>
                <xdr:col>2</xdr:col>
                <xdr:colOff>123825</xdr:colOff>
                <xdr:row>34</xdr:row>
                <xdr:rowOff>0</xdr:rowOff>
              </from>
              <to>
                <xdr:col>2</xdr:col>
                <xdr:colOff>1019175</xdr:colOff>
                <xdr:row>36</xdr:row>
                <xdr:rowOff>38100</xdr:rowOff>
              </to>
            </anchor>
          </controlPr>
        </control>
      </mc:Choice>
    </mc:AlternateContent>
    <mc:AlternateContent xmlns:mc="http://schemas.openxmlformats.org/markup-compatibility/2006">
      <mc:Choice Requires="x14">
        <control shapeId="18468" r:id="rId27" name="cbApplySpecificMemberFirst">
          <controlPr defaultSize="0" autoFill="0" autoLine="0" autoPict="0">
            <anchor moveWithCells="1">
              <from>
                <xdr:col>2</xdr:col>
                <xdr:colOff>123825</xdr:colOff>
                <xdr:row>37</xdr:row>
                <xdr:rowOff>47625</xdr:rowOff>
              </from>
              <to>
                <xdr:col>2</xdr:col>
                <xdr:colOff>1019175</xdr:colOff>
                <xdr:row>39</xdr:row>
                <xdr:rowOff>0</xdr:rowOff>
              </to>
            </anchor>
          </controlPr>
        </control>
      </mc:Choice>
    </mc:AlternateContent>
    <mc:AlternateContent xmlns:mc="http://schemas.openxmlformats.org/markup-compatibility/2006">
      <mc:Choice Requires="x14">
        <control shapeId="18469" r:id="rId28" name="AddMemberFirst">
          <controlPr defaultSize="0" print="0" autoFill="0" autoPict="0" macro="_xll.IBPXLClient.TechnicalCategory.ButtonActionInIBPClientFormattingSheet">
            <anchor moveWithCells="1" sizeWithCells="1">
              <from>
                <xdr:col>3</xdr:col>
                <xdr:colOff>57150</xdr:colOff>
                <xdr:row>147</xdr:row>
                <xdr:rowOff>19050</xdr:rowOff>
              </from>
              <to>
                <xdr:col>3</xdr:col>
                <xdr:colOff>4286250</xdr:colOff>
                <xdr:row>147</xdr:row>
                <xdr:rowOff>266700</xdr:rowOff>
              </to>
            </anchor>
          </controlPr>
        </control>
      </mc:Choice>
    </mc:AlternateContent>
    <mc:AlternateContent xmlns:mc="http://schemas.openxmlformats.org/markup-compatibility/2006">
      <mc:Choice Requires="x14">
        <control shapeId="18471" r:id="rId29" name="cbApplyCalculatedMemberSecond">
          <controlPr defaultSize="0" autoFill="0" autoLine="0" autoPict="0">
            <anchor moveWithCells="1">
              <from>
                <xdr:col>2</xdr:col>
                <xdr:colOff>123825</xdr:colOff>
                <xdr:row>151</xdr:row>
                <xdr:rowOff>0</xdr:rowOff>
              </from>
              <to>
                <xdr:col>2</xdr:col>
                <xdr:colOff>1019175</xdr:colOff>
                <xdr:row>153</xdr:row>
                <xdr:rowOff>47625</xdr:rowOff>
              </to>
            </anchor>
          </controlPr>
        </control>
      </mc:Choice>
    </mc:AlternateContent>
    <mc:AlternateContent xmlns:mc="http://schemas.openxmlformats.org/markup-compatibility/2006">
      <mc:Choice Requires="x14">
        <control shapeId="18472" r:id="rId30" name="cbApplyImputableMemberSecond">
          <controlPr defaultSize="0" autoFill="0" autoLine="0" autoPict="0">
            <anchor moveWithCells="1">
              <from>
                <xdr:col>2</xdr:col>
                <xdr:colOff>123825</xdr:colOff>
                <xdr:row>154</xdr:row>
                <xdr:rowOff>0</xdr:rowOff>
              </from>
              <to>
                <xdr:col>2</xdr:col>
                <xdr:colOff>1019175</xdr:colOff>
                <xdr:row>156</xdr:row>
                <xdr:rowOff>38100</xdr:rowOff>
              </to>
            </anchor>
          </controlPr>
        </control>
      </mc:Choice>
    </mc:AlternateContent>
    <mc:AlternateContent xmlns:mc="http://schemas.openxmlformats.org/markup-compatibility/2006">
      <mc:Choice Requires="x14">
        <control shapeId="18473" r:id="rId31" name="cbApplyLocalMemberSecond">
          <controlPr defaultSize="0" autoFill="0" autoLine="0" autoPict="0">
            <anchor moveWithCells="1">
              <from>
                <xdr:col>2</xdr:col>
                <xdr:colOff>123825</xdr:colOff>
                <xdr:row>157</xdr:row>
                <xdr:rowOff>0</xdr:rowOff>
              </from>
              <to>
                <xdr:col>2</xdr:col>
                <xdr:colOff>1019175</xdr:colOff>
                <xdr:row>159</xdr:row>
                <xdr:rowOff>38100</xdr:rowOff>
              </to>
            </anchor>
          </controlPr>
        </control>
      </mc:Choice>
    </mc:AlternateContent>
    <mc:AlternateContent xmlns:mc="http://schemas.openxmlformats.org/markup-compatibility/2006">
      <mc:Choice Requires="x14">
        <control shapeId="18474" r:id="rId32" name="cbApplyChangedMemberSecond">
          <controlPr defaultSize="0" autoFill="0" autoLine="0" autoPict="0">
            <anchor moveWithCells="1">
              <from>
                <xdr:col>2</xdr:col>
                <xdr:colOff>123825</xdr:colOff>
                <xdr:row>160</xdr:row>
                <xdr:rowOff>0</xdr:rowOff>
              </from>
              <to>
                <xdr:col>2</xdr:col>
                <xdr:colOff>1019175</xdr:colOff>
                <xdr:row>162</xdr:row>
                <xdr:rowOff>38100</xdr:rowOff>
              </to>
            </anchor>
          </controlPr>
        </control>
      </mc:Choice>
    </mc:AlternateContent>
    <mc:AlternateContent xmlns:mc="http://schemas.openxmlformats.org/markup-compatibility/2006">
      <mc:Choice Requires="x14">
        <control shapeId="18475" r:id="rId33" name="cbApplySpecificMemberSecond">
          <controlPr defaultSize="0" autoFill="0" autoLine="0" autoPict="0">
            <anchor moveWithCells="1">
              <from>
                <xdr:col>2</xdr:col>
                <xdr:colOff>123825</xdr:colOff>
                <xdr:row>163</xdr:row>
                <xdr:rowOff>47625</xdr:rowOff>
              </from>
              <to>
                <xdr:col>2</xdr:col>
                <xdr:colOff>1019175</xdr:colOff>
                <xdr:row>165</xdr:row>
                <xdr:rowOff>0</xdr:rowOff>
              </to>
            </anchor>
          </controlPr>
        </control>
      </mc:Choice>
    </mc:AlternateContent>
    <mc:AlternateContent xmlns:mc="http://schemas.openxmlformats.org/markup-compatibility/2006">
      <mc:Choice Requires="x14">
        <control shapeId="18476" r:id="rId34" name="AddMemberSecond">
          <controlPr defaultSize="0" print="0" autoFill="0" autoPict="0" macro="_xll.IBPXLClient.TechnicalCategory.ButtonActionInIBPClientFormattingSheet">
            <anchor moveWithCells="1" sizeWithCells="1">
              <from>
                <xdr:col>3</xdr:col>
                <xdr:colOff>57150</xdr:colOff>
                <xdr:row>186</xdr:row>
                <xdr:rowOff>19050</xdr:rowOff>
              </from>
              <to>
                <xdr:col>3</xdr:col>
                <xdr:colOff>4286250</xdr:colOff>
                <xdr:row>186</xdr:row>
                <xdr:rowOff>266700</xdr:rowOff>
              </to>
            </anchor>
          </controlPr>
        </control>
      </mc:Choice>
    </mc:AlternateContent>
    <mc:AlternateContent xmlns:mc="http://schemas.openxmlformats.org/markup-compatibility/2006">
      <mc:Choice Requires="x14">
        <control shapeId="18478" r:id="rId35" name="Group Box 46">
          <controlPr defaultSize="0" autoPict="0">
            <anchor moveWithCells="1">
              <from>
                <xdr:col>1</xdr:col>
                <xdr:colOff>0</xdr:colOff>
                <xdr:row>191</xdr:row>
                <xdr:rowOff>0</xdr:rowOff>
              </from>
              <to>
                <xdr:col>11</xdr:col>
                <xdr:colOff>1276350</xdr:colOff>
                <xdr:row>192</xdr:row>
                <xdr:rowOff>0</xdr:rowOff>
              </to>
            </anchor>
          </controlPr>
        </control>
      </mc:Choice>
    </mc:AlternateContent>
    <mc:AlternateContent xmlns:mc="http://schemas.openxmlformats.org/markup-compatibility/2006">
      <mc:Choice Requires="x14">
        <control shapeId="18479" r:id="rId36" name="obOddEvenRowFirst">
          <controlPr defaultSize="0" autoFill="0" autoLine="0" autoPict="0" macro="_xll.IBPXLClient.TechnicalCategory.ButtonActionInIBPClientFormattingSheet">
            <anchor moveWithCells="1">
              <from>
                <xdr:col>3</xdr:col>
                <xdr:colOff>485775</xdr:colOff>
                <xdr:row>191</xdr:row>
                <xdr:rowOff>66675</xdr:rowOff>
              </from>
              <to>
                <xdr:col>3</xdr:col>
                <xdr:colOff>2619375</xdr:colOff>
                <xdr:row>191</xdr:row>
                <xdr:rowOff>276225</xdr:rowOff>
              </to>
            </anchor>
          </controlPr>
        </control>
      </mc:Choice>
    </mc:AlternateContent>
    <mc:AlternateContent xmlns:mc="http://schemas.openxmlformats.org/markup-compatibility/2006">
      <mc:Choice Requires="x14">
        <control shapeId="18480" r:id="rId37" name="obOddEvenColumnFirst">
          <controlPr defaultSize="0" autoFill="0" autoLine="0" autoPict="0" macro="_xll.IBPXLClient.TechnicalCategory.ButtonActionInIBPClientFormattingSheet">
            <anchor moveWithCells="1">
              <from>
                <xdr:col>1</xdr:col>
                <xdr:colOff>209550</xdr:colOff>
                <xdr:row>191</xdr:row>
                <xdr:rowOff>66675</xdr:rowOff>
              </from>
              <to>
                <xdr:col>3</xdr:col>
                <xdr:colOff>447675</xdr:colOff>
                <xdr:row>191</xdr:row>
                <xdr:rowOff>276225</xdr:rowOff>
              </to>
            </anchor>
          </controlPr>
        </control>
      </mc:Choice>
    </mc:AlternateContent>
    <mc:AlternateContent xmlns:mc="http://schemas.openxmlformats.org/markup-compatibility/2006">
      <mc:Choice Requires="x14">
        <control shapeId="18481" r:id="rId38" name="cbUseOddFirst">
          <controlPr defaultSize="0" autoFill="0" autoLine="0" autoPict="0">
            <anchor moveWithCells="1">
              <from>
                <xdr:col>2</xdr:col>
                <xdr:colOff>123825</xdr:colOff>
                <xdr:row>194</xdr:row>
                <xdr:rowOff>0</xdr:rowOff>
              </from>
              <to>
                <xdr:col>2</xdr:col>
                <xdr:colOff>1019175</xdr:colOff>
                <xdr:row>196</xdr:row>
                <xdr:rowOff>38100</xdr:rowOff>
              </to>
            </anchor>
          </controlPr>
        </control>
      </mc:Choice>
    </mc:AlternateContent>
    <mc:AlternateContent xmlns:mc="http://schemas.openxmlformats.org/markup-compatibility/2006">
      <mc:Choice Requires="x14">
        <control shapeId="18482" r:id="rId39" name="cbUseEvenFirst">
          <controlPr defaultSize="0" autoFill="0" autoLine="0" autoPict="0">
            <anchor moveWithCells="1">
              <from>
                <xdr:col>2</xdr:col>
                <xdr:colOff>123825</xdr:colOff>
                <xdr:row>197</xdr:row>
                <xdr:rowOff>0</xdr:rowOff>
              </from>
              <to>
                <xdr:col>2</xdr:col>
                <xdr:colOff>1019175</xdr:colOff>
                <xdr:row>199</xdr:row>
                <xdr:rowOff>38100</xdr:rowOff>
              </to>
            </anchor>
          </controlPr>
        </control>
      </mc:Choice>
    </mc:AlternateContent>
    <mc:AlternateContent xmlns:mc="http://schemas.openxmlformats.org/markup-compatibility/2006">
      <mc:Choice Requires="x14">
        <control shapeId="18483" r:id="rId40" name="cbUseOddSecond">
          <controlPr defaultSize="0" autoFill="0" autoLine="0" autoPict="0">
            <anchor moveWithCells="1">
              <from>
                <xdr:col>2</xdr:col>
                <xdr:colOff>123825</xdr:colOff>
                <xdr:row>202</xdr:row>
                <xdr:rowOff>0</xdr:rowOff>
              </from>
              <to>
                <xdr:col>2</xdr:col>
                <xdr:colOff>1019175</xdr:colOff>
                <xdr:row>204</xdr:row>
                <xdr:rowOff>38100</xdr:rowOff>
              </to>
            </anchor>
          </controlPr>
        </control>
      </mc:Choice>
    </mc:AlternateContent>
    <mc:AlternateContent xmlns:mc="http://schemas.openxmlformats.org/markup-compatibility/2006">
      <mc:Choice Requires="x14">
        <control shapeId="18484" r:id="rId41" name="cbUseEvenSecond">
          <controlPr defaultSize="0" autoFill="0" autoLine="0" autoPict="0">
            <anchor moveWithCells="1">
              <from>
                <xdr:col>2</xdr:col>
                <xdr:colOff>123825</xdr:colOff>
                <xdr:row>204</xdr:row>
                <xdr:rowOff>47625</xdr:rowOff>
              </from>
              <to>
                <xdr:col>2</xdr:col>
                <xdr:colOff>1019175</xdr:colOff>
                <xdr:row>207</xdr:row>
                <xdr:rowOff>38100</xdr:rowOff>
              </to>
            </anchor>
          </controlPr>
        </control>
      </mc:Choice>
    </mc:AlternateContent>
    <mc:AlternateContent xmlns:mc="http://schemas.openxmlformats.org/markup-compatibility/2006">
      <mc:Choice Requires="x14">
        <control shapeId="18489" r:id="rId42" name="AddedMember1_1">
          <controlPr defaultSize="0" print="0" autoFill="0" autoPict="0" macro="_xll.IBPXLClient.TechnicalCategory.ButtonActionInIBPClientFormattingSheet">
            <anchor moveWithCells="1" sizeWithCells="1">
              <from>
                <xdr:col>11</xdr:col>
                <xdr:colOff>2438400</xdr:colOff>
                <xdr:row>39</xdr:row>
                <xdr:rowOff>47625</xdr:rowOff>
              </from>
              <to>
                <xdr:col>12</xdr:col>
                <xdr:colOff>676275</xdr:colOff>
                <xdr:row>40</xdr:row>
                <xdr:rowOff>190500</xdr:rowOff>
              </to>
            </anchor>
          </controlPr>
        </control>
      </mc:Choice>
    </mc:AlternateContent>
    <mc:AlternateContent xmlns:mc="http://schemas.openxmlformats.org/markup-compatibility/2006">
      <mc:Choice Requires="x14">
        <control shapeId="18490" r:id="rId43" name="ChangeMember1_1">
          <controlPr defaultSize="0" print="0" autoFill="0" autoPict="0" macro="_xll.IBPXLClient.TechnicalCategory.ButtonActionInIBPClientFormattingSheet">
            <anchor moveWithCells="1" sizeWithCells="1">
              <from>
                <xdr:col>13</xdr:col>
                <xdr:colOff>0</xdr:colOff>
                <xdr:row>39</xdr:row>
                <xdr:rowOff>47625</xdr:rowOff>
              </from>
              <to>
                <xdr:col>13</xdr:col>
                <xdr:colOff>685800</xdr:colOff>
                <xdr:row>40</xdr:row>
                <xdr:rowOff>190500</xdr:rowOff>
              </to>
            </anchor>
          </controlPr>
        </control>
      </mc:Choice>
    </mc:AlternateContent>
    <mc:AlternateContent xmlns:mc="http://schemas.openxmlformats.org/markup-compatibility/2006">
      <mc:Choice Requires="x14">
        <control shapeId="18491" r:id="rId44" name="UpMember1_1">
          <controlPr defaultSize="0" print="0" autoFill="0" autoPict="0" macro="_xll.IBPXLClient.TechnicalCategory.ButtonActionInIBPClientFormattingSheet">
            <anchor moveWithCells="1" sizeWithCells="1">
              <from>
                <xdr:col>14</xdr:col>
                <xdr:colOff>0</xdr:colOff>
                <xdr:row>39</xdr:row>
                <xdr:rowOff>47625</xdr:rowOff>
              </from>
              <to>
                <xdr:col>14</xdr:col>
                <xdr:colOff>685800</xdr:colOff>
                <xdr:row>40</xdr:row>
                <xdr:rowOff>190500</xdr:rowOff>
              </to>
            </anchor>
          </controlPr>
        </control>
      </mc:Choice>
    </mc:AlternateContent>
    <mc:AlternateContent xmlns:mc="http://schemas.openxmlformats.org/markup-compatibility/2006">
      <mc:Choice Requires="x14">
        <control shapeId="18492" r:id="rId45" name="DownMember1_1">
          <controlPr defaultSize="0" print="0" autoFill="0" autoPict="0" macro="_xll.IBPXLClient.TechnicalCategory.ButtonActionInIBPClientFormattingSheet">
            <anchor moveWithCells="1" sizeWithCells="1">
              <from>
                <xdr:col>14</xdr:col>
                <xdr:colOff>704850</xdr:colOff>
                <xdr:row>39</xdr:row>
                <xdr:rowOff>47625</xdr:rowOff>
              </from>
              <to>
                <xdr:col>15</xdr:col>
                <xdr:colOff>676275</xdr:colOff>
                <xdr:row>40</xdr:row>
                <xdr:rowOff>190500</xdr:rowOff>
              </to>
            </anchor>
          </controlPr>
        </control>
      </mc:Choice>
    </mc:AlternateContent>
    <mc:AlternateContent xmlns:mc="http://schemas.openxmlformats.org/markup-compatibility/2006">
      <mc:Choice Requires="x14">
        <control shapeId="18493" r:id="rId46" name="AddedMember1_2">
          <controlPr defaultSize="0" print="0" autoFill="0" autoPict="0" macro="_xll.IBPXLClient.TechnicalCategory.ButtonActionInIBPClientFormattingSheet">
            <anchor moveWithCells="1" sizeWithCells="1">
              <from>
                <xdr:col>11</xdr:col>
                <xdr:colOff>2438400</xdr:colOff>
                <xdr:row>42</xdr:row>
                <xdr:rowOff>47625</xdr:rowOff>
              </from>
              <to>
                <xdr:col>12</xdr:col>
                <xdr:colOff>676275</xdr:colOff>
                <xdr:row>44</xdr:row>
                <xdr:rowOff>0</xdr:rowOff>
              </to>
            </anchor>
          </controlPr>
        </control>
      </mc:Choice>
    </mc:AlternateContent>
    <mc:AlternateContent xmlns:mc="http://schemas.openxmlformats.org/markup-compatibility/2006">
      <mc:Choice Requires="x14">
        <control shapeId="18494" r:id="rId47" name="ChangeMember1_2">
          <controlPr defaultSize="0" print="0" autoFill="0" autoPict="0" macro="_xll.IBPXLClient.TechnicalCategory.ButtonActionInIBPClientFormattingSheet">
            <anchor moveWithCells="1" sizeWithCells="1">
              <from>
                <xdr:col>13</xdr:col>
                <xdr:colOff>0</xdr:colOff>
                <xdr:row>42</xdr:row>
                <xdr:rowOff>47625</xdr:rowOff>
              </from>
              <to>
                <xdr:col>13</xdr:col>
                <xdr:colOff>685800</xdr:colOff>
                <xdr:row>44</xdr:row>
                <xdr:rowOff>0</xdr:rowOff>
              </to>
            </anchor>
          </controlPr>
        </control>
      </mc:Choice>
    </mc:AlternateContent>
    <mc:AlternateContent xmlns:mc="http://schemas.openxmlformats.org/markup-compatibility/2006">
      <mc:Choice Requires="x14">
        <control shapeId="18495" r:id="rId48" name="UpMember1_2">
          <controlPr defaultSize="0" print="0" autoFill="0" autoPict="0" macro="_xll.IBPXLClient.TechnicalCategory.ButtonActionInIBPClientFormattingSheet">
            <anchor moveWithCells="1" sizeWithCells="1">
              <from>
                <xdr:col>14</xdr:col>
                <xdr:colOff>0</xdr:colOff>
                <xdr:row>42</xdr:row>
                <xdr:rowOff>47625</xdr:rowOff>
              </from>
              <to>
                <xdr:col>14</xdr:col>
                <xdr:colOff>685800</xdr:colOff>
                <xdr:row>44</xdr:row>
                <xdr:rowOff>0</xdr:rowOff>
              </to>
            </anchor>
          </controlPr>
        </control>
      </mc:Choice>
    </mc:AlternateContent>
    <mc:AlternateContent xmlns:mc="http://schemas.openxmlformats.org/markup-compatibility/2006">
      <mc:Choice Requires="x14">
        <control shapeId="18496" r:id="rId49" name="DownMember1_2">
          <controlPr defaultSize="0" print="0" autoFill="0" autoPict="0" macro="_xll.IBPXLClient.TechnicalCategory.ButtonActionInIBPClientFormattingSheet">
            <anchor moveWithCells="1" sizeWithCells="1">
              <from>
                <xdr:col>14</xdr:col>
                <xdr:colOff>704850</xdr:colOff>
                <xdr:row>42</xdr:row>
                <xdr:rowOff>47625</xdr:rowOff>
              </from>
              <to>
                <xdr:col>15</xdr:col>
                <xdr:colOff>676275</xdr:colOff>
                <xdr:row>44</xdr:row>
                <xdr:rowOff>0</xdr:rowOff>
              </to>
            </anchor>
          </controlPr>
        </control>
      </mc:Choice>
    </mc:AlternateContent>
    <mc:AlternateContent xmlns:mc="http://schemas.openxmlformats.org/markup-compatibility/2006">
      <mc:Choice Requires="x14">
        <control shapeId="18497" r:id="rId50" name="AddedMember1_3">
          <controlPr defaultSize="0" print="0" autoFill="0" autoPict="0" macro="_xll.IBPXLClient.TechnicalCategory.ButtonActionInIBPClientFormattingSheet">
            <anchor moveWithCells="1" sizeWithCells="1">
              <from>
                <xdr:col>11</xdr:col>
                <xdr:colOff>2438400</xdr:colOff>
                <xdr:row>46</xdr:row>
                <xdr:rowOff>0</xdr:rowOff>
              </from>
              <to>
                <xdr:col>12</xdr:col>
                <xdr:colOff>676275</xdr:colOff>
                <xdr:row>47</xdr:row>
                <xdr:rowOff>0</xdr:rowOff>
              </to>
            </anchor>
          </controlPr>
        </control>
      </mc:Choice>
    </mc:AlternateContent>
    <mc:AlternateContent xmlns:mc="http://schemas.openxmlformats.org/markup-compatibility/2006">
      <mc:Choice Requires="x14">
        <control shapeId="18498" r:id="rId51" name="ChangeMember1_3">
          <controlPr defaultSize="0" print="0" autoFill="0" autoPict="0" macro="_xll.IBPXLClient.TechnicalCategory.ButtonActionInIBPClientFormattingSheet">
            <anchor moveWithCells="1" sizeWithCells="1">
              <from>
                <xdr:col>13</xdr:col>
                <xdr:colOff>0</xdr:colOff>
                <xdr:row>46</xdr:row>
                <xdr:rowOff>0</xdr:rowOff>
              </from>
              <to>
                <xdr:col>13</xdr:col>
                <xdr:colOff>685800</xdr:colOff>
                <xdr:row>47</xdr:row>
                <xdr:rowOff>0</xdr:rowOff>
              </to>
            </anchor>
          </controlPr>
        </control>
      </mc:Choice>
    </mc:AlternateContent>
    <mc:AlternateContent xmlns:mc="http://schemas.openxmlformats.org/markup-compatibility/2006">
      <mc:Choice Requires="x14">
        <control shapeId="18499" r:id="rId52" name="UpMember1_3">
          <controlPr defaultSize="0" print="0" autoFill="0" autoPict="0" macro="_xll.IBPXLClient.TechnicalCategory.ButtonActionInIBPClientFormattingSheet">
            <anchor moveWithCells="1" sizeWithCells="1">
              <from>
                <xdr:col>14</xdr:col>
                <xdr:colOff>0</xdr:colOff>
                <xdr:row>46</xdr:row>
                <xdr:rowOff>0</xdr:rowOff>
              </from>
              <to>
                <xdr:col>14</xdr:col>
                <xdr:colOff>685800</xdr:colOff>
                <xdr:row>47</xdr:row>
                <xdr:rowOff>0</xdr:rowOff>
              </to>
            </anchor>
          </controlPr>
        </control>
      </mc:Choice>
    </mc:AlternateContent>
    <mc:AlternateContent xmlns:mc="http://schemas.openxmlformats.org/markup-compatibility/2006">
      <mc:Choice Requires="x14">
        <control shapeId="18500" r:id="rId53" name="DownMember1_3">
          <controlPr defaultSize="0" print="0" autoFill="0" autoPict="0" macro="_xll.IBPXLClient.TechnicalCategory.ButtonActionInIBPClientFormattingSheet">
            <anchor moveWithCells="1" sizeWithCells="1">
              <from>
                <xdr:col>14</xdr:col>
                <xdr:colOff>704850</xdr:colOff>
                <xdr:row>46</xdr:row>
                <xdr:rowOff>0</xdr:rowOff>
              </from>
              <to>
                <xdr:col>15</xdr:col>
                <xdr:colOff>676275</xdr:colOff>
                <xdr:row>47</xdr:row>
                <xdr:rowOff>0</xdr:rowOff>
              </to>
            </anchor>
          </controlPr>
        </control>
      </mc:Choice>
    </mc:AlternateContent>
    <mc:AlternateContent xmlns:mc="http://schemas.openxmlformats.org/markup-compatibility/2006">
      <mc:Choice Requires="x14">
        <control shapeId="18501" r:id="rId54" name="AddedMember1_4">
          <controlPr defaultSize="0" print="0" autoFill="0" autoPict="0" macro="_xll.IBPXLClient.TechnicalCategory.ButtonActionInIBPClientFormattingSheet">
            <anchor moveWithCells="1" sizeWithCells="1">
              <from>
                <xdr:col>11</xdr:col>
                <xdr:colOff>2438400</xdr:colOff>
                <xdr:row>49</xdr:row>
                <xdr:rowOff>0</xdr:rowOff>
              </from>
              <to>
                <xdr:col>12</xdr:col>
                <xdr:colOff>676275</xdr:colOff>
                <xdr:row>50</xdr:row>
                <xdr:rowOff>0</xdr:rowOff>
              </to>
            </anchor>
          </controlPr>
        </control>
      </mc:Choice>
    </mc:AlternateContent>
    <mc:AlternateContent xmlns:mc="http://schemas.openxmlformats.org/markup-compatibility/2006">
      <mc:Choice Requires="x14">
        <control shapeId="18502" r:id="rId55" name="ChangeMember1_4">
          <controlPr defaultSize="0" print="0" autoFill="0" autoPict="0" macro="_xll.IBPXLClient.TechnicalCategory.ButtonActionInIBPClientFormattingSheet">
            <anchor moveWithCells="1" sizeWithCells="1">
              <from>
                <xdr:col>13</xdr:col>
                <xdr:colOff>0</xdr:colOff>
                <xdr:row>49</xdr:row>
                <xdr:rowOff>0</xdr:rowOff>
              </from>
              <to>
                <xdr:col>13</xdr:col>
                <xdr:colOff>685800</xdr:colOff>
                <xdr:row>50</xdr:row>
                <xdr:rowOff>0</xdr:rowOff>
              </to>
            </anchor>
          </controlPr>
        </control>
      </mc:Choice>
    </mc:AlternateContent>
    <mc:AlternateContent xmlns:mc="http://schemas.openxmlformats.org/markup-compatibility/2006">
      <mc:Choice Requires="x14">
        <control shapeId="18503" r:id="rId56" name="UpMember1_4">
          <controlPr defaultSize="0" print="0" autoFill="0" autoPict="0" macro="_xll.IBPXLClient.TechnicalCategory.ButtonActionInIBPClientFormattingSheet">
            <anchor moveWithCells="1" sizeWithCells="1">
              <from>
                <xdr:col>14</xdr:col>
                <xdr:colOff>0</xdr:colOff>
                <xdr:row>49</xdr:row>
                <xdr:rowOff>0</xdr:rowOff>
              </from>
              <to>
                <xdr:col>14</xdr:col>
                <xdr:colOff>685800</xdr:colOff>
                <xdr:row>50</xdr:row>
                <xdr:rowOff>0</xdr:rowOff>
              </to>
            </anchor>
          </controlPr>
        </control>
      </mc:Choice>
    </mc:AlternateContent>
    <mc:AlternateContent xmlns:mc="http://schemas.openxmlformats.org/markup-compatibility/2006">
      <mc:Choice Requires="x14">
        <control shapeId="18504" r:id="rId57" name="DownMember1_4">
          <controlPr defaultSize="0" print="0" autoFill="0" autoPict="0" macro="_xll.IBPXLClient.TechnicalCategory.ButtonActionInIBPClientFormattingSheet">
            <anchor moveWithCells="1" sizeWithCells="1">
              <from>
                <xdr:col>14</xdr:col>
                <xdr:colOff>704850</xdr:colOff>
                <xdr:row>49</xdr:row>
                <xdr:rowOff>0</xdr:rowOff>
              </from>
              <to>
                <xdr:col>15</xdr:col>
                <xdr:colOff>676275</xdr:colOff>
                <xdr:row>50</xdr:row>
                <xdr:rowOff>0</xdr:rowOff>
              </to>
            </anchor>
          </controlPr>
        </control>
      </mc:Choice>
    </mc:AlternateContent>
    <mc:AlternateContent xmlns:mc="http://schemas.openxmlformats.org/markup-compatibility/2006">
      <mc:Choice Requires="x14">
        <control shapeId="18505" r:id="rId58" name="AddedMember1_5">
          <controlPr defaultSize="0" print="0" autoFill="0" autoPict="0" macro="_xll.IBPXLClient.TechnicalCategory.ButtonActionInIBPClientFormattingSheet">
            <anchor moveWithCells="1" sizeWithCells="1">
              <from>
                <xdr:col>11</xdr:col>
                <xdr:colOff>2438400</xdr:colOff>
                <xdr:row>52</xdr:row>
                <xdr:rowOff>0</xdr:rowOff>
              </from>
              <to>
                <xdr:col>12</xdr:col>
                <xdr:colOff>676275</xdr:colOff>
                <xdr:row>53</xdr:row>
                <xdr:rowOff>9525</xdr:rowOff>
              </to>
            </anchor>
          </controlPr>
        </control>
      </mc:Choice>
    </mc:AlternateContent>
    <mc:AlternateContent xmlns:mc="http://schemas.openxmlformats.org/markup-compatibility/2006">
      <mc:Choice Requires="x14">
        <control shapeId="18506" r:id="rId59" name="ChangeMember1_5">
          <controlPr defaultSize="0" print="0" autoFill="0" autoPict="0" macro="_xll.IBPXLClient.TechnicalCategory.ButtonActionInIBPClientFormattingSheet">
            <anchor moveWithCells="1" sizeWithCells="1">
              <from>
                <xdr:col>13</xdr:col>
                <xdr:colOff>0</xdr:colOff>
                <xdr:row>52</xdr:row>
                <xdr:rowOff>0</xdr:rowOff>
              </from>
              <to>
                <xdr:col>13</xdr:col>
                <xdr:colOff>685800</xdr:colOff>
                <xdr:row>53</xdr:row>
                <xdr:rowOff>9525</xdr:rowOff>
              </to>
            </anchor>
          </controlPr>
        </control>
      </mc:Choice>
    </mc:AlternateContent>
    <mc:AlternateContent xmlns:mc="http://schemas.openxmlformats.org/markup-compatibility/2006">
      <mc:Choice Requires="x14">
        <control shapeId="18507" r:id="rId60" name="UpMember1_5">
          <controlPr defaultSize="0" print="0" autoFill="0" autoPict="0" macro="_xll.IBPXLClient.TechnicalCategory.ButtonActionInIBPClientFormattingSheet">
            <anchor moveWithCells="1" sizeWithCells="1">
              <from>
                <xdr:col>14</xdr:col>
                <xdr:colOff>0</xdr:colOff>
                <xdr:row>52</xdr:row>
                <xdr:rowOff>0</xdr:rowOff>
              </from>
              <to>
                <xdr:col>14</xdr:col>
                <xdr:colOff>685800</xdr:colOff>
                <xdr:row>53</xdr:row>
                <xdr:rowOff>9525</xdr:rowOff>
              </to>
            </anchor>
          </controlPr>
        </control>
      </mc:Choice>
    </mc:AlternateContent>
    <mc:AlternateContent xmlns:mc="http://schemas.openxmlformats.org/markup-compatibility/2006">
      <mc:Choice Requires="x14">
        <control shapeId="18508" r:id="rId61" name="DownMember1_5">
          <controlPr defaultSize="0" print="0" autoFill="0" autoPict="0" macro="_xll.IBPXLClient.TechnicalCategory.ButtonActionInIBPClientFormattingSheet">
            <anchor moveWithCells="1" sizeWithCells="1">
              <from>
                <xdr:col>14</xdr:col>
                <xdr:colOff>704850</xdr:colOff>
                <xdr:row>52</xdr:row>
                <xdr:rowOff>0</xdr:rowOff>
              </from>
              <to>
                <xdr:col>15</xdr:col>
                <xdr:colOff>676275</xdr:colOff>
                <xdr:row>53</xdr:row>
                <xdr:rowOff>9525</xdr:rowOff>
              </to>
            </anchor>
          </controlPr>
        </control>
      </mc:Choice>
    </mc:AlternateContent>
    <mc:AlternateContent xmlns:mc="http://schemas.openxmlformats.org/markup-compatibility/2006">
      <mc:Choice Requires="x14">
        <control shapeId="18509" r:id="rId62" name="AddedMember1_6">
          <controlPr defaultSize="0" print="0" autoFill="0" autoPict="0" macro="_xll.IBPXLClient.TechnicalCategory.ButtonActionInIBPClientFormattingSheet">
            <anchor moveWithCells="1" sizeWithCells="1">
              <from>
                <xdr:col>11</xdr:col>
                <xdr:colOff>2438400</xdr:colOff>
                <xdr:row>54</xdr:row>
                <xdr:rowOff>47625</xdr:rowOff>
              </from>
              <to>
                <xdr:col>12</xdr:col>
                <xdr:colOff>676275</xdr:colOff>
                <xdr:row>56</xdr:row>
                <xdr:rowOff>0</xdr:rowOff>
              </to>
            </anchor>
          </controlPr>
        </control>
      </mc:Choice>
    </mc:AlternateContent>
    <mc:AlternateContent xmlns:mc="http://schemas.openxmlformats.org/markup-compatibility/2006">
      <mc:Choice Requires="x14">
        <control shapeId="18510" r:id="rId63" name="ChangeMember1_6">
          <controlPr defaultSize="0" print="0" autoFill="0" autoPict="0" macro="_xll.IBPXLClient.TechnicalCategory.ButtonActionInIBPClientFormattingSheet">
            <anchor moveWithCells="1" sizeWithCells="1">
              <from>
                <xdr:col>13</xdr:col>
                <xdr:colOff>0</xdr:colOff>
                <xdr:row>54</xdr:row>
                <xdr:rowOff>47625</xdr:rowOff>
              </from>
              <to>
                <xdr:col>13</xdr:col>
                <xdr:colOff>685800</xdr:colOff>
                <xdr:row>56</xdr:row>
                <xdr:rowOff>0</xdr:rowOff>
              </to>
            </anchor>
          </controlPr>
        </control>
      </mc:Choice>
    </mc:AlternateContent>
    <mc:AlternateContent xmlns:mc="http://schemas.openxmlformats.org/markup-compatibility/2006">
      <mc:Choice Requires="x14">
        <control shapeId="18511" r:id="rId64" name="UpMember1_6">
          <controlPr defaultSize="0" print="0" autoFill="0" autoPict="0" macro="_xll.IBPXLClient.TechnicalCategory.ButtonActionInIBPClientFormattingSheet">
            <anchor moveWithCells="1" sizeWithCells="1">
              <from>
                <xdr:col>14</xdr:col>
                <xdr:colOff>0</xdr:colOff>
                <xdr:row>54</xdr:row>
                <xdr:rowOff>47625</xdr:rowOff>
              </from>
              <to>
                <xdr:col>14</xdr:col>
                <xdr:colOff>685800</xdr:colOff>
                <xdr:row>56</xdr:row>
                <xdr:rowOff>0</xdr:rowOff>
              </to>
            </anchor>
          </controlPr>
        </control>
      </mc:Choice>
    </mc:AlternateContent>
    <mc:AlternateContent xmlns:mc="http://schemas.openxmlformats.org/markup-compatibility/2006">
      <mc:Choice Requires="x14">
        <control shapeId="18512" r:id="rId65" name="DownMember1_6">
          <controlPr defaultSize="0" print="0" autoFill="0" autoPict="0" macro="_xll.IBPXLClient.TechnicalCategory.ButtonActionInIBPClientFormattingSheet">
            <anchor moveWithCells="1" sizeWithCells="1">
              <from>
                <xdr:col>14</xdr:col>
                <xdr:colOff>704850</xdr:colOff>
                <xdr:row>54</xdr:row>
                <xdr:rowOff>47625</xdr:rowOff>
              </from>
              <to>
                <xdr:col>15</xdr:col>
                <xdr:colOff>676275</xdr:colOff>
                <xdr:row>56</xdr:row>
                <xdr:rowOff>0</xdr:rowOff>
              </to>
            </anchor>
          </controlPr>
        </control>
      </mc:Choice>
    </mc:AlternateContent>
    <mc:AlternateContent xmlns:mc="http://schemas.openxmlformats.org/markup-compatibility/2006">
      <mc:Choice Requires="x14">
        <control shapeId="18513" r:id="rId66" name="AddedMember1_7">
          <controlPr defaultSize="0" print="0" autoFill="0" autoPict="0" macro="_xll.IBPXLClient.TechnicalCategory.ButtonActionInIBPClientFormattingSheet">
            <anchor moveWithCells="1" sizeWithCells="1">
              <from>
                <xdr:col>11</xdr:col>
                <xdr:colOff>2438400</xdr:colOff>
                <xdr:row>58</xdr:row>
                <xdr:rowOff>0</xdr:rowOff>
              </from>
              <to>
                <xdr:col>12</xdr:col>
                <xdr:colOff>676275</xdr:colOff>
                <xdr:row>59</xdr:row>
                <xdr:rowOff>0</xdr:rowOff>
              </to>
            </anchor>
          </controlPr>
        </control>
      </mc:Choice>
    </mc:AlternateContent>
    <mc:AlternateContent xmlns:mc="http://schemas.openxmlformats.org/markup-compatibility/2006">
      <mc:Choice Requires="x14">
        <control shapeId="18514" r:id="rId67" name="ChangeMember1_7">
          <controlPr defaultSize="0" print="0" autoFill="0" autoPict="0" macro="_xll.IBPXLClient.TechnicalCategory.ButtonActionInIBPClientFormattingSheet">
            <anchor moveWithCells="1" sizeWithCells="1">
              <from>
                <xdr:col>13</xdr:col>
                <xdr:colOff>0</xdr:colOff>
                <xdr:row>58</xdr:row>
                <xdr:rowOff>0</xdr:rowOff>
              </from>
              <to>
                <xdr:col>13</xdr:col>
                <xdr:colOff>685800</xdr:colOff>
                <xdr:row>59</xdr:row>
                <xdr:rowOff>0</xdr:rowOff>
              </to>
            </anchor>
          </controlPr>
        </control>
      </mc:Choice>
    </mc:AlternateContent>
    <mc:AlternateContent xmlns:mc="http://schemas.openxmlformats.org/markup-compatibility/2006">
      <mc:Choice Requires="x14">
        <control shapeId="18515" r:id="rId68" name="UpMember1_7">
          <controlPr defaultSize="0" print="0" autoFill="0" autoPict="0" macro="_xll.IBPXLClient.TechnicalCategory.ButtonActionInIBPClientFormattingSheet">
            <anchor moveWithCells="1" sizeWithCells="1">
              <from>
                <xdr:col>14</xdr:col>
                <xdr:colOff>0</xdr:colOff>
                <xdr:row>58</xdr:row>
                <xdr:rowOff>0</xdr:rowOff>
              </from>
              <to>
                <xdr:col>14</xdr:col>
                <xdr:colOff>685800</xdr:colOff>
                <xdr:row>59</xdr:row>
                <xdr:rowOff>0</xdr:rowOff>
              </to>
            </anchor>
          </controlPr>
        </control>
      </mc:Choice>
    </mc:AlternateContent>
    <mc:AlternateContent xmlns:mc="http://schemas.openxmlformats.org/markup-compatibility/2006">
      <mc:Choice Requires="x14">
        <control shapeId="18516" r:id="rId69" name="DownMember1_7">
          <controlPr defaultSize="0" print="0" autoFill="0" autoPict="0" macro="_xll.IBPXLClient.TechnicalCategory.ButtonActionInIBPClientFormattingSheet">
            <anchor moveWithCells="1" sizeWithCells="1">
              <from>
                <xdr:col>14</xdr:col>
                <xdr:colOff>704850</xdr:colOff>
                <xdr:row>58</xdr:row>
                <xdr:rowOff>0</xdr:rowOff>
              </from>
              <to>
                <xdr:col>15</xdr:col>
                <xdr:colOff>676275</xdr:colOff>
                <xdr:row>59</xdr:row>
                <xdr:rowOff>0</xdr:rowOff>
              </to>
            </anchor>
          </controlPr>
        </control>
      </mc:Choice>
    </mc:AlternateContent>
    <mc:AlternateContent xmlns:mc="http://schemas.openxmlformats.org/markup-compatibility/2006">
      <mc:Choice Requires="x14">
        <control shapeId="18517" r:id="rId70" name="AddedMember1_8">
          <controlPr defaultSize="0" print="0" autoFill="0" autoPict="0" macro="_xll.IBPXLClient.TechnicalCategory.ButtonActionInIBPClientFormattingSheet">
            <anchor moveWithCells="1" sizeWithCells="1">
              <from>
                <xdr:col>11</xdr:col>
                <xdr:colOff>2438400</xdr:colOff>
                <xdr:row>61</xdr:row>
                <xdr:rowOff>0</xdr:rowOff>
              </from>
              <to>
                <xdr:col>12</xdr:col>
                <xdr:colOff>676275</xdr:colOff>
                <xdr:row>62</xdr:row>
                <xdr:rowOff>0</xdr:rowOff>
              </to>
            </anchor>
          </controlPr>
        </control>
      </mc:Choice>
    </mc:AlternateContent>
    <mc:AlternateContent xmlns:mc="http://schemas.openxmlformats.org/markup-compatibility/2006">
      <mc:Choice Requires="x14">
        <control shapeId="18518" r:id="rId71" name="ChangeMember1_8">
          <controlPr defaultSize="0" print="0" autoFill="0" autoPict="0" macro="_xll.IBPXLClient.TechnicalCategory.ButtonActionInIBPClientFormattingSheet">
            <anchor moveWithCells="1" sizeWithCells="1">
              <from>
                <xdr:col>13</xdr:col>
                <xdr:colOff>0</xdr:colOff>
                <xdr:row>61</xdr:row>
                <xdr:rowOff>0</xdr:rowOff>
              </from>
              <to>
                <xdr:col>13</xdr:col>
                <xdr:colOff>685800</xdr:colOff>
                <xdr:row>62</xdr:row>
                <xdr:rowOff>0</xdr:rowOff>
              </to>
            </anchor>
          </controlPr>
        </control>
      </mc:Choice>
    </mc:AlternateContent>
    <mc:AlternateContent xmlns:mc="http://schemas.openxmlformats.org/markup-compatibility/2006">
      <mc:Choice Requires="x14">
        <control shapeId="18519" r:id="rId72" name="UpMember1_8">
          <controlPr defaultSize="0" print="0" autoFill="0" autoPict="0" macro="_xll.IBPXLClient.TechnicalCategory.ButtonActionInIBPClientFormattingSheet">
            <anchor moveWithCells="1" sizeWithCells="1">
              <from>
                <xdr:col>14</xdr:col>
                <xdr:colOff>0</xdr:colOff>
                <xdr:row>61</xdr:row>
                <xdr:rowOff>0</xdr:rowOff>
              </from>
              <to>
                <xdr:col>14</xdr:col>
                <xdr:colOff>685800</xdr:colOff>
                <xdr:row>62</xdr:row>
                <xdr:rowOff>0</xdr:rowOff>
              </to>
            </anchor>
          </controlPr>
        </control>
      </mc:Choice>
    </mc:AlternateContent>
    <mc:AlternateContent xmlns:mc="http://schemas.openxmlformats.org/markup-compatibility/2006">
      <mc:Choice Requires="x14">
        <control shapeId="18520" r:id="rId73" name="DownMember1_8">
          <controlPr defaultSize="0" print="0" autoFill="0" autoPict="0" macro="_xll.IBPXLClient.TechnicalCategory.ButtonActionInIBPClientFormattingSheet">
            <anchor moveWithCells="1" sizeWithCells="1">
              <from>
                <xdr:col>14</xdr:col>
                <xdr:colOff>704850</xdr:colOff>
                <xdr:row>61</xdr:row>
                <xdr:rowOff>0</xdr:rowOff>
              </from>
              <to>
                <xdr:col>15</xdr:col>
                <xdr:colOff>676275</xdr:colOff>
                <xdr:row>62</xdr:row>
                <xdr:rowOff>0</xdr:rowOff>
              </to>
            </anchor>
          </controlPr>
        </control>
      </mc:Choice>
    </mc:AlternateContent>
    <mc:AlternateContent xmlns:mc="http://schemas.openxmlformats.org/markup-compatibility/2006">
      <mc:Choice Requires="x14">
        <control shapeId="18521" r:id="rId74" name="AddedMember1_9">
          <controlPr defaultSize="0" print="0" autoFill="0" autoPict="0" macro="_xll.IBPXLClient.TechnicalCategory.ButtonActionInIBPClientFormattingSheet">
            <anchor moveWithCells="1" sizeWithCells="1">
              <from>
                <xdr:col>11</xdr:col>
                <xdr:colOff>2438400</xdr:colOff>
                <xdr:row>63</xdr:row>
                <xdr:rowOff>47625</xdr:rowOff>
              </from>
              <to>
                <xdr:col>12</xdr:col>
                <xdr:colOff>676275</xdr:colOff>
                <xdr:row>64</xdr:row>
                <xdr:rowOff>190500</xdr:rowOff>
              </to>
            </anchor>
          </controlPr>
        </control>
      </mc:Choice>
    </mc:AlternateContent>
    <mc:AlternateContent xmlns:mc="http://schemas.openxmlformats.org/markup-compatibility/2006">
      <mc:Choice Requires="x14">
        <control shapeId="18522" r:id="rId75" name="ChangeMember1_9">
          <controlPr defaultSize="0" print="0" autoFill="0" autoPict="0" macro="_xll.IBPXLClient.TechnicalCategory.ButtonActionInIBPClientFormattingSheet">
            <anchor moveWithCells="1" sizeWithCells="1">
              <from>
                <xdr:col>13</xdr:col>
                <xdr:colOff>0</xdr:colOff>
                <xdr:row>63</xdr:row>
                <xdr:rowOff>47625</xdr:rowOff>
              </from>
              <to>
                <xdr:col>13</xdr:col>
                <xdr:colOff>685800</xdr:colOff>
                <xdr:row>64</xdr:row>
                <xdr:rowOff>190500</xdr:rowOff>
              </to>
            </anchor>
          </controlPr>
        </control>
      </mc:Choice>
    </mc:AlternateContent>
    <mc:AlternateContent xmlns:mc="http://schemas.openxmlformats.org/markup-compatibility/2006">
      <mc:Choice Requires="x14">
        <control shapeId="18523" r:id="rId76" name="UpMember1_9">
          <controlPr defaultSize="0" print="0" autoFill="0" autoPict="0" macro="_xll.IBPXLClient.TechnicalCategory.ButtonActionInIBPClientFormattingSheet">
            <anchor moveWithCells="1" sizeWithCells="1">
              <from>
                <xdr:col>14</xdr:col>
                <xdr:colOff>0</xdr:colOff>
                <xdr:row>63</xdr:row>
                <xdr:rowOff>47625</xdr:rowOff>
              </from>
              <to>
                <xdr:col>14</xdr:col>
                <xdr:colOff>685800</xdr:colOff>
                <xdr:row>64</xdr:row>
                <xdr:rowOff>190500</xdr:rowOff>
              </to>
            </anchor>
          </controlPr>
        </control>
      </mc:Choice>
    </mc:AlternateContent>
    <mc:AlternateContent xmlns:mc="http://schemas.openxmlformats.org/markup-compatibility/2006">
      <mc:Choice Requires="x14">
        <control shapeId="18524" r:id="rId77" name="DownMember1_9">
          <controlPr defaultSize="0" print="0" autoFill="0" autoPict="0" macro="_xll.IBPXLClient.TechnicalCategory.ButtonActionInIBPClientFormattingSheet">
            <anchor moveWithCells="1" sizeWithCells="1">
              <from>
                <xdr:col>14</xdr:col>
                <xdr:colOff>704850</xdr:colOff>
                <xdr:row>63</xdr:row>
                <xdr:rowOff>47625</xdr:rowOff>
              </from>
              <to>
                <xdr:col>15</xdr:col>
                <xdr:colOff>676275</xdr:colOff>
                <xdr:row>64</xdr:row>
                <xdr:rowOff>190500</xdr:rowOff>
              </to>
            </anchor>
          </controlPr>
        </control>
      </mc:Choice>
    </mc:AlternateContent>
    <mc:AlternateContent xmlns:mc="http://schemas.openxmlformats.org/markup-compatibility/2006">
      <mc:Choice Requires="x14">
        <control shapeId="18525" r:id="rId78" name="AddedMember1_10">
          <controlPr defaultSize="0" print="0" autoFill="0" autoPict="0" macro="_xll.IBPXLClient.TechnicalCategory.ButtonActionInIBPClientFormattingSheet">
            <anchor moveWithCells="1" sizeWithCells="1">
              <from>
                <xdr:col>11</xdr:col>
                <xdr:colOff>2438400</xdr:colOff>
                <xdr:row>66</xdr:row>
                <xdr:rowOff>47625</xdr:rowOff>
              </from>
              <to>
                <xdr:col>12</xdr:col>
                <xdr:colOff>676275</xdr:colOff>
                <xdr:row>68</xdr:row>
                <xdr:rowOff>0</xdr:rowOff>
              </to>
            </anchor>
          </controlPr>
        </control>
      </mc:Choice>
    </mc:AlternateContent>
    <mc:AlternateContent xmlns:mc="http://schemas.openxmlformats.org/markup-compatibility/2006">
      <mc:Choice Requires="x14">
        <control shapeId="18526" r:id="rId79" name="ChangeMember1_10">
          <controlPr defaultSize="0" print="0" autoFill="0" autoPict="0" macro="_xll.IBPXLClient.TechnicalCategory.ButtonActionInIBPClientFormattingSheet">
            <anchor moveWithCells="1" sizeWithCells="1">
              <from>
                <xdr:col>13</xdr:col>
                <xdr:colOff>0</xdr:colOff>
                <xdr:row>66</xdr:row>
                <xdr:rowOff>47625</xdr:rowOff>
              </from>
              <to>
                <xdr:col>13</xdr:col>
                <xdr:colOff>685800</xdr:colOff>
                <xdr:row>68</xdr:row>
                <xdr:rowOff>0</xdr:rowOff>
              </to>
            </anchor>
          </controlPr>
        </control>
      </mc:Choice>
    </mc:AlternateContent>
    <mc:AlternateContent xmlns:mc="http://schemas.openxmlformats.org/markup-compatibility/2006">
      <mc:Choice Requires="x14">
        <control shapeId="18527" r:id="rId80" name="UpMember1_10">
          <controlPr defaultSize="0" print="0" autoFill="0" autoPict="0" macro="_xll.IBPXLClient.TechnicalCategory.ButtonActionInIBPClientFormattingSheet">
            <anchor moveWithCells="1" sizeWithCells="1">
              <from>
                <xdr:col>14</xdr:col>
                <xdr:colOff>0</xdr:colOff>
                <xdr:row>66</xdr:row>
                <xdr:rowOff>47625</xdr:rowOff>
              </from>
              <to>
                <xdr:col>14</xdr:col>
                <xdr:colOff>685800</xdr:colOff>
                <xdr:row>68</xdr:row>
                <xdr:rowOff>0</xdr:rowOff>
              </to>
            </anchor>
          </controlPr>
        </control>
      </mc:Choice>
    </mc:AlternateContent>
    <mc:AlternateContent xmlns:mc="http://schemas.openxmlformats.org/markup-compatibility/2006">
      <mc:Choice Requires="x14">
        <control shapeId="18528" r:id="rId81" name="DownMember1_10">
          <controlPr defaultSize="0" print="0" autoFill="0" autoPict="0" macro="_xll.IBPXLClient.TechnicalCategory.ButtonActionInIBPClientFormattingSheet">
            <anchor moveWithCells="1" sizeWithCells="1">
              <from>
                <xdr:col>14</xdr:col>
                <xdr:colOff>704850</xdr:colOff>
                <xdr:row>66</xdr:row>
                <xdr:rowOff>47625</xdr:rowOff>
              </from>
              <to>
                <xdr:col>15</xdr:col>
                <xdr:colOff>676275</xdr:colOff>
                <xdr:row>68</xdr:row>
                <xdr:rowOff>0</xdr:rowOff>
              </to>
            </anchor>
          </controlPr>
        </control>
      </mc:Choice>
    </mc:AlternateContent>
    <mc:AlternateContent xmlns:mc="http://schemas.openxmlformats.org/markup-compatibility/2006">
      <mc:Choice Requires="x14">
        <control shapeId="18529" r:id="rId82" name="AddedMember1_11">
          <controlPr defaultSize="0" print="0" autoFill="0" autoPict="0" macro="_xll.IBPXLClient.TechnicalCategory.ButtonActionInIBPClientFormattingSheet">
            <anchor moveWithCells="1" sizeWithCells="1">
              <from>
                <xdr:col>11</xdr:col>
                <xdr:colOff>2438400</xdr:colOff>
                <xdr:row>70</xdr:row>
                <xdr:rowOff>0</xdr:rowOff>
              </from>
              <to>
                <xdr:col>12</xdr:col>
                <xdr:colOff>676275</xdr:colOff>
                <xdr:row>71</xdr:row>
                <xdr:rowOff>0</xdr:rowOff>
              </to>
            </anchor>
          </controlPr>
        </control>
      </mc:Choice>
    </mc:AlternateContent>
    <mc:AlternateContent xmlns:mc="http://schemas.openxmlformats.org/markup-compatibility/2006">
      <mc:Choice Requires="x14">
        <control shapeId="18530" r:id="rId83" name="ChangeMember1_11">
          <controlPr defaultSize="0" print="0" autoFill="0" autoPict="0" macro="_xll.IBPXLClient.TechnicalCategory.ButtonActionInIBPClientFormattingSheet">
            <anchor moveWithCells="1" sizeWithCells="1">
              <from>
                <xdr:col>13</xdr:col>
                <xdr:colOff>0</xdr:colOff>
                <xdr:row>70</xdr:row>
                <xdr:rowOff>0</xdr:rowOff>
              </from>
              <to>
                <xdr:col>13</xdr:col>
                <xdr:colOff>685800</xdr:colOff>
                <xdr:row>71</xdr:row>
                <xdr:rowOff>0</xdr:rowOff>
              </to>
            </anchor>
          </controlPr>
        </control>
      </mc:Choice>
    </mc:AlternateContent>
    <mc:AlternateContent xmlns:mc="http://schemas.openxmlformats.org/markup-compatibility/2006">
      <mc:Choice Requires="x14">
        <control shapeId="18531" r:id="rId84" name="UpMember1_11">
          <controlPr defaultSize="0" print="0" autoFill="0" autoPict="0" macro="_xll.IBPXLClient.TechnicalCategory.ButtonActionInIBPClientFormattingSheet">
            <anchor moveWithCells="1" sizeWithCells="1">
              <from>
                <xdr:col>14</xdr:col>
                <xdr:colOff>0</xdr:colOff>
                <xdr:row>70</xdr:row>
                <xdr:rowOff>0</xdr:rowOff>
              </from>
              <to>
                <xdr:col>14</xdr:col>
                <xdr:colOff>685800</xdr:colOff>
                <xdr:row>71</xdr:row>
                <xdr:rowOff>0</xdr:rowOff>
              </to>
            </anchor>
          </controlPr>
        </control>
      </mc:Choice>
    </mc:AlternateContent>
    <mc:AlternateContent xmlns:mc="http://schemas.openxmlformats.org/markup-compatibility/2006">
      <mc:Choice Requires="x14">
        <control shapeId="18532" r:id="rId85" name="DownMember1_11">
          <controlPr defaultSize="0" print="0" autoFill="0" autoPict="0" macro="_xll.IBPXLClient.TechnicalCategory.ButtonActionInIBPClientFormattingSheet">
            <anchor moveWithCells="1" sizeWithCells="1">
              <from>
                <xdr:col>14</xdr:col>
                <xdr:colOff>704850</xdr:colOff>
                <xdr:row>70</xdr:row>
                <xdr:rowOff>0</xdr:rowOff>
              </from>
              <to>
                <xdr:col>15</xdr:col>
                <xdr:colOff>676275</xdr:colOff>
                <xdr:row>71</xdr:row>
                <xdr:rowOff>0</xdr:rowOff>
              </to>
            </anchor>
          </controlPr>
        </control>
      </mc:Choice>
    </mc:AlternateContent>
    <mc:AlternateContent xmlns:mc="http://schemas.openxmlformats.org/markup-compatibility/2006">
      <mc:Choice Requires="x14">
        <control shapeId="18533" r:id="rId86" name="AddedMember1_12">
          <controlPr defaultSize="0" print="0" autoFill="0" autoPict="0" macro="_xll.IBPXLClient.TechnicalCategory.ButtonActionInIBPClientFormattingSheet">
            <anchor moveWithCells="1" sizeWithCells="1">
              <from>
                <xdr:col>11</xdr:col>
                <xdr:colOff>2438400</xdr:colOff>
                <xdr:row>73</xdr:row>
                <xdr:rowOff>0</xdr:rowOff>
              </from>
              <to>
                <xdr:col>12</xdr:col>
                <xdr:colOff>676275</xdr:colOff>
                <xdr:row>74</xdr:row>
                <xdr:rowOff>0</xdr:rowOff>
              </to>
            </anchor>
          </controlPr>
        </control>
      </mc:Choice>
    </mc:AlternateContent>
    <mc:AlternateContent xmlns:mc="http://schemas.openxmlformats.org/markup-compatibility/2006">
      <mc:Choice Requires="x14">
        <control shapeId="18534" r:id="rId87" name="ChangeMember1_12">
          <controlPr defaultSize="0" print="0" autoFill="0" autoPict="0" macro="_xll.IBPXLClient.TechnicalCategory.ButtonActionInIBPClientFormattingSheet">
            <anchor moveWithCells="1" sizeWithCells="1">
              <from>
                <xdr:col>13</xdr:col>
                <xdr:colOff>0</xdr:colOff>
                <xdr:row>73</xdr:row>
                <xdr:rowOff>0</xdr:rowOff>
              </from>
              <to>
                <xdr:col>13</xdr:col>
                <xdr:colOff>685800</xdr:colOff>
                <xdr:row>74</xdr:row>
                <xdr:rowOff>0</xdr:rowOff>
              </to>
            </anchor>
          </controlPr>
        </control>
      </mc:Choice>
    </mc:AlternateContent>
    <mc:AlternateContent xmlns:mc="http://schemas.openxmlformats.org/markup-compatibility/2006">
      <mc:Choice Requires="x14">
        <control shapeId="18535" r:id="rId88" name="UpMember1_12">
          <controlPr defaultSize="0" print="0" autoFill="0" autoPict="0" macro="_xll.IBPXLClient.TechnicalCategory.ButtonActionInIBPClientFormattingSheet">
            <anchor moveWithCells="1" sizeWithCells="1">
              <from>
                <xdr:col>14</xdr:col>
                <xdr:colOff>0</xdr:colOff>
                <xdr:row>73</xdr:row>
                <xdr:rowOff>0</xdr:rowOff>
              </from>
              <to>
                <xdr:col>14</xdr:col>
                <xdr:colOff>685800</xdr:colOff>
                <xdr:row>74</xdr:row>
                <xdr:rowOff>0</xdr:rowOff>
              </to>
            </anchor>
          </controlPr>
        </control>
      </mc:Choice>
    </mc:AlternateContent>
    <mc:AlternateContent xmlns:mc="http://schemas.openxmlformats.org/markup-compatibility/2006">
      <mc:Choice Requires="x14">
        <control shapeId="18536" r:id="rId89" name="DownMember1_12">
          <controlPr defaultSize="0" print="0" autoFill="0" autoPict="0" macro="_xll.IBPXLClient.TechnicalCategory.ButtonActionInIBPClientFormattingSheet">
            <anchor moveWithCells="1" sizeWithCells="1">
              <from>
                <xdr:col>14</xdr:col>
                <xdr:colOff>704850</xdr:colOff>
                <xdr:row>73</xdr:row>
                <xdr:rowOff>0</xdr:rowOff>
              </from>
              <to>
                <xdr:col>15</xdr:col>
                <xdr:colOff>676275</xdr:colOff>
                <xdr:row>74</xdr:row>
                <xdr:rowOff>0</xdr:rowOff>
              </to>
            </anchor>
          </controlPr>
        </control>
      </mc:Choice>
    </mc:AlternateContent>
    <mc:AlternateContent xmlns:mc="http://schemas.openxmlformats.org/markup-compatibility/2006">
      <mc:Choice Requires="x14">
        <control shapeId="18537" r:id="rId90" name="AddedMember1_13">
          <controlPr defaultSize="0" print="0" autoFill="0" autoPict="0" macro="_xll.IBPXLClient.TechnicalCategory.ButtonActionInIBPClientFormattingSheet">
            <anchor moveWithCells="1" sizeWithCells="1">
              <from>
                <xdr:col>11</xdr:col>
                <xdr:colOff>2438400</xdr:colOff>
                <xdr:row>76</xdr:row>
                <xdr:rowOff>0</xdr:rowOff>
              </from>
              <to>
                <xdr:col>12</xdr:col>
                <xdr:colOff>676275</xdr:colOff>
                <xdr:row>77</xdr:row>
                <xdr:rowOff>9525</xdr:rowOff>
              </to>
            </anchor>
          </controlPr>
        </control>
      </mc:Choice>
    </mc:AlternateContent>
    <mc:AlternateContent xmlns:mc="http://schemas.openxmlformats.org/markup-compatibility/2006">
      <mc:Choice Requires="x14">
        <control shapeId="18538" r:id="rId91" name="ChangeMember1_13">
          <controlPr defaultSize="0" print="0" autoFill="0" autoPict="0" macro="_xll.IBPXLClient.TechnicalCategory.ButtonActionInIBPClientFormattingSheet">
            <anchor moveWithCells="1" sizeWithCells="1">
              <from>
                <xdr:col>13</xdr:col>
                <xdr:colOff>0</xdr:colOff>
                <xdr:row>76</xdr:row>
                <xdr:rowOff>0</xdr:rowOff>
              </from>
              <to>
                <xdr:col>13</xdr:col>
                <xdr:colOff>685800</xdr:colOff>
                <xdr:row>77</xdr:row>
                <xdr:rowOff>9525</xdr:rowOff>
              </to>
            </anchor>
          </controlPr>
        </control>
      </mc:Choice>
    </mc:AlternateContent>
    <mc:AlternateContent xmlns:mc="http://schemas.openxmlformats.org/markup-compatibility/2006">
      <mc:Choice Requires="x14">
        <control shapeId="18539" r:id="rId92" name="UpMember1_13">
          <controlPr defaultSize="0" print="0" autoFill="0" autoPict="0" macro="_xll.IBPXLClient.TechnicalCategory.ButtonActionInIBPClientFormattingSheet">
            <anchor moveWithCells="1" sizeWithCells="1">
              <from>
                <xdr:col>14</xdr:col>
                <xdr:colOff>0</xdr:colOff>
                <xdr:row>76</xdr:row>
                <xdr:rowOff>0</xdr:rowOff>
              </from>
              <to>
                <xdr:col>14</xdr:col>
                <xdr:colOff>685800</xdr:colOff>
                <xdr:row>77</xdr:row>
                <xdr:rowOff>9525</xdr:rowOff>
              </to>
            </anchor>
          </controlPr>
        </control>
      </mc:Choice>
    </mc:AlternateContent>
    <mc:AlternateContent xmlns:mc="http://schemas.openxmlformats.org/markup-compatibility/2006">
      <mc:Choice Requires="x14">
        <control shapeId="18540" r:id="rId93" name="DownMember1_13">
          <controlPr defaultSize="0" print="0" autoFill="0" autoPict="0" macro="_xll.IBPXLClient.TechnicalCategory.ButtonActionInIBPClientFormattingSheet">
            <anchor moveWithCells="1" sizeWithCells="1">
              <from>
                <xdr:col>14</xdr:col>
                <xdr:colOff>704850</xdr:colOff>
                <xdr:row>76</xdr:row>
                <xdr:rowOff>0</xdr:rowOff>
              </from>
              <to>
                <xdr:col>15</xdr:col>
                <xdr:colOff>676275</xdr:colOff>
                <xdr:row>77</xdr:row>
                <xdr:rowOff>9525</xdr:rowOff>
              </to>
            </anchor>
          </controlPr>
        </control>
      </mc:Choice>
    </mc:AlternateContent>
    <mc:AlternateContent xmlns:mc="http://schemas.openxmlformats.org/markup-compatibility/2006">
      <mc:Choice Requires="x14">
        <control shapeId="18541" r:id="rId94" name="AddedMember1_14">
          <controlPr defaultSize="0" print="0" autoFill="0" autoPict="0" macro="_xll.IBPXLClient.TechnicalCategory.ButtonActionInIBPClientFormattingSheet">
            <anchor moveWithCells="1">
              <from>
                <xdr:col>12</xdr:col>
                <xdr:colOff>0</xdr:colOff>
                <xdr:row>79</xdr:row>
                <xdr:rowOff>0</xdr:rowOff>
              </from>
              <to>
                <xdr:col>12</xdr:col>
                <xdr:colOff>704850</xdr:colOff>
                <xdr:row>80</xdr:row>
                <xdr:rowOff>9525</xdr:rowOff>
              </to>
            </anchor>
          </controlPr>
        </control>
      </mc:Choice>
    </mc:AlternateContent>
    <mc:AlternateContent xmlns:mc="http://schemas.openxmlformats.org/markup-compatibility/2006">
      <mc:Choice Requires="x14">
        <control shapeId="18542" r:id="rId95" name="ChangeMember1_14">
          <controlPr defaultSize="0" print="0" autoFill="0" autoPict="0" macro="_xll.IBPXLClient.TechnicalCategory.ButtonActionInIBPClientFormattingSheet">
            <anchor moveWithCells="1">
              <from>
                <xdr:col>12</xdr:col>
                <xdr:colOff>723900</xdr:colOff>
                <xdr:row>79</xdr:row>
                <xdr:rowOff>0</xdr:rowOff>
              </from>
              <to>
                <xdr:col>13</xdr:col>
                <xdr:colOff>704850</xdr:colOff>
                <xdr:row>80</xdr:row>
                <xdr:rowOff>9525</xdr:rowOff>
              </to>
            </anchor>
          </controlPr>
        </control>
      </mc:Choice>
    </mc:AlternateContent>
    <mc:AlternateContent xmlns:mc="http://schemas.openxmlformats.org/markup-compatibility/2006">
      <mc:Choice Requires="x14">
        <control shapeId="18543" r:id="rId96" name="UpMember1_14">
          <controlPr defaultSize="0" print="0" autoFill="0" autoPict="0" macro="_xll.IBPXLClient.TechnicalCategory.ButtonActionInIBPClientFormattingSheet">
            <anchor moveWithCells="1">
              <from>
                <xdr:col>14</xdr:col>
                <xdr:colOff>0</xdr:colOff>
                <xdr:row>79</xdr:row>
                <xdr:rowOff>0</xdr:rowOff>
              </from>
              <to>
                <xdr:col>14</xdr:col>
                <xdr:colOff>704850</xdr:colOff>
                <xdr:row>80</xdr:row>
                <xdr:rowOff>9525</xdr:rowOff>
              </to>
            </anchor>
          </controlPr>
        </control>
      </mc:Choice>
    </mc:AlternateContent>
    <mc:AlternateContent xmlns:mc="http://schemas.openxmlformats.org/markup-compatibility/2006">
      <mc:Choice Requires="x14">
        <control shapeId="18544" r:id="rId97" name="DownMember1_14">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9525</xdr:rowOff>
              </to>
            </anchor>
          </controlPr>
        </control>
      </mc:Choice>
    </mc:AlternateContent>
    <mc:AlternateContent xmlns:mc="http://schemas.openxmlformats.org/markup-compatibility/2006">
      <mc:Choice Requires="x14">
        <control shapeId="18545" r:id="rId98" name="AddedMember1_15">
          <controlPr defaultSize="0" print="0" autoFill="0" autoPict="0" macro="_xll.IBPXLClient.TechnicalCategory.ButtonActionInIBPClientFormattingSheet">
            <anchor moveWithCells="1">
              <from>
                <xdr:col>12</xdr:col>
                <xdr:colOff>0</xdr:colOff>
                <xdr:row>82</xdr:row>
                <xdr:rowOff>0</xdr:rowOff>
              </from>
              <to>
                <xdr:col>12</xdr:col>
                <xdr:colOff>704850</xdr:colOff>
                <xdr:row>83</xdr:row>
                <xdr:rowOff>0</xdr:rowOff>
              </to>
            </anchor>
          </controlPr>
        </control>
      </mc:Choice>
    </mc:AlternateContent>
    <mc:AlternateContent xmlns:mc="http://schemas.openxmlformats.org/markup-compatibility/2006">
      <mc:Choice Requires="x14">
        <control shapeId="18546" r:id="rId99" name="ChangeMember1_15">
          <controlPr defaultSize="0" print="0" autoFill="0" autoPict="0" macro="_xll.IBPXLClient.TechnicalCategory.ButtonActionInIBPClientFormattingSheet">
            <anchor moveWithCells="1">
              <from>
                <xdr:col>12</xdr:col>
                <xdr:colOff>723900</xdr:colOff>
                <xdr:row>82</xdr:row>
                <xdr:rowOff>0</xdr:rowOff>
              </from>
              <to>
                <xdr:col>13</xdr:col>
                <xdr:colOff>704850</xdr:colOff>
                <xdr:row>83</xdr:row>
                <xdr:rowOff>0</xdr:rowOff>
              </to>
            </anchor>
          </controlPr>
        </control>
      </mc:Choice>
    </mc:AlternateContent>
    <mc:AlternateContent xmlns:mc="http://schemas.openxmlformats.org/markup-compatibility/2006">
      <mc:Choice Requires="x14">
        <control shapeId="18547" r:id="rId100" name="UpMember1_15">
          <controlPr defaultSize="0" print="0" autoFill="0" autoPict="0" macro="_xll.IBPXLClient.TechnicalCategory.ButtonActionInIBPClientFormattingSheet">
            <anchor moveWithCells="1">
              <from>
                <xdr:col>14</xdr:col>
                <xdr:colOff>0</xdr:colOff>
                <xdr:row>82</xdr:row>
                <xdr:rowOff>0</xdr:rowOff>
              </from>
              <to>
                <xdr:col>14</xdr:col>
                <xdr:colOff>704850</xdr:colOff>
                <xdr:row>83</xdr:row>
                <xdr:rowOff>0</xdr:rowOff>
              </to>
            </anchor>
          </controlPr>
        </control>
      </mc:Choice>
    </mc:AlternateContent>
    <mc:AlternateContent xmlns:mc="http://schemas.openxmlformats.org/markup-compatibility/2006">
      <mc:Choice Requires="x14">
        <control shapeId="18548" r:id="rId101" name="DownMember1_15">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8549" r:id="rId102" name="AddedMember1_16">
          <controlPr defaultSize="0" print="0" autoFill="0" autoPict="0" macro="_xll.IBPXLClient.TechnicalCategory.ButtonActionInIBPClientFormattingSheet">
            <anchor moveWithCells="1">
              <from>
                <xdr:col>12</xdr:col>
                <xdr:colOff>0</xdr:colOff>
                <xdr:row>84</xdr:row>
                <xdr:rowOff>57150</xdr:rowOff>
              </from>
              <to>
                <xdr:col>12</xdr:col>
                <xdr:colOff>704850</xdr:colOff>
                <xdr:row>86</xdr:row>
                <xdr:rowOff>0</xdr:rowOff>
              </to>
            </anchor>
          </controlPr>
        </control>
      </mc:Choice>
    </mc:AlternateContent>
    <mc:AlternateContent xmlns:mc="http://schemas.openxmlformats.org/markup-compatibility/2006">
      <mc:Choice Requires="x14">
        <control shapeId="18550" r:id="rId103" name="ChangeMember1_16">
          <controlPr defaultSize="0" print="0" autoFill="0" autoPict="0" macro="_xll.IBPXLClient.TechnicalCategory.ButtonActionInIBPClientFormattingSheet">
            <anchor moveWithCells="1">
              <from>
                <xdr:col>12</xdr:col>
                <xdr:colOff>723900</xdr:colOff>
                <xdr:row>84</xdr:row>
                <xdr:rowOff>57150</xdr:rowOff>
              </from>
              <to>
                <xdr:col>13</xdr:col>
                <xdr:colOff>704850</xdr:colOff>
                <xdr:row>86</xdr:row>
                <xdr:rowOff>0</xdr:rowOff>
              </to>
            </anchor>
          </controlPr>
        </control>
      </mc:Choice>
    </mc:AlternateContent>
    <mc:AlternateContent xmlns:mc="http://schemas.openxmlformats.org/markup-compatibility/2006">
      <mc:Choice Requires="x14">
        <control shapeId="18551" r:id="rId104" name="UpMember1_16">
          <controlPr defaultSize="0" print="0" autoFill="0" autoPict="0" macro="_xll.IBPXLClient.TechnicalCategory.ButtonActionInIBPClientFormattingSheet">
            <anchor moveWithCells="1">
              <from>
                <xdr:col>14</xdr:col>
                <xdr:colOff>0</xdr:colOff>
                <xdr:row>84</xdr:row>
                <xdr:rowOff>57150</xdr:rowOff>
              </from>
              <to>
                <xdr:col>14</xdr:col>
                <xdr:colOff>704850</xdr:colOff>
                <xdr:row>86</xdr:row>
                <xdr:rowOff>0</xdr:rowOff>
              </to>
            </anchor>
          </controlPr>
        </control>
      </mc:Choice>
    </mc:AlternateContent>
    <mc:AlternateContent xmlns:mc="http://schemas.openxmlformats.org/markup-compatibility/2006">
      <mc:Choice Requires="x14">
        <control shapeId="18552" r:id="rId105" name="DownMember1_16">
          <controlPr defaultSize="0" print="0" autoFill="0" autoPict="0" macro="_xll.IBPXLClient.TechnicalCategory.ButtonActionInIBPClientFormattingSheet">
            <anchor moveWithCells="1">
              <from>
                <xdr:col>15</xdr:col>
                <xdr:colOff>0</xdr:colOff>
                <xdr:row>84</xdr:row>
                <xdr:rowOff>57150</xdr:rowOff>
              </from>
              <to>
                <xdr:col>16</xdr:col>
                <xdr:colOff>0</xdr:colOff>
                <xdr:row>86</xdr:row>
                <xdr:rowOff>0</xdr:rowOff>
              </to>
            </anchor>
          </controlPr>
        </control>
      </mc:Choice>
    </mc:AlternateContent>
    <mc:AlternateContent xmlns:mc="http://schemas.openxmlformats.org/markup-compatibility/2006">
      <mc:Choice Requires="x14">
        <control shapeId="18553" r:id="rId106" name="AddedMember1_17">
          <controlPr defaultSize="0" print="0" autoFill="0" autoPict="0" macro="_xll.IBPXLClient.TechnicalCategory.ButtonActionInIBPClientFormattingSheet">
            <anchor moveWithCells="1">
              <from>
                <xdr:col>12</xdr:col>
                <xdr:colOff>0</xdr:colOff>
                <xdr:row>87</xdr:row>
                <xdr:rowOff>57150</xdr:rowOff>
              </from>
              <to>
                <xdr:col>12</xdr:col>
                <xdr:colOff>704850</xdr:colOff>
                <xdr:row>89</xdr:row>
                <xdr:rowOff>0</xdr:rowOff>
              </to>
            </anchor>
          </controlPr>
        </control>
      </mc:Choice>
    </mc:AlternateContent>
    <mc:AlternateContent xmlns:mc="http://schemas.openxmlformats.org/markup-compatibility/2006">
      <mc:Choice Requires="x14">
        <control shapeId="18554" r:id="rId107" name="ChangeMember1_17">
          <controlPr defaultSize="0" print="0" autoFill="0" autoPict="0" macro="_xll.IBPXLClient.TechnicalCategory.ButtonActionInIBPClientFormattingSheet">
            <anchor moveWithCells="1">
              <from>
                <xdr:col>12</xdr:col>
                <xdr:colOff>723900</xdr:colOff>
                <xdr:row>87</xdr:row>
                <xdr:rowOff>57150</xdr:rowOff>
              </from>
              <to>
                <xdr:col>13</xdr:col>
                <xdr:colOff>704850</xdr:colOff>
                <xdr:row>89</xdr:row>
                <xdr:rowOff>0</xdr:rowOff>
              </to>
            </anchor>
          </controlPr>
        </control>
      </mc:Choice>
    </mc:AlternateContent>
    <mc:AlternateContent xmlns:mc="http://schemas.openxmlformats.org/markup-compatibility/2006">
      <mc:Choice Requires="x14">
        <control shapeId="18555" r:id="rId108" name="UpMember1_17">
          <controlPr defaultSize="0" print="0" autoFill="0" autoPict="0" macro="_xll.IBPXLClient.TechnicalCategory.ButtonActionInIBPClientFormattingSheet">
            <anchor moveWithCells="1">
              <from>
                <xdr:col>14</xdr:col>
                <xdr:colOff>0</xdr:colOff>
                <xdr:row>87</xdr:row>
                <xdr:rowOff>57150</xdr:rowOff>
              </from>
              <to>
                <xdr:col>14</xdr:col>
                <xdr:colOff>704850</xdr:colOff>
                <xdr:row>89</xdr:row>
                <xdr:rowOff>0</xdr:rowOff>
              </to>
            </anchor>
          </controlPr>
        </control>
      </mc:Choice>
    </mc:AlternateContent>
    <mc:AlternateContent xmlns:mc="http://schemas.openxmlformats.org/markup-compatibility/2006">
      <mc:Choice Requires="x14">
        <control shapeId="18556" r:id="rId109" name="DownMember1_17">
          <controlPr defaultSize="0" print="0" autoFill="0" autoPict="0" macro="_xll.IBPXLClient.TechnicalCategory.ButtonActionInIBPClientFormattingSheet">
            <anchor moveWithCells="1">
              <from>
                <xdr:col>15</xdr:col>
                <xdr:colOff>0</xdr:colOff>
                <xdr:row>87</xdr:row>
                <xdr:rowOff>57150</xdr:rowOff>
              </from>
              <to>
                <xdr:col>16</xdr:col>
                <xdr:colOff>0</xdr:colOff>
                <xdr:row>89</xdr:row>
                <xdr:rowOff>0</xdr:rowOff>
              </to>
            </anchor>
          </controlPr>
        </control>
      </mc:Choice>
    </mc:AlternateContent>
    <mc:AlternateContent xmlns:mc="http://schemas.openxmlformats.org/markup-compatibility/2006">
      <mc:Choice Requires="x14">
        <control shapeId="18557" r:id="rId110" name="AddedMember1_18">
          <controlPr defaultSize="0" print="0" autoFill="0" autoPict="0" macro="_xll.IBPXLClient.TechnicalCategory.ButtonActionInIBPClientFormattingSheet">
            <anchor moveWithCells="1">
              <from>
                <xdr:col>12</xdr:col>
                <xdr:colOff>0</xdr:colOff>
                <xdr:row>91</xdr:row>
                <xdr:rowOff>0</xdr:rowOff>
              </from>
              <to>
                <xdr:col>12</xdr:col>
                <xdr:colOff>704850</xdr:colOff>
                <xdr:row>92</xdr:row>
                <xdr:rowOff>9525</xdr:rowOff>
              </to>
            </anchor>
          </controlPr>
        </control>
      </mc:Choice>
    </mc:AlternateContent>
    <mc:AlternateContent xmlns:mc="http://schemas.openxmlformats.org/markup-compatibility/2006">
      <mc:Choice Requires="x14">
        <control shapeId="18558" r:id="rId111" name="ChangeMember1_18">
          <controlPr defaultSize="0" print="0" autoFill="0" autoPict="0" macro="_xll.IBPXLClient.TechnicalCategory.ButtonActionInIBPClientFormattingSheet">
            <anchor moveWithCells="1">
              <from>
                <xdr:col>12</xdr:col>
                <xdr:colOff>723900</xdr:colOff>
                <xdr:row>91</xdr:row>
                <xdr:rowOff>0</xdr:rowOff>
              </from>
              <to>
                <xdr:col>13</xdr:col>
                <xdr:colOff>704850</xdr:colOff>
                <xdr:row>92</xdr:row>
                <xdr:rowOff>9525</xdr:rowOff>
              </to>
            </anchor>
          </controlPr>
        </control>
      </mc:Choice>
    </mc:AlternateContent>
    <mc:AlternateContent xmlns:mc="http://schemas.openxmlformats.org/markup-compatibility/2006">
      <mc:Choice Requires="x14">
        <control shapeId="18559" r:id="rId112" name="UpMember1_18">
          <controlPr defaultSize="0" print="0" autoFill="0" autoPict="0" macro="_xll.IBPXLClient.TechnicalCategory.ButtonActionInIBPClientFormattingSheet">
            <anchor moveWithCells="1">
              <from>
                <xdr:col>14</xdr:col>
                <xdr:colOff>0</xdr:colOff>
                <xdr:row>91</xdr:row>
                <xdr:rowOff>0</xdr:rowOff>
              </from>
              <to>
                <xdr:col>14</xdr:col>
                <xdr:colOff>704850</xdr:colOff>
                <xdr:row>92</xdr:row>
                <xdr:rowOff>9525</xdr:rowOff>
              </to>
            </anchor>
          </controlPr>
        </control>
      </mc:Choice>
    </mc:AlternateContent>
    <mc:AlternateContent xmlns:mc="http://schemas.openxmlformats.org/markup-compatibility/2006">
      <mc:Choice Requires="x14">
        <control shapeId="18560" r:id="rId113" name="DownMember1_18">
          <controlPr defaultSize="0" print="0" autoFill="0" autoPict="0" macro="_xll.IBPXLClient.TechnicalCategory.ButtonActionInIBPClientFormattingSheet">
            <anchor moveWithCells="1">
              <from>
                <xdr:col>15</xdr:col>
                <xdr:colOff>0</xdr:colOff>
                <xdr:row>91</xdr:row>
                <xdr:rowOff>0</xdr:rowOff>
              </from>
              <to>
                <xdr:col>16</xdr:col>
                <xdr:colOff>0</xdr:colOff>
                <xdr:row>92</xdr:row>
                <xdr:rowOff>9525</xdr:rowOff>
              </to>
            </anchor>
          </controlPr>
        </control>
      </mc:Choice>
    </mc:AlternateContent>
    <mc:AlternateContent xmlns:mc="http://schemas.openxmlformats.org/markup-compatibility/2006">
      <mc:Choice Requires="x14">
        <control shapeId="18561" r:id="rId114" name="AddedMember2_1">
          <controlPr defaultSize="0" print="0" autoFill="0" autoPict="0" macro="_xll.IBPXLClient.TechnicalCategory.ButtonActionInIBPClientFormattingSheet">
            <anchor moveWithCells="1">
              <from>
                <xdr:col>11</xdr:col>
                <xdr:colOff>2438400</xdr:colOff>
                <xdr:row>165</xdr:row>
                <xdr:rowOff>47625</xdr:rowOff>
              </from>
              <to>
                <xdr:col>12</xdr:col>
                <xdr:colOff>676275</xdr:colOff>
                <xdr:row>166</xdr:row>
                <xdr:rowOff>190500</xdr:rowOff>
              </to>
            </anchor>
          </controlPr>
        </control>
      </mc:Choice>
    </mc:AlternateContent>
    <mc:AlternateContent xmlns:mc="http://schemas.openxmlformats.org/markup-compatibility/2006">
      <mc:Choice Requires="x14">
        <control shapeId="18562" r:id="rId115" name="ChangeMember2_1">
          <controlPr defaultSize="0" print="0" autoFill="0" autoPict="0" macro="_xll.IBPXLClient.TechnicalCategory.ButtonActionInIBPClientFormattingSheet">
            <anchor moveWithCells="1">
              <from>
                <xdr:col>13</xdr:col>
                <xdr:colOff>0</xdr:colOff>
                <xdr:row>165</xdr:row>
                <xdr:rowOff>47625</xdr:rowOff>
              </from>
              <to>
                <xdr:col>13</xdr:col>
                <xdr:colOff>695325</xdr:colOff>
                <xdr:row>166</xdr:row>
                <xdr:rowOff>190500</xdr:rowOff>
              </to>
            </anchor>
          </controlPr>
        </control>
      </mc:Choice>
    </mc:AlternateContent>
    <mc:AlternateContent xmlns:mc="http://schemas.openxmlformats.org/markup-compatibility/2006">
      <mc:Choice Requires="x14">
        <control shapeId="18563" r:id="rId116" name="UpMember2_1">
          <controlPr defaultSize="0" print="0" autoFill="0" autoPict="0" macro="_xll.IBPXLClient.TechnicalCategory.ButtonActionInIBPClientFormattingSheet">
            <anchor moveWithCells="1">
              <from>
                <xdr:col>14</xdr:col>
                <xdr:colOff>0</xdr:colOff>
                <xdr:row>165</xdr:row>
                <xdr:rowOff>47625</xdr:rowOff>
              </from>
              <to>
                <xdr:col>14</xdr:col>
                <xdr:colOff>695325</xdr:colOff>
                <xdr:row>166</xdr:row>
                <xdr:rowOff>190500</xdr:rowOff>
              </to>
            </anchor>
          </controlPr>
        </control>
      </mc:Choice>
    </mc:AlternateContent>
    <mc:AlternateContent xmlns:mc="http://schemas.openxmlformats.org/markup-compatibility/2006">
      <mc:Choice Requires="x14">
        <control shapeId="18564" r:id="rId117" name="DownMember2_1">
          <controlPr defaultSize="0" print="0" autoFill="0" autoPict="0" macro="_xll.IBPXLClient.TechnicalCategory.ButtonActionInIBPClientFormattingSheet">
            <anchor moveWithCells="1">
              <from>
                <xdr:col>14</xdr:col>
                <xdr:colOff>704850</xdr:colOff>
                <xdr:row>165</xdr:row>
                <xdr:rowOff>47625</xdr:rowOff>
              </from>
              <to>
                <xdr:col>15</xdr:col>
                <xdr:colOff>676275</xdr:colOff>
                <xdr:row>166</xdr:row>
                <xdr:rowOff>190500</xdr:rowOff>
              </to>
            </anchor>
          </controlPr>
        </control>
      </mc:Choice>
    </mc:AlternateContent>
    <mc:AlternateContent xmlns:mc="http://schemas.openxmlformats.org/markup-compatibility/2006">
      <mc:Choice Requires="x14">
        <control shapeId="18565" r:id="rId118" name="AddedMember2_2">
          <controlPr defaultSize="0" print="0" autoFill="0" autoPict="0" macro="_xll.IBPXLClient.TechnicalCategory.ButtonActionInIBPClientFormattingSheet">
            <anchor moveWithCells="1">
              <from>
                <xdr:col>12</xdr:col>
                <xdr:colOff>0</xdr:colOff>
                <xdr:row>169</xdr:row>
                <xdr:rowOff>0</xdr:rowOff>
              </from>
              <to>
                <xdr:col>12</xdr:col>
                <xdr:colOff>704850</xdr:colOff>
                <xdr:row>170</xdr:row>
                <xdr:rowOff>0</xdr:rowOff>
              </to>
            </anchor>
          </controlPr>
        </control>
      </mc:Choice>
    </mc:AlternateContent>
    <mc:AlternateContent xmlns:mc="http://schemas.openxmlformats.org/markup-compatibility/2006">
      <mc:Choice Requires="x14">
        <control shapeId="18566" r:id="rId119" name="ChangeMember2_2">
          <controlPr defaultSize="0" print="0" autoFill="0" autoPict="0" macro="_xll.IBPXLClient.TechnicalCategory.ButtonActionInIBPClientFormattingSheet">
            <anchor moveWithCells="1">
              <from>
                <xdr:col>12</xdr:col>
                <xdr:colOff>723900</xdr:colOff>
                <xdr:row>169</xdr:row>
                <xdr:rowOff>0</xdr:rowOff>
              </from>
              <to>
                <xdr:col>13</xdr:col>
                <xdr:colOff>704850</xdr:colOff>
                <xdr:row>170</xdr:row>
                <xdr:rowOff>0</xdr:rowOff>
              </to>
            </anchor>
          </controlPr>
        </control>
      </mc:Choice>
    </mc:AlternateContent>
    <mc:AlternateContent xmlns:mc="http://schemas.openxmlformats.org/markup-compatibility/2006">
      <mc:Choice Requires="x14">
        <control shapeId="18567" r:id="rId120" name="UpMember2_2">
          <controlPr defaultSize="0" print="0" autoFill="0" autoPict="0" macro="_xll.IBPXLClient.TechnicalCategory.ButtonActionInIBPClientFormattingSheet">
            <anchor moveWithCells="1">
              <from>
                <xdr:col>14</xdr:col>
                <xdr:colOff>0</xdr:colOff>
                <xdr:row>169</xdr:row>
                <xdr:rowOff>0</xdr:rowOff>
              </from>
              <to>
                <xdr:col>14</xdr:col>
                <xdr:colOff>704850</xdr:colOff>
                <xdr:row>170</xdr:row>
                <xdr:rowOff>0</xdr:rowOff>
              </to>
            </anchor>
          </controlPr>
        </control>
      </mc:Choice>
    </mc:AlternateContent>
    <mc:AlternateContent xmlns:mc="http://schemas.openxmlformats.org/markup-compatibility/2006">
      <mc:Choice Requires="x14">
        <control shapeId="18568" r:id="rId121" name="DownMember2_2">
          <controlPr defaultSize="0" print="0" autoFill="0" autoPict="0" macro="_xll.IBPXLClient.TechnicalCategory.ButtonActionInIBPClientFormattingSheet">
            <anchor moveWithCells="1">
              <from>
                <xdr:col>15</xdr:col>
                <xdr:colOff>0</xdr:colOff>
                <xdr:row>169</xdr:row>
                <xdr:rowOff>0</xdr:rowOff>
              </from>
              <to>
                <xdr:col>16</xdr:col>
                <xdr:colOff>0</xdr:colOff>
                <xdr:row>170</xdr:row>
                <xdr:rowOff>0</xdr:rowOff>
              </to>
            </anchor>
          </controlPr>
        </control>
      </mc:Choice>
    </mc:AlternateContent>
    <mc:AlternateContent xmlns:mc="http://schemas.openxmlformats.org/markup-compatibility/2006">
      <mc:Choice Requires="x14">
        <control shapeId="18569" r:id="rId122" name="AddedMember2_3">
          <controlPr defaultSize="0" print="0" autoFill="0" autoPict="0" macro="_xll.IBPXLClient.TechnicalCategory.ButtonActionInIBPClientFormattingSheet">
            <anchor moveWithCells="1">
              <from>
                <xdr:col>12</xdr:col>
                <xdr:colOff>0</xdr:colOff>
                <xdr:row>171</xdr:row>
                <xdr:rowOff>57150</xdr:rowOff>
              </from>
              <to>
                <xdr:col>12</xdr:col>
                <xdr:colOff>704850</xdr:colOff>
                <xdr:row>173</xdr:row>
                <xdr:rowOff>0</xdr:rowOff>
              </to>
            </anchor>
          </controlPr>
        </control>
      </mc:Choice>
    </mc:AlternateContent>
    <mc:AlternateContent xmlns:mc="http://schemas.openxmlformats.org/markup-compatibility/2006">
      <mc:Choice Requires="x14">
        <control shapeId="18570" r:id="rId123" name="ChangeMember2_3">
          <controlPr defaultSize="0" print="0" autoFill="0" autoPict="0" macro="_xll.IBPXLClient.TechnicalCategory.ButtonActionInIBPClientFormattingSheet">
            <anchor moveWithCells="1">
              <from>
                <xdr:col>12</xdr:col>
                <xdr:colOff>723900</xdr:colOff>
                <xdr:row>171</xdr:row>
                <xdr:rowOff>57150</xdr:rowOff>
              </from>
              <to>
                <xdr:col>13</xdr:col>
                <xdr:colOff>704850</xdr:colOff>
                <xdr:row>173</xdr:row>
                <xdr:rowOff>0</xdr:rowOff>
              </to>
            </anchor>
          </controlPr>
        </control>
      </mc:Choice>
    </mc:AlternateContent>
    <mc:AlternateContent xmlns:mc="http://schemas.openxmlformats.org/markup-compatibility/2006">
      <mc:Choice Requires="x14">
        <control shapeId="18571" r:id="rId124" name="UpMember2_3">
          <controlPr defaultSize="0" print="0" autoFill="0" autoPict="0" macro="_xll.IBPXLClient.TechnicalCategory.ButtonActionInIBPClientFormattingSheet">
            <anchor moveWithCells="1">
              <from>
                <xdr:col>14</xdr:col>
                <xdr:colOff>0</xdr:colOff>
                <xdr:row>171</xdr:row>
                <xdr:rowOff>57150</xdr:rowOff>
              </from>
              <to>
                <xdr:col>14</xdr:col>
                <xdr:colOff>704850</xdr:colOff>
                <xdr:row>173</xdr:row>
                <xdr:rowOff>0</xdr:rowOff>
              </to>
            </anchor>
          </controlPr>
        </control>
      </mc:Choice>
    </mc:AlternateContent>
    <mc:AlternateContent xmlns:mc="http://schemas.openxmlformats.org/markup-compatibility/2006">
      <mc:Choice Requires="x14">
        <control shapeId="18572" r:id="rId125" name="DownMember2_3">
          <controlPr defaultSize="0" print="0" autoFill="0" autoPict="0" macro="_xll.IBPXLClient.TechnicalCategory.ButtonActionInIBPClientFormattingSheet">
            <anchor moveWithCells="1">
              <from>
                <xdr:col>15</xdr:col>
                <xdr:colOff>0</xdr:colOff>
                <xdr:row>171</xdr:row>
                <xdr:rowOff>57150</xdr:rowOff>
              </from>
              <to>
                <xdr:col>16</xdr:col>
                <xdr:colOff>0</xdr:colOff>
                <xdr:row>173</xdr:row>
                <xdr:rowOff>0</xdr:rowOff>
              </to>
            </anchor>
          </controlPr>
        </control>
      </mc:Choice>
    </mc:AlternateContent>
    <mc:AlternateContent xmlns:mc="http://schemas.openxmlformats.org/markup-compatibility/2006">
      <mc:Choice Requires="x14">
        <control shapeId="18573" r:id="rId126" name="AddedMember2_4">
          <controlPr defaultSize="0" print="0" autoFill="0" autoPict="0" macro="_xll.IBPXLClient.TechnicalCategory.ButtonActionInIBPClientFormattingSheet">
            <anchor moveWithCells="1">
              <from>
                <xdr:col>12</xdr:col>
                <xdr:colOff>0</xdr:colOff>
                <xdr:row>174</xdr:row>
                <xdr:rowOff>57150</xdr:rowOff>
              </from>
              <to>
                <xdr:col>12</xdr:col>
                <xdr:colOff>704850</xdr:colOff>
                <xdr:row>176</xdr:row>
                <xdr:rowOff>0</xdr:rowOff>
              </to>
            </anchor>
          </controlPr>
        </control>
      </mc:Choice>
    </mc:AlternateContent>
    <mc:AlternateContent xmlns:mc="http://schemas.openxmlformats.org/markup-compatibility/2006">
      <mc:Choice Requires="x14">
        <control shapeId="18574" r:id="rId127" name="ChangeMember2_4">
          <controlPr defaultSize="0" print="0" autoFill="0" autoPict="0" macro="_xll.IBPXLClient.TechnicalCategory.ButtonActionInIBPClientFormattingSheet">
            <anchor moveWithCells="1">
              <from>
                <xdr:col>12</xdr:col>
                <xdr:colOff>723900</xdr:colOff>
                <xdr:row>174</xdr:row>
                <xdr:rowOff>57150</xdr:rowOff>
              </from>
              <to>
                <xdr:col>13</xdr:col>
                <xdr:colOff>704850</xdr:colOff>
                <xdr:row>176</xdr:row>
                <xdr:rowOff>0</xdr:rowOff>
              </to>
            </anchor>
          </controlPr>
        </control>
      </mc:Choice>
    </mc:AlternateContent>
    <mc:AlternateContent xmlns:mc="http://schemas.openxmlformats.org/markup-compatibility/2006">
      <mc:Choice Requires="x14">
        <control shapeId="18575" r:id="rId128" name="UpMember2_4">
          <controlPr defaultSize="0" print="0" autoFill="0" autoPict="0" macro="_xll.IBPXLClient.TechnicalCategory.ButtonActionInIBPClientFormattingSheet">
            <anchor moveWithCells="1">
              <from>
                <xdr:col>14</xdr:col>
                <xdr:colOff>0</xdr:colOff>
                <xdr:row>174</xdr:row>
                <xdr:rowOff>57150</xdr:rowOff>
              </from>
              <to>
                <xdr:col>14</xdr:col>
                <xdr:colOff>704850</xdr:colOff>
                <xdr:row>176</xdr:row>
                <xdr:rowOff>0</xdr:rowOff>
              </to>
            </anchor>
          </controlPr>
        </control>
      </mc:Choice>
    </mc:AlternateContent>
    <mc:AlternateContent xmlns:mc="http://schemas.openxmlformats.org/markup-compatibility/2006">
      <mc:Choice Requires="x14">
        <control shapeId="18576" r:id="rId129" name="DownMember2_4">
          <controlPr defaultSize="0" print="0" autoFill="0" autoPict="0" macro="_xll.IBPXLClient.TechnicalCategory.ButtonActionInIBPClientFormattingSheet">
            <anchor moveWithCells="1">
              <from>
                <xdr:col>15</xdr:col>
                <xdr:colOff>0</xdr:colOff>
                <xdr:row>174</xdr:row>
                <xdr:rowOff>57150</xdr:rowOff>
              </from>
              <to>
                <xdr:col>16</xdr:col>
                <xdr:colOff>0</xdr:colOff>
                <xdr:row>176</xdr:row>
                <xdr:rowOff>0</xdr:rowOff>
              </to>
            </anchor>
          </controlPr>
        </control>
      </mc:Choice>
    </mc:AlternateContent>
    <mc:AlternateContent xmlns:mc="http://schemas.openxmlformats.org/markup-compatibility/2006">
      <mc:Choice Requires="x14">
        <control shapeId="18577" r:id="rId130" name="AddedMember2_5">
          <controlPr defaultSize="0" print="0" autoFill="0" autoPict="0" macro="_xll.IBPXLClient.TechnicalCategory.ButtonActionInIBPClientFormattingSheet">
            <anchor moveWithCells="1">
              <from>
                <xdr:col>12</xdr:col>
                <xdr:colOff>0</xdr:colOff>
                <xdr:row>178</xdr:row>
                <xdr:rowOff>0</xdr:rowOff>
              </from>
              <to>
                <xdr:col>12</xdr:col>
                <xdr:colOff>704850</xdr:colOff>
                <xdr:row>179</xdr:row>
                <xdr:rowOff>9525</xdr:rowOff>
              </to>
            </anchor>
          </controlPr>
        </control>
      </mc:Choice>
    </mc:AlternateContent>
    <mc:AlternateContent xmlns:mc="http://schemas.openxmlformats.org/markup-compatibility/2006">
      <mc:Choice Requires="x14">
        <control shapeId="18578" r:id="rId131" name="ChangeMember2_5">
          <controlPr defaultSize="0" print="0" autoFill="0" autoPict="0" macro="_xll.IBPXLClient.TechnicalCategory.ButtonActionInIBPClientFormattingSheet">
            <anchor moveWithCells="1">
              <from>
                <xdr:col>12</xdr:col>
                <xdr:colOff>723900</xdr:colOff>
                <xdr:row>178</xdr:row>
                <xdr:rowOff>0</xdr:rowOff>
              </from>
              <to>
                <xdr:col>13</xdr:col>
                <xdr:colOff>704850</xdr:colOff>
                <xdr:row>179</xdr:row>
                <xdr:rowOff>9525</xdr:rowOff>
              </to>
            </anchor>
          </controlPr>
        </control>
      </mc:Choice>
    </mc:AlternateContent>
    <mc:AlternateContent xmlns:mc="http://schemas.openxmlformats.org/markup-compatibility/2006">
      <mc:Choice Requires="x14">
        <control shapeId="18579" r:id="rId132" name="UpMember2_5">
          <controlPr defaultSize="0" print="0" autoFill="0" autoPict="0" macro="_xll.IBPXLClient.TechnicalCategory.ButtonActionInIBPClientFormattingSheet">
            <anchor moveWithCells="1">
              <from>
                <xdr:col>14</xdr:col>
                <xdr:colOff>0</xdr:colOff>
                <xdr:row>178</xdr:row>
                <xdr:rowOff>0</xdr:rowOff>
              </from>
              <to>
                <xdr:col>14</xdr:col>
                <xdr:colOff>704850</xdr:colOff>
                <xdr:row>179</xdr:row>
                <xdr:rowOff>9525</xdr:rowOff>
              </to>
            </anchor>
          </controlPr>
        </control>
      </mc:Choice>
    </mc:AlternateContent>
    <mc:AlternateContent xmlns:mc="http://schemas.openxmlformats.org/markup-compatibility/2006">
      <mc:Choice Requires="x14">
        <control shapeId="18580" r:id="rId133" name="DownMember2_5">
          <controlPr defaultSize="0" print="0" autoFill="0" autoPict="0" macro="_xll.IBPXLClient.TechnicalCategory.ButtonActionInIBPClientFormattingSheet">
            <anchor moveWithCells="1">
              <from>
                <xdr:col>15</xdr:col>
                <xdr:colOff>0</xdr:colOff>
                <xdr:row>178</xdr:row>
                <xdr:rowOff>0</xdr:rowOff>
              </from>
              <to>
                <xdr:col>16</xdr:col>
                <xdr:colOff>0</xdr:colOff>
                <xdr:row>179</xdr:row>
                <xdr:rowOff>9525</xdr:rowOff>
              </to>
            </anchor>
          </controlPr>
        </control>
      </mc:Choice>
    </mc:AlternateContent>
    <mc:AlternateContent xmlns:mc="http://schemas.openxmlformats.org/markup-compatibility/2006">
      <mc:Choice Requires="x14">
        <control shapeId="18581" r:id="rId134" name="AddedMember2_6">
          <controlPr defaultSize="0" print="0" autoFill="0" autoPict="0" macro="_xll.IBPXLClient.TechnicalCategory.ButtonActionInIBPClientFormattingSheet">
            <anchor moveWithCells="1">
              <from>
                <xdr:col>12</xdr:col>
                <xdr:colOff>0</xdr:colOff>
                <xdr:row>181</xdr:row>
                <xdr:rowOff>0</xdr:rowOff>
              </from>
              <to>
                <xdr:col>12</xdr:col>
                <xdr:colOff>704850</xdr:colOff>
                <xdr:row>182</xdr:row>
                <xdr:rowOff>9525</xdr:rowOff>
              </to>
            </anchor>
          </controlPr>
        </control>
      </mc:Choice>
    </mc:AlternateContent>
    <mc:AlternateContent xmlns:mc="http://schemas.openxmlformats.org/markup-compatibility/2006">
      <mc:Choice Requires="x14">
        <control shapeId="18582" r:id="rId135" name="ChangeMember2_6">
          <controlPr defaultSize="0" print="0" autoFill="0" autoPict="0" macro="_xll.IBPXLClient.TechnicalCategory.ButtonActionInIBPClientFormattingSheet">
            <anchor moveWithCells="1">
              <from>
                <xdr:col>12</xdr:col>
                <xdr:colOff>723900</xdr:colOff>
                <xdr:row>181</xdr:row>
                <xdr:rowOff>0</xdr:rowOff>
              </from>
              <to>
                <xdr:col>13</xdr:col>
                <xdr:colOff>704850</xdr:colOff>
                <xdr:row>182</xdr:row>
                <xdr:rowOff>9525</xdr:rowOff>
              </to>
            </anchor>
          </controlPr>
        </control>
      </mc:Choice>
    </mc:AlternateContent>
    <mc:AlternateContent xmlns:mc="http://schemas.openxmlformats.org/markup-compatibility/2006">
      <mc:Choice Requires="x14">
        <control shapeId="18583" r:id="rId136" name="UpMember2_6">
          <controlPr defaultSize="0" print="0" autoFill="0" autoPict="0" macro="_xll.IBPXLClient.TechnicalCategory.ButtonActionInIBPClientFormattingSheet">
            <anchor moveWithCells="1">
              <from>
                <xdr:col>14</xdr:col>
                <xdr:colOff>0</xdr:colOff>
                <xdr:row>181</xdr:row>
                <xdr:rowOff>0</xdr:rowOff>
              </from>
              <to>
                <xdr:col>14</xdr:col>
                <xdr:colOff>704850</xdr:colOff>
                <xdr:row>182</xdr:row>
                <xdr:rowOff>9525</xdr:rowOff>
              </to>
            </anchor>
          </controlPr>
        </control>
      </mc:Choice>
    </mc:AlternateContent>
    <mc:AlternateContent xmlns:mc="http://schemas.openxmlformats.org/markup-compatibility/2006">
      <mc:Choice Requires="x14">
        <control shapeId="18584" r:id="rId137" name="DownMember2_6">
          <controlPr defaultSize="0" print="0" autoFill="0" autoPict="0" macro="_xll.IBPXLClient.TechnicalCategory.ButtonActionInIBPClientFormattingSheet">
            <anchor moveWithCells="1">
              <from>
                <xdr:col>15</xdr:col>
                <xdr:colOff>0</xdr:colOff>
                <xdr:row>181</xdr:row>
                <xdr:rowOff>0</xdr:rowOff>
              </from>
              <to>
                <xdr:col>16</xdr:col>
                <xdr:colOff>0</xdr:colOff>
                <xdr:row>182</xdr:row>
                <xdr:rowOff>9525</xdr:rowOff>
              </to>
            </anchor>
          </controlPr>
        </control>
      </mc:Choice>
    </mc:AlternateContent>
    <mc:AlternateContent xmlns:mc="http://schemas.openxmlformats.org/markup-compatibility/2006">
      <mc:Choice Requires="x14">
        <control shapeId="18585" r:id="rId138" name="AddedMember2_7">
          <controlPr defaultSize="0" print="0" autoFill="0" autoPict="0" macro="_xll.IBPXLClient.TechnicalCategory.ButtonActionInIBPClientFormattingSheet">
            <anchor moveWithCells="1">
              <from>
                <xdr:col>12</xdr:col>
                <xdr:colOff>0</xdr:colOff>
                <xdr:row>184</xdr:row>
                <xdr:rowOff>0</xdr:rowOff>
              </from>
              <to>
                <xdr:col>12</xdr:col>
                <xdr:colOff>704850</xdr:colOff>
                <xdr:row>185</xdr:row>
                <xdr:rowOff>0</xdr:rowOff>
              </to>
            </anchor>
          </controlPr>
        </control>
      </mc:Choice>
    </mc:AlternateContent>
    <mc:AlternateContent xmlns:mc="http://schemas.openxmlformats.org/markup-compatibility/2006">
      <mc:Choice Requires="x14">
        <control shapeId="18586" r:id="rId139" name="ChangeMember2_7">
          <controlPr defaultSize="0" print="0" autoFill="0" autoPict="0" macro="_xll.IBPXLClient.TechnicalCategory.ButtonActionInIBPClientFormattingSheet">
            <anchor moveWithCells="1">
              <from>
                <xdr:col>12</xdr:col>
                <xdr:colOff>723900</xdr:colOff>
                <xdr:row>184</xdr:row>
                <xdr:rowOff>0</xdr:rowOff>
              </from>
              <to>
                <xdr:col>13</xdr:col>
                <xdr:colOff>704850</xdr:colOff>
                <xdr:row>185</xdr:row>
                <xdr:rowOff>0</xdr:rowOff>
              </to>
            </anchor>
          </controlPr>
        </control>
      </mc:Choice>
    </mc:AlternateContent>
    <mc:AlternateContent xmlns:mc="http://schemas.openxmlformats.org/markup-compatibility/2006">
      <mc:Choice Requires="x14">
        <control shapeId="18587" r:id="rId140" name="UpMember2_7">
          <controlPr defaultSize="0" print="0" autoFill="0" autoPict="0" macro="_xll.IBPXLClient.TechnicalCategory.ButtonActionInIBPClientFormattingSheet">
            <anchor moveWithCells="1">
              <from>
                <xdr:col>14</xdr:col>
                <xdr:colOff>0</xdr:colOff>
                <xdr:row>184</xdr:row>
                <xdr:rowOff>0</xdr:rowOff>
              </from>
              <to>
                <xdr:col>14</xdr:col>
                <xdr:colOff>704850</xdr:colOff>
                <xdr:row>185</xdr:row>
                <xdr:rowOff>0</xdr:rowOff>
              </to>
            </anchor>
          </controlPr>
        </control>
      </mc:Choice>
    </mc:AlternateContent>
    <mc:AlternateContent xmlns:mc="http://schemas.openxmlformats.org/markup-compatibility/2006">
      <mc:Choice Requires="x14">
        <control shapeId="18588" r:id="rId141" name="DownMember2_7">
          <controlPr defaultSize="0" print="0" autoFill="0" autoPict="0" macro="_xll.IBPXLClient.TechnicalCategory.ButtonActionInIBPClientFormattingSheet">
            <anchor moveWithCells="1">
              <from>
                <xdr:col>15</xdr:col>
                <xdr:colOff>0</xdr:colOff>
                <xdr:row>184</xdr:row>
                <xdr:rowOff>0</xdr:rowOff>
              </from>
              <to>
                <xdr:col>16</xdr:col>
                <xdr:colOff>0</xdr:colOff>
                <xdr:row>185</xdr:row>
                <xdr:rowOff>0</xdr:rowOff>
              </to>
            </anchor>
          </controlPr>
        </control>
      </mc:Choice>
    </mc:AlternateContent>
    <mc:AlternateContent xmlns:mc="http://schemas.openxmlformats.org/markup-compatibility/2006">
      <mc:Choice Requires="x14">
        <control shapeId="18589" r:id="rId142" name="AddedMember1_19">
          <controlPr defaultSize="0" print="0" autoFill="0" autoPict="0" macro="_xll.IBPXLClient.TechnicalCategory.ButtonActionInIBPClientFormattingSheet">
            <anchor moveWithCells="1">
              <from>
                <xdr:col>12</xdr:col>
                <xdr:colOff>0</xdr:colOff>
                <xdr:row>93</xdr:row>
                <xdr:rowOff>57150</xdr:rowOff>
              </from>
              <to>
                <xdr:col>12</xdr:col>
                <xdr:colOff>704850</xdr:colOff>
                <xdr:row>95</xdr:row>
                <xdr:rowOff>0</xdr:rowOff>
              </to>
            </anchor>
          </controlPr>
        </control>
      </mc:Choice>
    </mc:AlternateContent>
    <mc:AlternateContent xmlns:mc="http://schemas.openxmlformats.org/markup-compatibility/2006">
      <mc:Choice Requires="x14">
        <control shapeId="18590" r:id="rId143" name="ChangeMember1_19">
          <controlPr defaultSize="0" print="0" autoFill="0" autoPict="0" macro="_xll.IBPXLClient.TechnicalCategory.ButtonActionInIBPClientFormattingSheet">
            <anchor moveWithCells="1">
              <from>
                <xdr:col>12</xdr:col>
                <xdr:colOff>723900</xdr:colOff>
                <xdr:row>93</xdr:row>
                <xdr:rowOff>57150</xdr:rowOff>
              </from>
              <to>
                <xdr:col>13</xdr:col>
                <xdr:colOff>704850</xdr:colOff>
                <xdr:row>95</xdr:row>
                <xdr:rowOff>0</xdr:rowOff>
              </to>
            </anchor>
          </controlPr>
        </control>
      </mc:Choice>
    </mc:AlternateContent>
    <mc:AlternateContent xmlns:mc="http://schemas.openxmlformats.org/markup-compatibility/2006">
      <mc:Choice Requires="x14">
        <control shapeId="18591" r:id="rId144" name="UpMember1_19">
          <controlPr defaultSize="0" print="0" autoFill="0" autoPict="0" macro="_xll.IBPXLClient.TechnicalCategory.ButtonActionInIBPClientFormattingSheet">
            <anchor moveWithCells="1">
              <from>
                <xdr:col>14</xdr:col>
                <xdr:colOff>0</xdr:colOff>
                <xdr:row>93</xdr:row>
                <xdr:rowOff>57150</xdr:rowOff>
              </from>
              <to>
                <xdr:col>14</xdr:col>
                <xdr:colOff>704850</xdr:colOff>
                <xdr:row>95</xdr:row>
                <xdr:rowOff>0</xdr:rowOff>
              </to>
            </anchor>
          </controlPr>
        </control>
      </mc:Choice>
    </mc:AlternateContent>
    <mc:AlternateContent xmlns:mc="http://schemas.openxmlformats.org/markup-compatibility/2006">
      <mc:Choice Requires="x14">
        <control shapeId="18592" r:id="rId145" name="DownMember1_19">
          <controlPr defaultSize="0" print="0" autoFill="0" autoPict="0" macro="_xll.IBPXLClient.TechnicalCategory.ButtonActionInIBPClientFormattingSheet">
            <anchor moveWithCells="1">
              <from>
                <xdr:col>15</xdr:col>
                <xdr:colOff>0</xdr:colOff>
                <xdr:row>93</xdr:row>
                <xdr:rowOff>57150</xdr:rowOff>
              </from>
              <to>
                <xdr:col>16</xdr:col>
                <xdr:colOff>0</xdr:colOff>
                <xdr:row>95</xdr:row>
                <xdr:rowOff>0</xdr:rowOff>
              </to>
            </anchor>
          </controlPr>
        </control>
      </mc:Choice>
    </mc:AlternateContent>
    <mc:AlternateContent xmlns:mc="http://schemas.openxmlformats.org/markup-compatibility/2006">
      <mc:Choice Requires="x14">
        <control shapeId="18593" r:id="rId146" name="AddedMember1_20">
          <controlPr defaultSize="0" print="0" autoFill="0" autoPict="0" macro="_xll.IBPXLClient.TechnicalCategory.ButtonActionInIBPClientFormattingSheet">
            <anchor moveWithCells="1">
              <from>
                <xdr:col>12</xdr:col>
                <xdr:colOff>0</xdr:colOff>
                <xdr:row>97</xdr:row>
                <xdr:rowOff>0</xdr:rowOff>
              </from>
              <to>
                <xdr:col>12</xdr:col>
                <xdr:colOff>704850</xdr:colOff>
                <xdr:row>98</xdr:row>
                <xdr:rowOff>9525</xdr:rowOff>
              </to>
            </anchor>
          </controlPr>
        </control>
      </mc:Choice>
    </mc:AlternateContent>
    <mc:AlternateContent xmlns:mc="http://schemas.openxmlformats.org/markup-compatibility/2006">
      <mc:Choice Requires="x14">
        <control shapeId="18594" r:id="rId147" name="ChangeMember1_20">
          <controlPr defaultSize="0" print="0" autoFill="0" autoPict="0" macro="_xll.IBPXLClient.TechnicalCategory.ButtonActionInIBPClientFormattingSheet">
            <anchor moveWithCells="1">
              <from>
                <xdr:col>12</xdr:col>
                <xdr:colOff>723900</xdr:colOff>
                <xdr:row>97</xdr:row>
                <xdr:rowOff>0</xdr:rowOff>
              </from>
              <to>
                <xdr:col>13</xdr:col>
                <xdr:colOff>704850</xdr:colOff>
                <xdr:row>98</xdr:row>
                <xdr:rowOff>9525</xdr:rowOff>
              </to>
            </anchor>
          </controlPr>
        </control>
      </mc:Choice>
    </mc:AlternateContent>
    <mc:AlternateContent xmlns:mc="http://schemas.openxmlformats.org/markup-compatibility/2006">
      <mc:Choice Requires="x14">
        <control shapeId="18595" r:id="rId148" name="UpMember1_20">
          <controlPr defaultSize="0" print="0" autoFill="0" autoPict="0" macro="_xll.IBPXLClient.TechnicalCategory.ButtonActionInIBPClientFormattingSheet">
            <anchor moveWithCells="1">
              <from>
                <xdr:col>14</xdr:col>
                <xdr:colOff>0</xdr:colOff>
                <xdr:row>97</xdr:row>
                <xdr:rowOff>0</xdr:rowOff>
              </from>
              <to>
                <xdr:col>14</xdr:col>
                <xdr:colOff>704850</xdr:colOff>
                <xdr:row>98</xdr:row>
                <xdr:rowOff>9525</xdr:rowOff>
              </to>
            </anchor>
          </controlPr>
        </control>
      </mc:Choice>
    </mc:AlternateContent>
    <mc:AlternateContent xmlns:mc="http://schemas.openxmlformats.org/markup-compatibility/2006">
      <mc:Choice Requires="x14">
        <control shapeId="18596" r:id="rId149" name="DownMember1_20">
          <controlPr defaultSize="0" print="0" autoFill="0" autoPict="0" macro="_xll.IBPXLClient.TechnicalCategory.ButtonActionInIBPClientFormattingSheet">
            <anchor moveWithCells="1">
              <from>
                <xdr:col>15</xdr:col>
                <xdr:colOff>0</xdr:colOff>
                <xdr:row>97</xdr:row>
                <xdr:rowOff>0</xdr:rowOff>
              </from>
              <to>
                <xdr:col>16</xdr:col>
                <xdr:colOff>0</xdr:colOff>
                <xdr:row>98</xdr:row>
                <xdr:rowOff>9525</xdr:rowOff>
              </to>
            </anchor>
          </controlPr>
        </control>
      </mc:Choice>
    </mc:AlternateContent>
    <mc:AlternateContent xmlns:mc="http://schemas.openxmlformats.org/markup-compatibility/2006">
      <mc:Choice Requires="x14">
        <control shapeId="18597" r:id="rId150" name="AddedMember1_21">
          <controlPr defaultSize="0" print="0" autoFill="0" autoPict="0" macro="_xll.IBPXLClient.TechnicalCategory.ButtonActionInIBPClientFormattingSheet">
            <anchor moveWithCells="1">
              <from>
                <xdr:col>12</xdr:col>
                <xdr:colOff>0</xdr:colOff>
                <xdr:row>100</xdr:row>
                <xdr:rowOff>0</xdr:rowOff>
              </from>
              <to>
                <xdr:col>12</xdr:col>
                <xdr:colOff>704850</xdr:colOff>
                <xdr:row>101</xdr:row>
                <xdr:rowOff>9525</xdr:rowOff>
              </to>
            </anchor>
          </controlPr>
        </control>
      </mc:Choice>
    </mc:AlternateContent>
    <mc:AlternateContent xmlns:mc="http://schemas.openxmlformats.org/markup-compatibility/2006">
      <mc:Choice Requires="x14">
        <control shapeId="18598" r:id="rId151" name="ChangeMember1_21">
          <controlPr defaultSize="0" print="0" autoFill="0" autoPict="0" macro="_xll.IBPXLClient.TechnicalCategory.ButtonActionInIBPClientFormattingSheet">
            <anchor moveWithCells="1">
              <from>
                <xdr:col>12</xdr:col>
                <xdr:colOff>723900</xdr:colOff>
                <xdr:row>100</xdr:row>
                <xdr:rowOff>0</xdr:rowOff>
              </from>
              <to>
                <xdr:col>13</xdr:col>
                <xdr:colOff>704850</xdr:colOff>
                <xdr:row>101</xdr:row>
                <xdr:rowOff>9525</xdr:rowOff>
              </to>
            </anchor>
          </controlPr>
        </control>
      </mc:Choice>
    </mc:AlternateContent>
    <mc:AlternateContent xmlns:mc="http://schemas.openxmlformats.org/markup-compatibility/2006">
      <mc:Choice Requires="x14">
        <control shapeId="18599" r:id="rId152" name="UpMember1_21">
          <controlPr defaultSize="0" print="0" autoFill="0" autoPict="0" macro="_xll.IBPXLClient.TechnicalCategory.ButtonActionInIBPClientFormattingSheet">
            <anchor moveWithCells="1">
              <from>
                <xdr:col>14</xdr:col>
                <xdr:colOff>0</xdr:colOff>
                <xdr:row>100</xdr:row>
                <xdr:rowOff>0</xdr:rowOff>
              </from>
              <to>
                <xdr:col>14</xdr:col>
                <xdr:colOff>704850</xdr:colOff>
                <xdr:row>101</xdr:row>
                <xdr:rowOff>9525</xdr:rowOff>
              </to>
            </anchor>
          </controlPr>
        </control>
      </mc:Choice>
    </mc:AlternateContent>
    <mc:AlternateContent xmlns:mc="http://schemas.openxmlformats.org/markup-compatibility/2006">
      <mc:Choice Requires="x14">
        <control shapeId="18600" r:id="rId153" name="DownMember1_21">
          <controlPr defaultSize="0" print="0" autoFill="0" autoPict="0" macro="_xll.IBPXLClient.TechnicalCategory.ButtonActionInIBPClientFormattingSheet">
            <anchor moveWithCells="1">
              <from>
                <xdr:col>15</xdr:col>
                <xdr:colOff>0</xdr:colOff>
                <xdr:row>100</xdr:row>
                <xdr:rowOff>0</xdr:rowOff>
              </from>
              <to>
                <xdr:col>16</xdr:col>
                <xdr:colOff>0</xdr:colOff>
                <xdr:row>101</xdr:row>
                <xdr:rowOff>9525</xdr:rowOff>
              </to>
            </anchor>
          </controlPr>
        </control>
      </mc:Choice>
    </mc:AlternateContent>
    <mc:AlternateContent xmlns:mc="http://schemas.openxmlformats.org/markup-compatibility/2006">
      <mc:Choice Requires="x14">
        <control shapeId="18601" r:id="rId154" name="AddedMember1_22">
          <controlPr defaultSize="0" print="0" autoFill="0" autoPict="0" macro="_xll.IBPXLClient.TechnicalCategory.ButtonActionInIBPClientFormattingSheet">
            <anchor moveWithCells="1">
              <from>
                <xdr:col>12</xdr:col>
                <xdr:colOff>0</xdr:colOff>
                <xdr:row>103</xdr:row>
                <xdr:rowOff>0</xdr:rowOff>
              </from>
              <to>
                <xdr:col>12</xdr:col>
                <xdr:colOff>704850</xdr:colOff>
                <xdr:row>104</xdr:row>
                <xdr:rowOff>0</xdr:rowOff>
              </to>
            </anchor>
          </controlPr>
        </control>
      </mc:Choice>
    </mc:AlternateContent>
    <mc:AlternateContent xmlns:mc="http://schemas.openxmlformats.org/markup-compatibility/2006">
      <mc:Choice Requires="x14">
        <control shapeId="18602" r:id="rId155" name="ChangeMember1_22">
          <controlPr defaultSize="0" print="0" autoFill="0" autoPict="0" macro="_xll.IBPXLClient.TechnicalCategory.ButtonActionInIBPClientFormattingSheet">
            <anchor moveWithCells="1">
              <from>
                <xdr:col>12</xdr:col>
                <xdr:colOff>723900</xdr:colOff>
                <xdr:row>103</xdr:row>
                <xdr:rowOff>0</xdr:rowOff>
              </from>
              <to>
                <xdr:col>13</xdr:col>
                <xdr:colOff>704850</xdr:colOff>
                <xdr:row>104</xdr:row>
                <xdr:rowOff>0</xdr:rowOff>
              </to>
            </anchor>
          </controlPr>
        </control>
      </mc:Choice>
    </mc:AlternateContent>
    <mc:AlternateContent xmlns:mc="http://schemas.openxmlformats.org/markup-compatibility/2006">
      <mc:Choice Requires="x14">
        <control shapeId="18603" r:id="rId156" name="UpMember1_22">
          <controlPr defaultSize="0" print="0" autoFill="0" autoPict="0" macro="_xll.IBPXLClient.TechnicalCategory.ButtonActionInIBPClientFormattingSheet">
            <anchor moveWithCells="1">
              <from>
                <xdr:col>14</xdr:col>
                <xdr:colOff>0</xdr:colOff>
                <xdr:row>103</xdr:row>
                <xdr:rowOff>0</xdr:rowOff>
              </from>
              <to>
                <xdr:col>14</xdr:col>
                <xdr:colOff>704850</xdr:colOff>
                <xdr:row>104</xdr:row>
                <xdr:rowOff>0</xdr:rowOff>
              </to>
            </anchor>
          </controlPr>
        </control>
      </mc:Choice>
    </mc:AlternateContent>
    <mc:AlternateContent xmlns:mc="http://schemas.openxmlformats.org/markup-compatibility/2006">
      <mc:Choice Requires="x14">
        <control shapeId="18604" r:id="rId157" name="DownMember1_22">
          <controlPr defaultSize="0" print="0" autoFill="0" autoPict="0" macro="_xll.IBPXLClient.TechnicalCategory.ButtonActionInIBPClientFormattingSheet">
            <anchor moveWithCells="1">
              <from>
                <xdr:col>15</xdr:col>
                <xdr:colOff>0</xdr:colOff>
                <xdr:row>103</xdr:row>
                <xdr:rowOff>0</xdr:rowOff>
              </from>
              <to>
                <xdr:col>16</xdr:col>
                <xdr:colOff>0</xdr:colOff>
                <xdr:row>104</xdr:row>
                <xdr:rowOff>0</xdr:rowOff>
              </to>
            </anchor>
          </controlPr>
        </control>
      </mc:Choice>
    </mc:AlternateContent>
    <mc:AlternateContent xmlns:mc="http://schemas.openxmlformats.org/markup-compatibility/2006">
      <mc:Choice Requires="x14">
        <control shapeId="18605" r:id="rId158" name="AddedMember1_23">
          <controlPr defaultSize="0" print="0" autoFill="0" autoPict="0" macro="_xll.IBPXLClient.TechnicalCategory.ButtonActionInIBPClientFormattingSheet">
            <anchor moveWithCells="1">
              <from>
                <xdr:col>12</xdr:col>
                <xdr:colOff>0</xdr:colOff>
                <xdr:row>105</xdr:row>
                <xdr:rowOff>57150</xdr:rowOff>
              </from>
              <to>
                <xdr:col>12</xdr:col>
                <xdr:colOff>704850</xdr:colOff>
                <xdr:row>107</xdr:row>
                <xdr:rowOff>0</xdr:rowOff>
              </to>
            </anchor>
          </controlPr>
        </control>
      </mc:Choice>
    </mc:AlternateContent>
    <mc:AlternateContent xmlns:mc="http://schemas.openxmlformats.org/markup-compatibility/2006">
      <mc:Choice Requires="x14">
        <control shapeId="18606" r:id="rId159" name="ChangeMember1_23">
          <controlPr defaultSize="0" print="0" autoFill="0" autoPict="0" macro="_xll.IBPXLClient.TechnicalCategory.ButtonActionInIBPClientFormattingSheet">
            <anchor moveWithCells="1">
              <from>
                <xdr:col>12</xdr:col>
                <xdr:colOff>723900</xdr:colOff>
                <xdr:row>105</xdr:row>
                <xdr:rowOff>57150</xdr:rowOff>
              </from>
              <to>
                <xdr:col>13</xdr:col>
                <xdr:colOff>704850</xdr:colOff>
                <xdr:row>107</xdr:row>
                <xdr:rowOff>0</xdr:rowOff>
              </to>
            </anchor>
          </controlPr>
        </control>
      </mc:Choice>
    </mc:AlternateContent>
    <mc:AlternateContent xmlns:mc="http://schemas.openxmlformats.org/markup-compatibility/2006">
      <mc:Choice Requires="x14">
        <control shapeId="18607" r:id="rId160" name="UpMember1_23">
          <controlPr defaultSize="0" print="0" autoFill="0" autoPict="0" macro="_xll.IBPXLClient.TechnicalCategory.ButtonActionInIBPClientFormattingSheet">
            <anchor moveWithCells="1">
              <from>
                <xdr:col>14</xdr:col>
                <xdr:colOff>0</xdr:colOff>
                <xdr:row>105</xdr:row>
                <xdr:rowOff>57150</xdr:rowOff>
              </from>
              <to>
                <xdr:col>14</xdr:col>
                <xdr:colOff>704850</xdr:colOff>
                <xdr:row>107</xdr:row>
                <xdr:rowOff>0</xdr:rowOff>
              </to>
            </anchor>
          </controlPr>
        </control>
      </mc:Choice>
    </mc:AlternateContent>
    <mc:AlternateContent xmlns:mc="http://schemas.openxmlformats.org/markup-compatibility/2006">
      <mc:Choice Requires="x14">
        <control shapeId="18608" r:id="rId161" name="DownMember1_23">
          <controlPr defaultSize="0" print="0" autoFill="0" autoPict="0" macro="_xll.IBPXLClient.TechnicalCategory.ButtonActionInIBPClientFormattingSheet">
            <anchor moveWithCells="1">
              <from>
                <xdr:col>15</xdr:col>
                <xdr:colOff>0</xdr:colOff>
                <xdr:row>105</xdr:row>
                <xdr:rowOff>57150</xdr:rowOff>
              </from>
              <to>
                <xdr:col>16</xdr:col>
                <xdr:colOff>0</xdr:colOff>
                <xdr:row>107</xdr:row>
                <xdr:rowOff>0</xdr:rowOff>
              </to>
            </anchor>
          </controlPr>
        </control>
      </mc:Choice>
    </mc:AlternateContent>
    <mc:AlternateContent xmlns:mc="http://schemas.openxmlformats.org/markup-compatibility/2006">
      <mc:Choice Requires="x14">
        <control shapeId="18609" r:id="rId162" name="AddedMember1_24">
          <controlPr defaultSize="0" print="0" autoFill="0" autoPict="0" macro="_xll.IBPXLClient.TechnicalCategory.ButtonActionInIBPClientFormattingSheet">
            <anchor moveWithCells="1">
              <from>
                <xdr:col>12</xdr:col>
                <xdr:colOff>0</xdr:colOff>
                <xdr:row>108</xdr:row>
                <xdr:rowOff>57150</xdr:rowOff>
              </from>
              <to>
                <xdr:col>12</xdr:col>
                <xdr:colOff>704850</xdr:colOff>
                <xdr:row>110</xdr:row>
                <xdr:rowOff>0</xdr:rowOff>
              </to>
            </anchor>
          </controlPr>
        </control>
      </mc:Choice>
    </mc:AlternateContent>
    <mc:AlternateContent xmlns:mc="http://schemas.openxmlformats.org/markup-compatibility/2006">
      <mc:Choice Requires="x14">
        <control shapeId="18610" r:id="rId163" name="ChangeMember1_24">
          <controlPr defaultSize="0" print="0" autoFill="0" autoPict="0" macro="_xll.IBPXLClient.TechnicalCategory.ButtonActionInIBPClientFormattingSheet">
            <anchor moveWithCells="1">
              <from>
                <xdr:col>12</xdr:col>
                <xdr:colOff>723900</xdr:colOff>
                <xdr:row>108</xdr:row>
                <xdr:rowOff>57150</xdr:rowOff>
              </from>
              <to>
                <xdr:col>13</xdr:col>
                <xdr:colOff>704850</xdr:colOff>
                <xdr:row>110</xdr:row>
                <xdr:rowOff>0</xdr:rowOff>
              </to>
            </anchor>
          </controlPr>
        </control>
      </mc:Choice>
    </mc:AlternateContent>
    <mc:AlternateContent xmlns:mc="http://schemas.openxmlformats.org/markup-compatibility/2006">
      <mc:Choice Requires="x14">
        <control shapeId="18611" r:id="rId164" name="UpMember1_24">
          <controlPr defaultSize="0" print="0" autoFill="0" autoPict="0" macro="_xll.IBPXLClient.TechnicalCategory.ButtonActionInIBPClientFormattingSheet">
            <anchor moveWithCells="1">
              <from>
                <xdr:col>14</xdr:col>
                <xdr:colOff>0</xdr:colOff>
                <xdr:row>108</xdr:row>
                <xdr:rowOff>57150</xdr:rowOff>
              </from>
              <to>
                <xdr:col>14</xdr:col>
                <xdr:colOff>704850</xdr:colOff>
                <xdr:row>110</xdr:row>
                <xdr:rowOff>0</xdr:rowOff>
              </to>
            </anchor>
          </controlPr>
        </control>
      </mc:Choice>
    </mc:AlternateContent>
    <mc:AlternateContent xmlns:mc="http://schemas.openxmlformats.org/markup-compatibility/2006">
      <mc:Choice Requires="x14">
        <control shapeId="18612" r:id="rId165" name="DownMember1_24">
          <controlPr defaultSize="0" print="0" autoFill="0" autoPict="0" macro="_xll.IBPXLClient.TechnicalCategory.ButtonActionInIBPClientFormattingSheet">
            <anchor moveWithCells="1">
              <from>
                <xdr:col>15</xdr:col>
                <xdr:colOff>0</xdr:colOff>
                <xdr:row>108</xdr:row>
                <xdr:rowOff>57150</xdr:rowOff>
              </from>
              <to>
                <xdr:col>16</xdr:col>
                <xdr:colOff>0</xdr:colOff>
                <xdr:row>110</xdr:row>
                <xdr:rowOff>0</xdr:rowOff>
              </to>
            </anchor>
          </controlPr>
        </control>
      </mc:Choice>
    </mc:AlternateContent>
    <mc:AlternateContent xmlns:mc="http://schemas.openxmlformats.org/markup-compatibility/2006">
      <mc:Choice Requires="x14">
        <control shapeId="18613" r:id="rId166" name="AddedMember1_25">
          <controlPr defaultSize="0" print="0" autoFill="0" autoPict="0" macro="_xll.IBPXLClient.TechnicalCategory.ButtonActionInIBPClientFormattingSheet">
            <anchor moveWithCells="1">
              <from>
                <xdr:col>12</xdr:col>
                <xdr:colOff>0</xdr:colOff>
                <xdr:row>112</xdr:row>
                <xdr:rowOff>0</xdr:rowOff>
              </from>
              <to>
                <xdr:col>12</xdr:col>
                <xdr:colOff>704850</xdr:colOff>
                <xdr:row>113</xdr:row>
                <xdr:rowOff>9525</xdr:rowOff>
              </to>
            </anchor>
          </controlPr>
        </control>
      </mc:Choice>
    </mc:AlternateContent>
    <mc:AlternateContent xmlns:mc="http://schemas.openxmlformats.org/markup-compatibility/2006">
      <mc:Choice Requires="x14">
        <control shapeId="18614" r:id="rId167" name="ChangeMember1_25">
          <controlPr defaultSize="0" print="0" autoFill="0" autoPict="0" macro="_xll.IBPXLClient.TechnicalCategory.ButtonActionInIBPClientFormattingSheet">
            <anchor moveWithCells="1">
              <from>
                <xdr:col>12</xdr:col>
                <xdr:colOff>723900</xdr:colOff>
                <xdr:row>112</xdr:row>
                <xdr:rowOff>0</xdr:rowOff>
              </from>
              <to>
                <xdr:col>13</xdr:col>
                <xdr:colOff>704850</xdr:colOff>
                <xdr:row>113</xdr:row>
                <xdr:rowOff>9525</xdr:rowOff>
              </to>
            </anchor>
          </controlPr>
        </control>
      </mc:Choice>
    </mc:AlternateContent>
    <mc:AlternateContent xmlns:mc="http://schemas.openxmlformats.org/markup-compatibility/2006">
      <mc:Choice Requires="x14">
        <control shapeId="18615" r:id="rId168" name="UpMember1_25">
          <controlPr defaultSize="0" print="0" autoFill="0" autoPict="0" macro="_xll.IBPXLClient.TechnicalCategory.ButtonActionInIBPClientFormattingSheet">
            <anchor moveWithCells="1">
              <from>
                <xdr:col>14</xdr:col>
                <xdr:colOff>0</xdr:colOff>
                <xdr:row>112</xdr:row>
                <xdr:rowOff>0</xdr:rowOff>
              </from>
              <to>
                <xdr:col>14</xdr:col>
                <xdr:colOff>704850</xdr:colOff>
                <xdr:row>113</xdr:row>
                <xdr:rowOff>9525</xdr:rowOff>
              </to>
            </anchor>
          </controlPr>
        </control>
      </mc:Choice>
    </mc:AlternateContent>
    <mc:AlternateContent xmlns:mc="http://schemas.openxmlformats.org/markup-compatibility/2006">
      <mc:Choice Requires="x14">
        <control shapeId="18616" r:id="rId169" name="DownMember1_25">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9525</xdr:rowOff>
              </to>
            </anchor>
          </controlPr>
        </control>
      </mc:Choice>
    </mc:AlternateContent>
    <mc:AlternateContent xmlns:mc="http://schemas.openxmlformats.org/markup-compatibility/2006">
      <mc:Choice Requires="x14">
        <control shapeId="18650" r:id="rId170" name="AddedMember1_26">
          <controlPr defaultSize="0" print="0" autoFill="0" autoPict="0" macro="_xll.IBPXLClient.TechnicalCategory.ButtonActionInIBPClientFormattingSheet">
            <anchor moveWithCells="1">
              <from>
                <xdr:col>11</xdr:col>
                <xdr:colOff>2438400</xdr:colOff>
                <xdr:row>115</xdr:row>
                <xdr:rowOff>0</xdr:rowOff>
              </from>
              <to>
                <xdr:col>12</xdr:col>
                <xdr:colOff>676275</xdr:colOff>
                <xdr:row>116</xdr:row>
                <xdr:rowOff>0</xdr:rowOff>
              </to>
            </anchor>
          </controlPr>
        </control>
      </mc:Choice>
    </mc:AlternateContent>
    <mc:AlternateContent xmlns:mc="http://schemas.openxmlformats.org/markup-compatibility/2006">
      <mc:Choice Requires="x14">
        <control shapeId="18651" r:id="rId171" name="ChangeMember1_26">
          <controlPr defaultSize="0" print="0" autoFill="0" autoPict="0" macro="_xll.IBPXLClient.TechnicalCategory.ButtonActionInIBPClientFormattingSheet">
            <anchor moveWithCells="1">
              <from>
                <xdr:col>13</xdr:col>
                <xdr:colOff>0</xdr:colOff>
                <xdr:row>115</xdr:row>
                <xdr:rowOff>0</xdr:rowOff>
              </from>
              <to>
                <xdr:col>13</xdr:col>
                <xdr:colOff>685800</xdr:colOff>
                <xdr:row>116</xdr:row>
                <xdr:rowOff>0</xdr:rowOff>
              </to>
            </anchor>
          </controlPr>
        </control>
      </mc:Choice>
    </mc:AlternateContent>
    <mc:AlternateContent xmlns:mc="http://schemas.openxmlformats.org/markup-compatibility/2006">
      <mc:Choice Requires="x14">
        <control shapeId="18652" r:id="rId172" name="UpMember1_26">
          <controlPr defaultSize="0" print="0" autoFill="0" autoPict="0" macro="_xll.IBPXLClient.TechnicalCategory.ButtonActionInIBPClientFormattingSheet">
            <anchor moveWithCells="1">
              <from>
                <xdr:col>14</xdr:col>
                <xdr:colOff>0</xdr:colOff>
                <xdr:row>115</xdr:row>
                <xdr:rowOff>0</xdr:rowOff>
              </from>
              <to>
                <xdr:col>14</xdr:col>
                <xdr:colOff>685800</xdr:colOff>
                <xdr:row>116</xdr:row>
                <xdr:rowOff>0</xdr:rowOff>
              </to>
            </anchor>
          </controlPr>
        </control>
      </mc:Choice>
    </mc:AlternateContent>
    <mc:AlternateContent xmlns:mc="http://schemas.openxmlformats.org/markup-compatibility/2006">
      <mc:Choice Requires="x14">
        <control shapeId="18653" r:id="rId173" name="DownMember1_26">
          <controlPr defaultSize="0" print="0" autoFill="0" autoPict="0" macro="_xll.IBPXLClient.TechnicalCategory.ButtonActionInIBPClientFormattingSheet">
            <anchor moveWithCells="1">
              <from>
                <xdr:col>14</xdr:col>
                <xdr:colOff>704850</xdr:colOff>
                <xdr:row>115</xdr:row>
                <xdr:rowOff>0</xdr:rowOff>
              </from>
              <to>
                <xdr:col>15</xdr:col>
                <xdr:colOff>676275</xdr:colOff>
                <xdr:row>116</xdr:row>
                <xdr:rowOff>0</xdr:rowOff>
              </to>
            </anchor>
          </controlPr>
        </control>
      </mc:Choice>
    </mc:AlternateContent>
    <mc:AlternateContent xmlns:mc="http://schemas.openxmlformats.org/markup-compatibility/2006">
      <mc:Choice Requires="x14">
        <control shapeId="18661" r:id="rId174" name="AddedMember1_27">
          <controlPr defaultSize="0" print="0" autoFill="0" autoPict="0" macro="_xll.IBPXLClient.TechnicalCategory.ButtonActionInIBPClientFormattingSheet">
            <anchor moveWithCells="1">
              <from>
                <xdr:col>11</xdr:col>
                <xdr:colOff>2438400</xdr:colOff>
                <xdr:row>117</xdr:row>
                <xdr:rowOff>47625</xdr:rowOff>
              </from>
              <to>
                <xdr:col>12</xdr:col>
                <xdr:colOff>676275</xdr:colOff>
                <xdr:row>119</xdr:row>
                <xdr:rowOff>0</xdr:rowOff>
              </to>
            </anchor>
          </controlPr>
        </control>
      </mc:Choice>
    </mc:AlternateContent>
    <mc:AlternateContent xmlns:mc="http://schemas.openxmlformats.org/markup-compatibility/2006">
      <mc:Choice Requires="x14">
        <control shapeId="18662" r:id="rId175" name="ChangeMember1_27">
          <controlPr defaultSize="0" print="0" autoFill="0" autoPict="0" macro="_xll.IBPXLClient.TechnicalCategory.ButtonActionInIBPClientFormattingSheet">
            <anchor moveWithCells="1">
              <from>
                <xdr:col>13</xdr:col>
                <xdr:colOff>0</xdr:colOff>
                <xdr:row>117</xdr:row>
                <xdr:rowOff>47625</xdr:rowOff>
              </from>
              <to>
                <xdr:col>13</xdr:col>
                <xdr:colOff>685800</xdr:colOff>
                <xdr:row>119</xdr:row>
                <xdr:rowOff>0</xdr:rowOff>
              </to>
            </anchor>
          </controlPr>
        </control>
      </mc:Choice>
    </mc:AlternateContent>
    <mc:AlternateContent xmlns:mc="http://schemas.openxmlformats.org/markup-compatibility/2006">
      <mc:Choice Requires="x14">
        <control shapeId="18663" r:id="rId176" name="UpMember1_27">
          <controlPr defaultSize="0" print="0" autoFill="0" autoPict="0" macro="_xll.IBPXLClient.TechnicalCategory.ButtonActionInIBPClientFormattingSheet">
            <anchor moveWithCells="1">
              <from>
                <xdr:col>14</xdr:col>
                <xdr:colOff>0</xdr:colOff>
                <xdr:row>117</xdr:row>
                <xdr:rowOff>47625</xdr:rowOff>
              </from>
              <to>
                <xdr:col>14</xdr:col>
                <xdr:colOff>685800</xdr:colOff>
                <xdr:row>119</xdr:row>
                <xdr:rowOff>0</xdr:rowOff>
              </to>
            </anchor>
          </controlPr>
        </control>
      </mc:Choice>
    </mc:AlternateContent>
    <mc:AlternateContent xmlns:mc="http://schemas.openxmlformats.org/markup-compatibility/2006">
      <mc:Choice Requires="x14">
        <control shapeId="18664" r:id="rId177" name="DownMember1_27">
          <controlPr defaultSize="0" print="0" autoFill="0" autoPict="0" macro="_xll.IBPXLClient.TechnicalCategory.ButtonActionInIBPClientFormattingSheet">
            <anchor moveWithCells="1">
              <from>
                <xdr:col>14</xdr:col>
                <xdr:colOff>704850</xdr:colOff>
                <xdr:row>117</xdr:row>
                <xdr:rowOff>47625</xdr:rowOff>
              </from>
              <to>
                <xdr:col>15</xdr:col>
                <xdr:colOff>676275</xdr:colOff>
                <xdr:row>119</xdr:row>
                <xdr:rowOff>0</xdr:rowOff>
              </to>
            </anchor>
          </controlPr>
        </control>
      </mc:Choice>
    </mc:AlternateContent>
    <mc:AlternateContent xmlns:mc="http://schemas.openxmlformats.org/markup-compatibility/2006">
      <mc:Choice Requires="x14">
        <control shapeId="18677" r:id="rId178" name="AddedMember1_28">
          <controlPr defaultSize="0" print="0" autoFill="0" autoPict="0" macro="_xll.IBPXLClient.TechnicalCategory.ButtonActionInIBPClientFormattingSheet">
            <anchor moveWithCells="1">
              <from>
                <xdr:col>11</xdr:col>
                <xdr:colOff>2438400</xdr:colOff>
                <xdr:row>120</xdr:row>
                <xdr:rowOff>47625</xdr:rowOff>
              </from>
              <to>
                <xdr:col>12</xdr:col>
                <xdr:colOff>676275</xdr:colOff>
                <xdr:row>122</xdr:row>
                <xdr:rowOff>0</xdr:rowOff>
              </to>
            </anchor>
          </controlPr>
        </control>
      </mc:Choice>
    </mc:AlternateContent>
    <mc:AlternateContent xmlns:mc="http://schemas.openxmlformats.org/markup-compatibility/2006">
      <mc:Choice Requires="x14">
        <control shapeId="18678" r:id="rId179" name="ChangeMember1_28">
          <controlPr defaultSize="0" print="0" autoFill="0" autoPict="0" macro="_xll.IBPXLClient.TechnicalCategory.ButtonActionInIBPClientFormattingSheet">
            <anchor moveWithCells="1">
              <from>
                <xdr:col>13</xdr:col>
                <xdr:colOff>0</xdr:colOff>
                <xdr:row>120</xdr:row>
                <xdr:rowOff>47625</xdr:rowOff>
              </from>
              <to>
                <xdr:col>13</xdr:col>
                <xdr:colOff>685800</xdr:colOff>
                <xdr:row>122</xdr:row>
                <xdr:rowOff>0</xdr:rowOff>
              </to>
            </anchor>
          </controlPr>
        </control>
      </mc:Choice>
    </mc:AlternateContent>
    <mc:AlternateContent xmlns:mc="http://schemas.openxmlformats.org/markup-compatibility/2006">
      <mc:Choice Requires="x14">
        <control shapeId="18679" r:id="rId180" name="UpMember1_28">
          <controlPr defaultSize="0" print="0" autoFill="0" autoPict="0" macro="_xll.IBPXLClient.TechnicalCategory.ButtonActionInIBPClientFormattingSheet">
            <anchor moveWithCells="1">
              <from>
                <xdr:col>14</xdr:col>
                <xdr:colOff>0</xdr:colOff>
                <xdr:row>120</xdr:row>
                <xdr:rowOff>47625</xdr:rowOff>
              </from>
              <to>
                <xdr:col>14</xdr:col>
                <xdr:colOff>685800</xdr:colOff>
                <xdr:row>122</xdr:row>
                <xdr:rowOff>0</xdr:rowOff>
              </to>
            </anchor>
          </controlPr>
        </control>
      </mc:Choice>
    </mc:AlternateContent>
    <mc:AlternateContent xmlns:mc="http://schemas.openxmlformats.org/markup-compatibility/2006">
      <mc:Choice Requires="x14">
        <control shapeId="18680" r:id="rId181" name="DownMember1_28">
          <controlPr defaultSize="0" print="0" autoFill="0" autoPict="0" macro="_xll.IBPXLClient.TechnicalCategory.ButtonActionInIBPClientFormattingSheet">
            <anchor moveWithCells="1">
              <from>
                <xdr:col>14</xdr:col>
                <xdr:colOff>704850</xdr:colOff>
                <xdr:row>120</xdr:row>
                <xdr:rowOff>47625</xdr:rowOff>
              </from>
              <to>
                <xdr:col>15</xdr:col>
                <xdr:colOff>676275</xdr:colOff>
                <xdr:row>122</xdr:row>
                <xdr:rowOff>0</xdr:rowOff>
              </to>
            </anchor>
          </controlPr>
        </control>
      </mc:Choice>
    </mc:AlternateContent>
    <mc:AlternateContent xmlns:mc="http://schemas.openxmlformats.org/markup-compatibility/2006">
      <mc:Choice Requires="x14">
        <control shapeId="18682" r:id="rId182" name="AddedMember1_29">
          <controlPr defaultSize="0" print="0" autoFill="0" autoPict="0" macro="_xll.IBPXLClient.TechnicalCategory.ButtonActionInIBPClientFormattingSheet">
            <anchor moveWithCells="1">
              <from>
                <xdr:col>11</xdr:col>
                <xdr:colOff>2438400</xdr:colOff>
                <xdr:row>124</xdr:row>
                <xdr:rowOff>0</xdr:rowOff>
              </from>
              <to>
                <xdr:col>12</xdr:col>
                <xdr:colOff>676275</xdr:colOff>
                <xdr:row>125</xdr:row>
                <xdr:rowOff>0</xdr:rowOff>
              </to>
            </anchor>
          </controlPr>
        </control>
      </mc:Choice>
    </mc:AlternateContent>
    <mc:AlternateContent xmlns:mc="http://schemas.openxmlformats.org/markup-compatibility/2006">
      <mc:Choice Requires="x14">
        <control shapeId="18683" r:id="rId183" name="ChangeMember1_29">
          <controlPr defaultSize="0" print="0" autoFill="0" autoPict="0" macro="_xll.IBPXLClient.TechnicalCategory.ButtonActionInIBPClientFormattingSheet">
            <anchor moveWithCells="1">
              <from>
                <xdr:col>13</xdr:col>
                <xdr:colOff>0</xdr:colOff>
                <xdr:row>124</xdr:row>
                <xdr:rowOff>0</xdr:rowOff>
              </from>
              <to>
                <xdr:col>13</xdr:col>
                <xdr:colOff>685800</xdr:colOff>
                <xdr:row>125</xdr:row>
                <xdr:rowOff>0</xdr:rowOff>
              </to>
            </anchor>
          </controlPr>
        </control>
      </mc:Choice>
    </mc:AlternateContent>
    <mc:AlternateContent xmlns:mc="http://schemas.openxmlformats.org/markup-compatibility/2006">
      <mc:Choice Requires="x14">
        <control shapeId="18684" r:id="rId184" name="UpMember1_29">
          <controlPr defaultSize="0" print="0" autoFill="0" autoPict="0" macro="_xll.IBPXLClient.TechnicalCategory.ButtonActionInIBPClientFormattingSheet">
            <anchor moveWithCells="1">
              <from>
                <xdr:col>14</xdr:col>
                <xdr:colOff>0</xdr:colOff>
                <xdr:row>124</xdr:row>
                <xdr:rowOff>0</xdr:rowOff>
              </from>
              <to>
                <xdr:col>14</xdr:col>
                <xdr:colOff>685800</xdr:colOff>
                <xdr:row>125</xdr:row>
                <xdr:rowOff>0</xdr:rowOff>
              </to>
            </anchor>
          </controlPr>
        </control>
      </mc:Choice>
    </mc:AlternateContent>
    <mc:AlternateContent xmlns:mc="http://schemas.openxmlformats.org/markup-compatibility/2006">
      <mc:Choice Requires="x14">
        <control shapeId="18685" r:id="rId185" name="DownMember1_29">
          <controlPr defaultSize="0" print="0" autoFill="0" autoPict="0" macro="_xll.IBPXLClient.TechnicalCategory.ButtonActionInIBPClientFormattingSheet">
            <anchor moveWithCells="1">
              <from>
                <xdr:col>14</xdr:col>
                <xdr:colOff>704850</xdr:colOff>
                <xdr:row>124</xdr:row>
                <xdr:rowOff>0</xdr:rowOff>
              </from>
              <to>
                <xdr:col>15</xdr:col>
                <xdr:colOff>676275</xdr:colOff>
                <xdr:row>125</xdr:row>
                <xdr:rowOff>0</xdr:rowOff>
              </to>
            </anchor>
          </controlPr>
        </control>
      </mc:Choice>
    </mc:AlternateContent>
    <mc:AlternateContent xmlns:mc="http://schemas.openxmlformats.org/markup-compatibility/2006">
      <mc:Choice Requires="x14">
        <control shapeId="18687" r:id="rId186" name="AddedMember1_30">
          <controlPr defaultSize="0" print="0" autoFill="0" autoPict="0" macro="_xll.IBPXLClient.TechnicalCategory.ButtonActionInIBPClientFormattingSheet">
            <anchor moveWithCells="1">
              <from>
                <xdr:col>11</xdr:col>
                <xdr:colOff>2438400</xdr:colOff>
                <xdr:row>127</xdr:row>
                <xdr:rowOff>0</xdr:rowOff>
              </from>
              <to>
                <xdr:col>12</xdr:col>
                <xdr:colOff>676275</xdr:colOff>
                <xdr:row>128</xdr:row>
                <xdr:rowOff>0</xdr:rowOff>
              </to>
            </anchor>
          </controlPr>
        </control>
      </mc:Choice>
    </mc:AlternateContent>
    <mc:AlternateContent xmlns:mc="http://schemas.openxmlformats.org/markup-compatibility/2006">
      <mc:Choice Requires="x14">
        <control shapeId="18688" r:id="rId187" name="ChangeMember1_30">
          <controlPr defaultSize="0" print="0" autoFill="0" autoPict="0" macro="_xll.IBPXLClient.TechnicalCategory.ButtonActionInIBPClientFormattingSheet">
            <anchor moveWithCells="1">
              <from>
                <xdr:col>13</xdr:col>
                <xdr:colOff>0</xdr:colOff>
                <xdr:row>127</xdr:row>
                <xdr:rowOff>0</xdr:rowOff>
              </from>
              <to>
                <xdr:col>13</xdr:col>
                <xdr:colOff>685800</xdr:colOff>
                <xdr:row>128</xdr:row>
                <xdr:rowOff>0</xdr:rowOff>
              </to>
            </anchor>
          </controlPr>
        </control>
      </mc:Choice>
    </mc:AlternateContent>
    <mc:AlternateContent xmlns:mc="http://schemas.openxmlformats.org/markup-compatibility/2006">
      <mc:Choice Requires="x14">
        <control shapeId="18689" r:id="rId188" name="UpMember1_30">
          <controlPr defaultSize="0" print="0" autoFill="0" autoPict="0" macro="_xll.IBPXLClient.TechnicalCategory.ButtonActionInIBPClientFormattingSheet">
            <anchor moveWithCells="1">
              <from>
                <xdr:col>14</xdr:col>
                <xdr:colOff>0</xdr:colOff>
                <xdr:row>127</xdr:row>
                <xdr:rowOff>0</xdr:rowOff>
              </from>
              <to>
                <xdr:col>14</xdr:col>
                <xdr:colOff>685800</xdr:colOff>
                <xdr:row>128</xdr:row>
                <xdr:rowOff>0</xdr:rowOff>
              </to>
            </anchor>
          </controlPr>
        </control>
      </mc:Choice>
    </mc:AlternateContent>
    <mc:AlternateContent xmlns:mc="http://schemas.openxmlformats.org/markup-compatibility/2006">
      <mc:Choice Requires="x14">
        <control shapeId="18690" r:id="rId189" name="DownMember1_30">
          <controlPr defaultSize="0" print="0" autoFill="0" autoPict="0" macro="_xll.IBPXLClient.TechnicalCategory.ButtonActionInIBPClientFormattingSheet">
            <anchor moveWithCells="1">
              <from>
                <xdr:col>14</xdr:col>
                <xdr:colOff>704850</xdr:colOff>
                <xdr:row>127</xdr:row>
                <xdr:rowOff>0</xdr:rowOff>
              </from>
              <to>
                <xdr:col>15</xdr:col>
                <xdr:colOff>676275</xdr:colOff>
                <xdr:row>128</xdr:row>
                <xdr:rowOff>0</xdr:rowOff>
              </to>
            </anchor>
          </controlPr>
        </control>
      </mc:Choice>
    </mc:AlternateContent>
    <mc:AlternateContent xmlns:mc="http://schemas.openxmlformats.org/markup-compatibility/2006">
      <mc:Choice Requires="x14">
        <control shapeId="18697" r:id="rId190" name="AddedMember1_31">
          <controlPr defaultSize="0" print="0" autoFill="0" autoPict="0" macro="_xll.IBPXLClient.TechnicalCategory.ButtonActionInIBPClientFormattingSheet">
            <anchor moveWithCells="1">
              <from>
                <xdr:col>11</xdr:col>
                <xdr:colOff>2438400</xdr:colOff>
                <xdr:row>130</xdr:row>
                <xdr:rowOff>0</xdr:rowOff>
              </from>
              <to>
                <xdr:col>12</xdr:col>
                <xdr:colOff>676275</xdr:colOff>
                <xdr:row>131</xdr:row>
                <xdr:rowOff>9525</xdr:rowOff>
              </to>
            </anchor>
          </controlPr>
        </control>
      </mc:Choice>
    </mc:AlternateContent>
    <mc:AlternateContent xmlns:mc="http://schemas.openxmlformats.org/markup-compatibility/2006">
      <mc:Choice Requires="x14">
        <control shapeId="18698" r:id="rId191" name="ChangeMember1_31">
          <controlPr defaultSize="0" print="0" autoFill="0" autoPict="0" macro="_xll.IBPXLClient.TechnicalCategory.ButtonActionInIBPClientFormattingSheet">
            <anchor moveWithCells="1">
              <from>
                <xdr:col>13</xdr:col>
                <xdr:colOff>0</xdr:colOff>
                <xdr:row>130</xdr:row>
                <xdr:rowOff>0</xdr:rowOff>
              </from>
              <to>
                <xdr:col>13</xdr:col>
                <xdr:colOff>685800</xdr:colOff>
                <xdr:row>131</xdr:row>
                <xdr:rowOff>9525</xdr:rowOff>
              </to>
            </anchor>
          </controlPr>
        </control>
      </mc:Choice>
    </mc:AlternateContent>
    <mc:AlternateContent xmlns:mc="http://schemas.openxmlformats.org/markup-compatibility/2006">
      <mc:Choice Requires="x14">
        <control shapeId="18699" r:id="rId192" name="UpMember1_31">
          <controlPr defaultSize="0" print="0" autoFill="0" autoPict="0" macro="_xll.IBPXLClient.TechnicalCategory.ButtonActionInIBPClientFormattingSheet">
            <anchor moveWithCells="1">
              <from>
                <xdr:col>14</xdr:col>
                <xdr:colOff>0</xdr:colOff>
                <xdr:row>130</xdr:row>
                <xdr:rowOff>0</xdr:rowOff>
              </from>
              <to>
                <xdr:col>14</xdr:col>
                <xdr:colOff>685800</xdr:colOff>
                <xdr:row>131</xdr:row>
                <xdr:rowOff>9525</xdr:rowOff>
              </to>
            </anchor>
          </controlPr>
        </control>
      </mc:Choice>
    </mc:AlternateContent>
    <mc:AlternateContent xmlns:mc="http://schemas.openxmlformats.org/markup-compatibility/2006">
      <mc:Choice Requires="x14">
        <control shapeId="18700" r:id="rId193" name="DownMember1_31">
          <controlPr defaultSize="0" print="0" autoFill="0" autoPict="0" macro="_xll.IBPXLClient.TechnicalCategory.ButtonActionInIBPClientFormattingSheet">
            <anchor moveWithCells="1">
              <from>
                <xdr:col>14</xdr:col>
                <xdr:colOff>704850</xdr:colOff>
                <xdr:row>130</xdr:row>
                <xdr:rowOff>0</xdr:rowOff>
              </from>
              <to>
                <xdr:col>15</xdr:col>
                <xdr:colOff>676275</xdr:colOff>
                <xdr:row>131</xdr:row>
                <xdr:rowOff>9525</xdr:rowOff>
              </to>
            </anchor>
          </controlPr>
        </control>
      </mc:Choice>
    </mc:AlternateContent>
    <mc:AlternateContent xmlns:mc="http://schemas.openxmlformats.org/markup-compatibility/2006">
      <mc:Choice Requires="x14">
        <control shapeId="18707" r:id="rId194" name="AddedMember1_32">
          <controlPr defaultSize="0" print="0" autoFill="0" autoPict="0" macro="_xll.IBPXLClient.TechnicalCategory.ButtonActionInIBPClientFormattingSheet">
            <anchor moveWithCells="1">
              <from>
                <xdr:col>11</xdr:col>
                <xdr:colOff>2438400</xdr:colOff>
                <xdr:row>132</xdr:row>
                <xdr:rowOff>47625</xdr:rowOff>
              </from>
              <to>
                <xdr:col>12</xdr:col>
                <xdr:colOff>676275</xdr:colOff>
                <xdr:row>134</xdr:row>
                <xdr:rowOff>0</xdr:rowOff>
              </to>
            </anchor>
          </controlPr>
        </control>
      </mc:Choice>
    </mc:AlternateContent>
    <mc:AlternateContent xmlns:mc="http://schemas.openxmlformats.org/markup-compatibility/2006">
      <mc:Choice Requires="x14">
        <control shapeId="18708" r:id="rId195" name="ChangeMember1_32">
          <controlPr defaultSize="0" print="0" autoFill="0" autoPict="0" macro="_xll.IBPXLClient.TechnicalCategory.ButtonActionInIBPClientFormattingSheet">
            <anchor moveWithCells="1">
              <from>
                <xdr:col>13</xdr:col>
                <xdr:colOff>0</xdr:colOff>
                <xdr:row>132</xdr:row>
                <xdr:rowOff>47625</xdr:rowOff>
              </from>
              <to>
                <xdr:col>13</xdr:col>
                <xdr:colOff>685800</xdr:colOff>
                <xdr:row>134</xdr:row>
                <xdr:rowOff>0</xdr:rowOff>
              </to>
            </anchor>
          </controlPr>
        </control>
      </mc:Choice>
    </mc:AlternateContent>
    <mc:AlternateContent xmlns:mc="http://schemas.openxmlformats.org/markup-compatibility/2006">
      <mc:Choice Requires="x14">
        <control shapeId="18709" r:id="rId196" name="UpMember1_32">
          <controlPr defaultSize="0" print="0" autoFill="0" autoPict="0" macro="_xll.IBPXLClient.TechnicalCategory.ButtonActionInIBPClientFormattingSheet">
            <anchor moveWithCells="1">
              <from>
                <xdr:col>14</xdr:col>
                <xdr:colOff>0</xdr:colOff>
                <xdr:row>132</xdr:row>
                <xdr:rowOff>47625</xdr:rowOff>
              </from>
              <to>
                <xdr:col>14</xdr:col>
                <xdr:colOff>685800</xdr:colOff>
                <xdr:row>134</xdr:row>
                <xdr:rowOff>0</xdr:rowOff>
              </to>
            </anchor>
          </controlPr>
        </control>
      </mc:Choice>
    </mc:AlternateContent>
    <mc:AlternateContent xmlns:mc="http://schemas.openxmlformats.org/markup-compatibility/2006">
      <mc:Choice Requires="x14">
        <control shapeId="18710" r:id="rId197" name="DownMember1_32">
          <controlPr defaultSize="0" print="0" autoFill="0" autoPict="0" macro="_xll.IBPXLClient.TechnicalCategory.ButtonActionInIBPClientFormattingSheet">
            <anchor moveWithCells="1">
              <from>
                <xdr:col>14</xdr:col>
                <xdr:colOff>704850</xdr:colOff>
                <xdr:row>132</xdr:row>
                <xdr:rowOff>47625</xdr:rowOff>
              </from>
              <to>
                <xdr:col>15</xdr:col>
                <xdr:colOff>676275</xdr:colOff>
                <xdr:row>134</xdr:row>
                <xdr:rowOff>0</xdr:rowOff>
              </to>
            </anchor>
          </controlPr>
        </control>
      </mc:Choice>
    </mc:AlternateContent>
    <mc:AlternateContent xmlns:mc="http://schemas.openxmlformats.org/markup-compatibility/2006">
      <mc:Choice Requires="x14">
        <control shapeId="18712" r:id="rId198" name="AddedMember1_33">
          <controlPr defaultSize="0" print="0" autoFill="0" autoPict="0" macro="_xll.IBPXLClient.TechnicalCategory.ButtonActionInIBPClientFormattingSheet">
            <anchor moveWithCells="1">
              <from>
                <xdr:col>11</xdr:col>
                <xdr:colOff>2438400</xdr:colOff>
                <xdr:row>136</xdr:row>
                <xdr:rowOff>0</xdr:rowOff>
              </from>
              <to>
                <xdr:col>12</xdr:col>
                <xdr:colOff>676275</xdr:colOff>
                <xdr:row>137</xdr:row>
                <xdr:rowOff>0</xdr:rowOff>
              </to>
            </anchor>
          </controlPr>
        </control>
      </mc:Choice>
    </mc:AlternateContent>
    <mc:AlternateContent xmlns:mc="http://schemas.openxmlformats.org/markup-compatibility/2006">
      <mc:Choice Requires="x14">
        <control shapeId="18713" r:id="rId199" name="ChangeMember1_33">
          <controlPr defaultSize="0" print="0" autoFill="0" autoPict="0" macro="_xll.IBPXLClient.TechnicalCategory.ButtonActionInIBPClientFormattingSheet">
            <anchor moveWithCells="1">
              <from>
                <xdr:col>13</xdr:col>
                <xdr:colOff>0</xdr:colOff>
                <xdr:row>136</xdr:row>
                <xdr:rowOff>0</xdr:rowOff>
              </from>
              <to>
                <xdr:col>13</xdr:col>
                <xdr:colOff>685800</xdr:colOff>
                <xdr:row>137</xdr:row>
                <xdr:rowOff>0</xdr:rowOff>
              </to>
            </anchor>
          </controlPr>
        </control>
      </mc:Choice>
    </mc:AlternateContent>
    <mc:AlternateContent xmlns:mc="http://schemas.openxmlformats.org/markup-compatibility/2006">
      <mc:Choice Requires="x14">
        <control shapeId="18714" r:id="rId200" name="UpMember1_33">
          <controlPr defaultSize="0" print="0" autoFill="0" autoPict="0" macro="_xll.IBPXLClient.TechnicalCategory.ButtonActionInIBPClientFormattingSheet">
            <anchor moveWithCells="1">
              <from>
                <xdr:col>14</xdr:col>
                <xdr:colOff>0</xdr:colOff>
                <xdr:row>136</xdr:row>
                <xdr:rowOff>0</xdr:rowOff>
              </from>
              <to>
                <xdr:col>14</xdr:col>
                <xdr:colOff>685800</xdr:colOff>
                <xdr:row>137</xdr:row>
                <xdr:rowOff>0</xdr:rowOff>
              </to>
            </anchor>
          </controlPr>
        </control>
      </mc:Choice>
    </mc:AlternateContent>
    <mc:AlternateContent xmlns:mc="http://schemas.openxmlformats.org/markup-compatibility/2006">
      <mc:Choice Requires="x14">
        <control shapeId="18715" r:id="rId201" name="DownMember1_33">
          <controlPr defaultSize="0" print="0" autoFill="0" autoPict="0" macro="_xll.IBPXLClient.TechnicalCategory.ButtonActionInIBPClientFormattingSheet">
            <anchor moveWithCells="1">
              <from>
                <xdr:col>14</xdr:col>
                <xdr:colOff>704850</xdr:colOff>
                <xdr:row>136</xdr:row>
                <xdr:rowOff>0</xdr:rowOff>
              </from>
              <to>
                <xdr:col>15</xdr:col>
                <xdr:colOff>676275</xdr:colOff>
                <xdr:row>137</xdr:row>
                <xdr:rowOff>0</xdr:rowOff>
              </to>
            </anchor>
          </controlPr>
        </control>
      </mc:Choice>
    </mc:AlternateContent>
    <mc:AlternateContent xmlns:mc="http://schemas.openxmlformats.org/markup-compatibility/2006">
      <mc:Choice Requires="x14">
        <control shapeId="18717" r:id="rId202" name="AddedMember1_34">
          <controlPr defaultSize="0" print="0" autoFill="0" autoPict="0" macro="_xll.IBPXLClient.TechnicalCategory.ButtonActionInIBPClientFormattingSheet">
            <anchor moveWithCells="1">
              <from>
                <xdr:col>11</xdr:col>
                <xdr:colOff>2438400</xdr:colOff>
                <xdr:row>139</xdr:row>
                <xdr:rowOff>0</xdr:rowOff>
              </from>
              <to>
                <xdr:col>12</xdr:col>
                <xdr:colOff>676275</xdr:colOff>
                <xdr:row>140</xdr:row>
                <xdr:rowOff>0</xdr:rowOff>
              </to>
            </anchor>
          </controlPr>
        </control>
      </mc:Choice>
    </mc:AlternateContent>
    <mc:AlternateContent xmlns:mc="http://schemas.openxmlformats.org/markup-compatibility/2006">
      <mc:Choice Requires="x14">
        <control shapeId="18718" r:id="rId203" name="ChangeMember1_34">
          <controlPr defaultSize="0" print="0" autoFill="0" autoPict="0" macro="_xll.IBPXLClient.TechnicalCategory.ButtonActionInIBPClientFormattingSheet">
            <anchor moveWithCells="1">
              <from>
                <xdr:col>13</xdr:col>
                <xdr:colOff>0</xdr:colOff>
                <xdr:row>139</xdr:row>
                <xdr:rowOff>0</xdr:rowOff>
              </from>
              <to>
                <xdr:col>13</xdr:col>
                <xdr:colOff>685800</xdr:colOff>
                <xdr:row>140</xdr:row>
                <xdr:rowOff>0</xdr:rowOff>
              </to>
            </anchor>
          </controlPr>
        </control>
      </mc:Choice>
    </mc:AlternateContent>
    <mc:AlternateContent xmlns:mc="http://schemas.openxmlformats.org/markup-compatibility/2006">
      <mc:Choice Requires="x14">
        <control shapeId="18719" r:id="rId204" name="UpMember1_34">
          <controlPr defaultSize="0" print="0" autoFill="0" autoPict="0" macro="_xll.IBPXLClient.TechnicalCategory.ButtonActionInIBPClientFormattingSheet">
            <anchor moveWithCells="1">
              <from>
                <xdr:col>14</xdr:col>
                <xdr:colOff>0</xdr:colOff>
                <xdr:row>139</xdr:row>
                <xdr:rowOff>0</xdr:rowOff>
              </from>
              <to>
                <xdr:col>14</xdr:col>
                <xdr:colOff>685800</xdr:colOff>
                <xdr:row>140</xdr:row>
                <xdr:rowOff>0</xdr:rowOff>
              </to>
            </anchor>
          </controlPr>
        </control>
      </mc:Choice>
    </mc:AlternateContent>
    <mc:AlternateContent xmlns:mc="http://schemas.openxmlformats.org/markup-compatibility/2006">
      <mc:Choice Requires="x14">
        <control shapeId="18720" r:id="rId205" name="DownMember1_34">
          <controlPr defaultSize="0" print="0" autoFill="0" autoPict="0" macro="_xll.IBPXLClient.TechnicalCategory.ButtonActionInIBPClientFormattingSheet">
            <anchor moveWithCells="1">
              <from>
                <xdr:col>14</xdr:col>
                <xdr:colOff>704850</xdr:colOff>
                <xdr:row>139</xdr:row>
                <xdr:rowOff>0</xdr:rowOff>
              </from>
              <to>
                <xdr:col>15</xdr:col>
                <xdr:colOff>676275</xdr:colOff>
                <xdr:row>140</xdr:row>
                <xdr:rowOff>0</xdr:rowOff>
              </to>
            </anchor>
          </controlPr>
        </control>
      </mc:Choice>
    </mc:AlternateContent>
    <mc:AlternateContent xmlns:mc="http://schemas.openxmlformats.org/markup-compatibility/2006">
      <mc:Choice Requires="x14">
        <control shapeId="18722" r:id="rId206" name="AddedMember1_35">
          <controlPr defaultSize="0" print="0" autoFill="0" autoPict="0" macro="_xll.IBPXLClient.TechnicalCategory.ButtonActionInIBPClientFormattingSheet">
            <anchor moveWithCells="1">
              <from>
                <xdr:col>11</xdr:col>
                <xdr:colOff>2438400</xdr:colOff>
                <xdr:row>141</xdr:row>
                <xdr:rowOff>47625</xdr:rowOff>
              </from>
              <to>
                <xdr:col>12</xdr:col>
                <xdr:colOff>676275</xdr:colOff>
                <xdr:row>142</xdr:row>
                <xdr:rowOff>190500</xdr:rowOff>
              </to>
            </anchor>
          </controlPr>
        </control>
      </mc:Choice>
    </mc:AlternateContent>
    <mc:AlternateContent xmlns:mc="http://schemas.openxmlformats.org/markup-compatibility/2006">
      <mc:Choice Requires="x14">
        <control shapeId="18723" r:id="rId207" name="ChangeMember1_35">
          <controlPr defaultSize="0" print="0" autoFill="0" autoPict="0" macro="_xll.IBPXLClient.TechnicalCategory.ButtonActionInIBPClientFormattingSheet">
            <anchor moveWithCells="1">
              <from>
                <xdr:col>13</xdr:col>
                <xdr:colOff>0</xdr:colOff>
                <xdr:row>141</xdr:row>
                <xdr:rowOff>47625</xdr:rowOff>
              </from>
              <to>
                <xdr:col>13</xdr:col>
                <xdr:colOff>685800</xdr:colOff>
                <xdr:row>142</xdr:row>
                <xdr:rowOff>190500</xdr:rowOff>
              </to>
            </anchor>
          </controlPr>
        </control>
      </mc:Choice>
    </mc:AlternateContent>
    <mc:AlternateContent xmlns:mc="http://schemas.openxmlformats.org/markup-compatibility/2006">
      <mc:Choice Requires="x14">
        <control shapeId="18724" r:id="rId208" name="UpMember1_35">
          <controlPr defaultSize="0" print="0" autoFill="0" autoPict="0" macro="_xll.IBPXLClient.TechnicalCategory.ButtonActionInIBPClientFormattingSheet">
            <anchor moveWithCells="1">
              <from>
                <xdr:col>14</xdr:col>
                <xdr:colOff>0</xdr:colOff>
                <xdr:row>141</xdr:row>
                <xdr:rowOff>47625</xdr:rowOff>
              </from>
              <to>
                <xdr:col>14</xdr:col>
                <xdr:colOff>685800</xdr:colOff>
                <xdr:row>142</xdr:row>
                <xdr:rowOff>190500</xdr:rowOff>
              </to>
            </anchor>
          </controlPr>
        </control>
      </mc:Choice>
    </mc:AlternateContent>
    <mc:AlternateContent xmlns:mc="http://schemas.openxmlformats.org/markup-compatibility/2006">
      <mc:Choice Requires="x14">
        <control shapeId="18725" r:id="rId209" name="DownMember1_35">
          <controlPr defaultSize="0" print="0" autoFill="0" autoPict="0" macro="_xll.IBPXLClient.TechnicalCategory.ButtonActionInIBPClientFormattingSheet">
            <anchor moveWithCells="1">
              <from>
                <xdr:col>14</xdr:col>
                <xdr:colOff>704850</xdr:colOff>
                <xdr:row>141</xdr:row>
                <xdr:rowOff>47625</xdr:rowOff>
              </from>
              <to>
                <xdr:col>15</xdr:col>
                <xdr:colOff>676275</xdr:colOff>
                <xdr:row>142</xdr:row>
                <xdr:rowOff>190500</xdr:rowOff>
              </to>
            </anchor>
          </controlPr>
        </control>
      </mc:Choice>
    </mc:AlternateContent>
    <mc:AlternateContent xmlns:mc="http://schemas.openxmlformats.org/markup-compatibility/2006">
      <mc:Choice Requires="x14">
        <control shapeId="18727" r:id="rId210" name="AddedMember1_36">
          <controlPr defaultSize="0" print="0" autoFill="0" autoPict="0" macro="_xll.IBPXLClient.TechnicalCategory.ButtonActionInIBPClientFormattingSheet">
            <anchor moveWithCells="1">
              <from>
                <xdr:col>11</xdr:col>
                <xdr:colOff>2438400</xdr:colOff>
                <xdr:row>144</xdr:row>
                <xdr:rowOff>47625</xdr:rowOff>
              </from>
              <to>
                <xdr:col>12</xdr:col>
                <xdr:colOff>676275</xdr:colOff>
                <xdr:row>146</xdr:row>
                <xdr:rowOff>0</xdr:rowOff>
              </to>
            </anchor>
          </controlPr>
        </control>
      </mc:Choice>
    </mc:AlternateContent>
    <mc:AlternateContent xmlns:mc="http://schemas.openxmlformats.org/markup-compatibility/2006">
      <mc:Choice Requires="x14">
        <control shapeId="18728" r:id="rId211" name="ChangeMember1_36">
          <controlPr defaultSize="0" print="0" autoFill="0" autoPict="0" macro="_xll.IBPXLClient.TechnicalCategory.ButtonActionInIBPClientFormattingSheet">
            <anchor moveWithCells="1">
              <from>
                <xdr:col>13</xdr:col>
                <xdr:colOff>0</xdr:colOff>
                <xdr:row>144</xdr:row>
                <xdr:rowOff>47625</xdr:rowOff>
              </from>
              <to>
                <xdr:col>13</xdr:col>
                <xdr:colOff>685800</xdr:colOff>
                <xdr:row>146</xdr:row>
                <xdr:rowOff>0</xdr:rowOff>
              </to>
            </anchor>
          </controlPr>
        </control>
      </mc:Choice>
    </mc:AlternateContent>
    <mc:AlternateContent xmlns:mc="http://schemas.openxmlformats.org/markup-compatibility/2006">
      <mc:Choice Requires="x14">
        <control shapeId="18729" r:id="rId212" name="UpMember1_36">
          <controlPr defaultSize="0" print="0" autoFill="0" autoPict="0" macro="_xll.IBPXLClient.TechnicalCategory.ButtonActionInIBPClientFormattingSheet">
            <anchor moveWithCells="1">
              <from>
                <xdr:col>14</xdr:col>
                <xdr:colOff>0</xdr:colOff>
                <xdr:row>144</xdr:row>
                <xdr:rowOff>47625</xdr:rowOff>
              </from>
              <to>
                <xdr:col>14</xdr:col>
                <xdr:colOff>685800</xdr:colOff>
                <xdr:row>146</xdr:row>
                <xdr:rowOff>0</xdr:rowOff>
              </to>
            </anchor>
          </controlPr>
        </control>
      </mc:Choice>
    </mc:AlternateContent>
    <mc:AlternateContent xmlns:mc="http://schemas.openxmlformats.org/markup-compatibility/2006">
      <mc:Choice Requires="x14">
        <control shapeId="18730" r:id="rId213" name="DownMember1_36">
          <controlPr defaultSize="0" print="0" autoFill="0" autoPict="0" macro="_xll.IBPXLClient.TechnicalCategory.ButtonActionInIBPClientFormattingSheet">
            <anchor moveWithCells="1">
              <from>
                <xdr:col>14</xdr:col>
                <xdr:colOff>704850</xdr:colOff>
                <xdr:row>144</xdr:row>
                <xdr:rowOff>47625</xdr:rowOff>
              </from>
              <to>
                <xdr:col>15</xdr:col>
                <xdr:colOff>676275</xdr:colOff>
                <xdr:row>146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QS50"/>
  <sheetViews>
    <sheetView showGridLines="0" tabSelected="1" zoomScale="90" zoomScaleNormal="90" workbookViewId="0">
      <pane xSplit="10" ySplit="5" topLeftCell="S6" activePane="bottomRight" state="frozen"/>
      <selection pane="topRight" activeCell="G1" sqref="G1"/>
      <selection pane="bottomLeft" activeCell="A6" sqref="A6"/>
      <selection pane="bottomRight" activeCell="T14" sqref="T14"/>
    </sheetView>
  </sheetViews>
  <sheetFormatPr defaultRowHeight="15" x14ac:dyDescent="0.25"/>
  <cols>
    <col min="1" max="5" width="1.5703125" bestFit="1" customWidth="1"/>
    <col min="6" max="6" width="31.28515625" bestFit="1" customWidth="1"/>
    <col min="7" max="7" width="10.140625" bestFit="1" customWidth="1"/>
    <col min="8" max="8" width="27" bestFit="1" customWidth="1"/>
    <col min="9" max="9" width="22.5703125" bestFit="1" customWidth="1"/>
    <col min="10" max="10" width="37.85546875" bestFit="1" customWidth="1"/>
    <col min="11" max="1191" width="11" bestFit="1" customWidth="1"/>
  </cols>
  <sheetData>
    <row r="1" spans="1:461" s="66" customFormat="1" ht="28.5" customHeight="1" x14ac:dyDescent="0.25">
      <c r="B1" s="65"/>
      <c r="C1" s="65"/>
      <c r="E1" s="65"/>
      <c r="F1" s="65"/>
      <c r="G1" s="65"/>
      <c r="H1" s="65"/>
      <c r="I1" s="65"/>
      <c r="J1" s="73" t="s">
        <v>67</v>
      </c>
      <c r="K1" s="113" t="str">
        <f>" "&amp;IFERROR(IF(SOP_Favorite_Name&lt;&gt;" ",SOP_Favorite_Name,IF(SOP_Template_Name&lt;&gt;" ",SOP_Template_Name,"Ad Hoc Planning View")),"Offline")</f>
        <v xml:space="preserve"> DP130 Demand Planning_G144_RET</v>
      </c>
      <c r="L1" s="113"/>
      <c r="M1" s="113"/>
      <c r="N1" s="113"/>
      <c r="O1" s="113"/>
      <c r="P1" s="113"/>
      <c r="Q1" s="114" t="str">
        <f ca="1">"User: "&amp;_xll.IBPUser()&amp;"   |    Planning Area: "&amp;IFERROR(SOP_Planning_Area,"Offline")&amp;"
"&amp;"Template: "&amp;IFERROR(SOP_Template_Name,"none")</f>
        <v>User: Abhishek Khetrapal   |    Planning Area: GFIBPPRD01
Template: DP130 Demand Planning_G144_RET</v>
      </c>
      <c r="R1" s="114"/>
      <c r="S1" s="114"/>
      <c r="T1" s="114"/>
      <c r="U1" s="114"/>
      <c r="V1" s="114"/>
      <c r="W1" s="67"/>
      <c r="X1" s="68"/>
      <c r="Y1" s="68"/>
      <c r="Z1" s="68"/>
      <c r="AA1" s="68"/>
      <c r="AB1" s="68"/>
      <c r="AC1" s="68"/>
      <c r="AD1" s="68"/>
      <c r="BR1" s="69"/>
      <c r="BS1" s="69"/>
      <c r="BT1" s="69"/>
      <c r="BU1" s="69"/>
      <c r="BV1" s="69"/>
      <c r="BW1" s="69"/>
      <c r="BX1" s="69"/>
      <c r="BY1" s="69"/>
      <c r="BZ1" s="69"/>
      <c r="CA1" s="69"/>
      <c r="CB1" s="69"/>
      <c r="CC1" s="69"/>
      <c r="CD1" s="69"/>
    </row>
    <row r="2" spans="1:461" s="66" customFormat="1" ht="36.6" customHeight="1" x14ac:dyDescent="0.25">
      <c r="B2" s="70"/>
      <c r="C2" s="70"/>
      <c r="E2" s="70"/>
      <c r="F2" s="70"/>
      <c r="G2" s="70"/>
      <c r="I2" s="70"/>
      <c r="J2" s="70"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(Ad Hoc Filter) (4 criteria): 
Market Segment = G610_01_01
Category = Gluten Free
Product ID = 168847; 168846; 168848; 179649; 179650
Location ID = 6103; 6104; 6105; 6110; 6120; 6123; 6125; 6130; 6134
</v>
      </c>
      <c r="K2" s="71"/>
      <c r="L2" s="71"/>
      <c r="M2" s="71"/>
      <c r="N2" s="71"/>
      <c r="O2" s="71"/>
      <c r="P2" s="71"/>
      <c r="Q2" s="72"/>
      <c r="R2" s="72"/>
      <c r="S2" s="72"/>
      <c r="T2" s="72"/>
      <c r="U2" s="72"/>
      <c r="V2" s="72"/>
      <c r="W2" s="67"/>
      <c r="X2" s="68"/>
      <c r="Y2" s="68"/>
      <c r="Z2" s="68"/>
      <c r="AA2" s="68"/>
      <c r="AB2" s="68"/>
      <c r="AC2" s="68"/>
      <c r="AD2" s="68"/>
      <c r="BR2" s="69"/>
      <c r="BS2" s="69"/>
      <c r="BT2" s="69"/>
      <c r="BU2" s="69"/>
      <c r="BV2" s="69"/>
      <c r="BW2" s="69"/>
      <c r="BX2" s="69"/>
      <c r="BY2" s="69"/>
      <c r="BZ2" s="69"/>
      <c r="CA2" s="69"/>
      <c r="CB2" s="69"/>
      <c r="CC2" s="69"/>
      <c r="CD2" s="69"/>
    </row>
    <row r="3" spans="1:461" s="66" customFormat="1" ht="24" x14ac:dyDescent="0.25">
      <c r="B3" s="70"/>
      <c r="C3" s="70"/>
      <c r="E3" s="70"/>
      <c r="F3" s="70"/>
      <c r="G3" s="70"/>
      <c r="H3" s="65" t="str">
        <f>"UoM : "&amp;SOP_TargetUoM&amp;" | Currency : "&amp;SOP_TargetCurrency&amp;""</f>
        <v>UoM : PUM | Currency : AUD</v>
      </c>
      <c r="I3" s="70"/>
      <c r="J3" s="70" t="str">
        <f>"Value-Based Filter: "&amp;SOP_Value_Based_Filter_Name&amp;": "&amp;" 
"&amp;IFERROR(INDEX(SOP_Value_Based_Filter,1),"")</f>
        <v xml:space="preserve">Value-Based Filter: (None):  
 </v>
      </c>
      <c r="K3" s="115" t="str">
        <f>"  Last Refresh: "&amp;IFERROR(YEAR(SOP_Refresh_Timestamp)&amp;"-"&amp;TEXT(SOP_Refresh_Timestamp,"MMM")&amp;"-"&amp;DAY(SOP_Refresh_Timestamp)&amp;"   "&amp;TEXT(SOP_Refresh_Timestamp,"HH:MM:SS"),"Offline")</f>
        <v xml:space="preserve">  Last Refresh: 2025-Oct-7   14:44:47</v>
      </c>
      <c r="L3" s="115"/>
      <c r="M3" s="115"/>
      <c r="N3" s="115"/>
      <c r="O3" s="115"/>
      <c r="P3" s="115"/>
      <c r="Q3" s="115"/>
      <c r="R3" s="115"/>
      <c r="S3" s="115"/>
      <c r="T3" s="115"/>
      <c r="U3" s="115"/>
      <c r="V3" s="115"/>
      <c r="W3" s="67"/>
      <c r="X3" s="68"/>
      <c r="Y3" s="68"/>
      <c r="Z3" s="68"/>
      <c r="AA3" s="68"/>
      <c r="AB3" s="68"/>
      <c r="AC3" s="68"/>
      <c r="AD3" s="68"/>
      <c r="BR3" s="69"/>
      <c r="BS3" s="69"/>
      <c r="BT3" s="69"/>
      <c r="BU3" s="69"/>
      <c r="BV3" s="69"/>
      <c r="BW3" s="69"/>
      <c r="BX3" s="69"/>
      <c r="BY3" s="69"/>
      <c r="BZ3" s="69"/>
      <c r="CA3" s="69"/>
      <c r="CB3" s="69"/>
      <c r="CC3" s="69"/>
      <c r="CD3" s="69"/>
    </row>
    <row r="4" spans="1:461" s="27" customFormat="1" ht="115.5" customHeight="1" x14ac:dyDescent="0.25">
      <c r="A4" s="112"/>
      <c r="B4" s="112"/>
      <c r="C4" s="112"/>
      <c r="D4" s="112"/>
      <c r="E4" s="112"/>
      <c r="F4" s="112"/>
      <c r="G4" s="112"/>
      <c r="H4" s="112"/>
      <c r="I4" s="112"/>
      <c r="J4" s="112"/>
    </row>
    <row r="5" spans="1:461" s="29" customFormat="1" x14ac:dyDescent="0.25">
      <c r="A5" s="28" t="str">
        <f>SOP_Heading10</f>
        <v xml:space="preserve"> </v>
      </c>
      <c r="B5" s="28" t="str">
        <f>SOP_Heading9</f>
        <v xml:space="preserve"> </v>
      </c>
      <c r="C5" s="28" t="str">
        <f>SOP_Heading8</f>
        <v xml:space="preserve"> </v>
      </c>
      <c r="D5" s="28" t="str">
        <f>SOP_Heading7</f>
        <v xml:space="preserve"> </v>
      </c>
      <c r="E5" s="28" t="str">
        <f>SOP_Heading6</f>
        <v xml:space="preserve"> </v>
      </c>
      <c r="F5" s="28" t="str">
        <f>SOP_Heading5</f>
        <v>Product Desc</v>
      </c>
      <c r="G5" s="28" t="str">
        <f>SOP_Heading4</f>
        <v>Product ID</v>
      </c>
      <c r="H5" s="28" t="str">
        <f>SOP_Heading3</f>
        <v>Location ID</v>
      </c>
      <c r="I5" s="28" t="str">
        <f>SOP_Heading2</f>
        <v>Location</v>
      </c>
      <c r="J5" s="28" t="str">
        <f>SOP_Heading1</f>
        <v>Key Figure</v>
      </c>
      <c r="K5" s="34" t="str">
        <f xml:space="preserve"> _xll.EPMOlapMemberO("[PERIODID0].[].[14306]","","16.10.2025","","000")</f>
        <v>16.10.2025</v>
      </c>
      <c r="L5" s="34" t="str">
        <f xml:space="preserve"> _xll.EPMOlapMemberO("[PERIODID0].[].[14307]","","17.10.2025","","000")</f>
        <v>17.10.2025</v>
      </c>
      <c r="M5" s="34" t="str">
        <f xml:space="preserve"> _xll.EPMOlapMemberO("[PERIODID0].[].[14308]","","18.10.2025","","000")</f>
        <v>18.10.2025</v>
      </c>
      <c r="N5" s="34" t="str">
        <f xml:space="preserve"> _xll.EPMOlapMemberO("[PERIODID0].[].[14309]","","19.10.2025","","000")</f>
        <v>19.10.2025</v>
      </c>
      <c r="O5" s="34" t="str">
        <f xml:space="preserve"> _xll.EPMOlapMemberO("[PERIODID0].[].[14310]","","20.10.2025","","000")</f>
        <v>20.10.2025</v>
      </c>
      <c r="P5" s="34" t="str">
        <f xml:space="preserve"> _xll.EPMOlapMemberO("[PERIODID0].[].[14311]","","21.10.2025","","000")</f>
        <v>21.10.2025</v>
      </c>
      <c r="Q5" s="34" t="str">
        <f xml:space="preserve"> _xll.EPMOlapMemberO("[PERIODID0].[].[14312]","","22.10.2025","","000")</f>
        <v>22.10.2025</v>
      </c>
      <c r="R5" s="34" t="str">
        <f xml:space="preserve"> _xll.EPMOlapMemberO("[PERIODID0].[].[14313]","","23.10.2025","","000")</f>
        <v>23.10.2025</v>
      </c>
      <c r="S5" s="34" t="str">
        <f xml:space="preserve"> _xll.EPMOlapMemberO("[PERIODID0].[].[14314]","","24.10.2025","","000")</f>
        <v>24.10.2025</v>
      </c>
      <c r="T5" s="34" t="str">
        <f xml:space="preserve"> _xll.EPMOlapMemberO("[PERIODID0].[].[14315]","","25.10.2025","","000")</f>
        <v>25.10.2025</v>
      </c>
      <c r="U5" s="34" t="str">
        <f xml:space="preserve"> _xll.EPMOlapMemberO("[PERIODID0].[].[14316]","","26.10.2025","","000")</f>
        <v>26.10.2025</v>
      </c>
      <c r="V5" s="34" t="str">
        <f xml:space="preserve"> _xll.EPMOlapMemberO("[PERIODID0].[].[14317]","","27.10.2025","","000")</f>
        <v>27.10.2025</v>
      </c>
      <c r="W5" s="34" t="str">
        <f xml:space="preserve"> _xll.EPMOlapMemberO("[PERIODID0].[].[14318]","","28.10.2025","","000")</f>
        <v>28.10.2025</v>
      </c>
      <c r="X5" s="34" t="str">
        <f xml:space="preserve"> _xll.EPMOlapMemberO("[PERIODID0].[].[14319]","","29.10.2025","","000")</f>
        <v>29.10.2025</v>
      </c>
      <c r="Y5" s="34" t="str">
        <f xml:space="preserve"> _xll.EPMOlapMemberO("[PERIODID0].[].[14320]","","30.10.2025","","000")</f>
        <v>30.10.2025</v>
      </c>
      <c r="Z5" s="34" t="str">
        <f xml:space="preserve"> _xll.EPMOlapMemberO("[PERIODID0].[].[14321]","","31.10.2025","","000")</f>
        <v>31.10.2025</v>
      </c>
      <c r="AA5" s="34" t="str">
        <f xml:space="preserve"> _xll.EPMOlapMemberO("[PERIODID0].[].[14322]","","01.11.2025","","000")</f>
        <v>01.11.2025</v>
      </c>
      <c r="AB5" s="34" t="str">
        <f xml:space="preserve"> _xll.EPMOlapMemberO("[PERIODID0].[].[14323]","","02.11.2025","","000")</f>
        <v>02.11.2025</v>
      </c>
      <c r="AC5" s="34" t="str">
        <f xml:space="preserve"> _xll.EPMOlapMemberO("[PERIODID0].[].[14324]","","03.11.2025","","000")</f>
        <v>03.11.2025</v>
      </c>
      <c r="AD5" s="34" t="str">
        <f xml:space="preserve"> _xll.EPMOlapMemberO("[PERIODID0].[].[14325]","","04.11.2025","","000")</f>
        <v>04.11.2025</v>
      </c>
      <c r="AE5" s="34" t="str">
        <f xml:space="preserve"> _xll.EPMOlapMemberO("[PERIODID0].[].[14326]","","05.11.2025","","000")</f>
        <v>05.11.2025</v>
      </c>
      <c r="AF5" s="34" t="str">
        <f xml:space="preserve"> _xll.EPMOlapMemberO("[PERIODID0].[].[14327]","","06.11.2025","","000")</f>
        <v>06.11.2025</v>
      </c>
      <c r="AG5" s="34" t="str">
        <f xml:space="preserve"> _xll.EPMOlapMemberO("[PERIODID0].[].[14328]","","07.11.2025","","000")</f>
        <v>07.11.2025</v>
      </c>
      <c r="AH5" s="34" t="str">
        <f xml:space="preserve"> _xll.EPMOlapMemberO("[PERIODID0].[].[14329]","","08.11.2025","","000")</f>
        <v>08.11.2025</v>
      </c>
      <c r="AI5" s="34" t="str">
        <f xml:space="preserve"> _xll.EPMOlapMemberO("[PERIODID0].[].[14330]","","09.11.2025","","000")</f>
        <v>09.11.2025</v>
      </c>
      <c r="AJ5" s="34" t="str">
        <f xml:space="preserve"> _xll.EPMOlapMemberO("[PERIODID0].[].[14331]","","10.11.2025","","000")</f>
        <v>10.11.2025</v>
      </c>
      <c r="AK5" s="34" t="str">
        <f xml:space="preserve"> _xll.EPMOlapMemberO("[PERIODID0].[].[14332]","","11.11.2025","","000")</f>
        <v>11.11.2025</v>
      </c>
      <c r="AL5" s="34" t="str">
        <f xml:space="preserve"> _xll.EPMOlapMemberO("[PERIODID0].[].[14333]","","12.11.2025","","000")</f>
        <v>12.11.2025</v>
      </c>
      <c r="AM5" s="34" t="str">
        <f xml:space="preserve"> _xll.EPMOlapMemberO("[PERIODID0].[].[14334]","","13.11.2025","","000")</f>
        <v>13.11.2025</v>
      </c>
      <c r="AN5" s="34" t="str">
        <f xml:space="preserve"> _xll.EPMOlapMemberO("[PERIODID0].[].[14335]","","14.11.2025","","000")</f>
        <v>14.11.2025</v>
      </c>
      <c r="AO5" s="34" t="str">
        <f xml:space="preserve"> _xll.EPMOlapMemberO("[PERIODID0].[].[14336]","","15.11.2025","","000")</f>
        <v>15.11.2025</v>
      </c>
      <c r="AP5" s="34" t="str">
        <f xml:space="preserve"> _xll.EPMOlapMemberO("[PERIODID0].[].[14337]","","16.11.2025","","000")</f>
        <v>16.11.2025</v>
      </c>
      <c r="AQ5" s="34" t="str">
        <f xml:space="preserve"> _xll.EPMOlapMemberO("[PERIODID0].[].[14338]","","17.11.2025","","000")</f>
        <v>17.11.2025</v>
      </c>
      <c r="AR5" s="34" t="str">
        <f xml:space="preserve"> _xll.EPMOlapMemberO("[PERIODID0].[].[14339]","","18.11.2025","","000")</f>
        <v>18.11.2025</v>
      </c>
      <c r="AS5" s="34" t="str">
        <f xml:space="preserve"> _xll.EPMOlapMemberO("[PERIODID0].[].[14340]","","19.11.2025","","000")</f>
        <v>19.11.2025</v>
      </c>
      <c r="AT5" s="34" t="str">
        <f xml:space="preserve"> _xll.EPMOlapMemberO("[PERIODID0].[].[14341]","","20.11.2025","","000")</f>
        <v>20.11.2025</v>
      </c>
      <c r="AU5" s="34" t="str">
        <f xml:space="preserve"> _xll.EPMOlapMemberO("[PERIODID0].[].[14342]","","21.11.2025","","000")</f>
        <v>21.11.2025</v>
      </c>
      <c r="AV5" s="34" t="str">
        <f xml:space="preserve"> _xll.EPMOlapMemberO("[PERIODID0].[].[14343]","","22.11.2025","","000")</f>
        <v>22.11.2025</v>
      </c>
      <c r="AW5" s="34" t="str">
        <f xml:space="preserve"> _xll.EPMOlapMemberO("[PERIODID0].[].[14344]","","23.11.2025","","000")</f>
        <v>23.11.2025</v>
      </c>
      <c r="AX5" s="34" t="str">
        <f xml:space="preserve"> _xll.EPMOlapMemberO("[PERIODID0].[].[14345]","","24.11.2025","","000")</f>
        <v>24.11.2025</v>
      </c>
      <c r="AY5" s="34" t="str">
        <f xml:space="preserve"> _xll.EPMOlapMemberO("[PERIODID0].[].[14346]","","25.11.2025","","000")</f>
        <v>25.11.2025</v>
      </c>
      <c r="AZ5" s="34" t="str">
        <f xml:space="preserve"> _xll.EPMOlapMemberO("[PERIODID0].[].[14347]","","26.11.2025","","000")</f>
        <v>26.11.2025</v>
      </c>
      <c r="BA5" s="34" t="str">
        <f xml:space="preserve"> _xll.EPMOlapMemberO("[PERIODID0].[].[14348]","","27.11.2025","","000")</f>
        <v>27.11.2025</v>
      </c>
      <c r="BB5" s="34" t="str">
        <f xml:space="preserve"> _xll.EPMOlapMemberO("[PERIODID0].[].[14349]","","28.11.2025","","000")</f>
        <v>28.11.2025</v>
      </c>
      <c r="BC5" s="34" t="str">
        <f xml:space="preserve"> _xll.EPMOlapMemberO("[PERIODID0].[].[14350]","","29.11.2025","","000")</f>
        <v>29.11.2025</v>
      </c>
      <c r="BD5" s="34" t="str">
        <f xml:space="preserve"> _xll.EPMOlapMemberO("[PERIODID0].[].[14351]","","30.11.2025","","000")</f>
        <v>30.11.2025</v>
      </c>
      <c r="BE5" s="34" t="str">
        <f xml:space="preserve"> _xll.EPMOlapMemberO("[PERIODID0].[].[14352]","","01.12.2025","","000")</f>
        <v>01.12.2025</v>
      </c>
      <c r="BF5" s="34" t="str">
        <f xml:space="preserve"> _xll.EPMOlapMemberO("[PERIODID0].[].[14353]","","02.12.2025","","000")</f>
        <v>02.12.2025</v>
      </c>
      <c r="BG5" s="34" t="str">
        <f xml:space="preserve"> _xll.EPMOlapMemberO("[PERIODID0].[].[14354]","","03.12.2025","","000")</f>
        <v>03.12.2025</v>
      </c>
      <c r="BH5" s="34" t="str">
        <f xml:space="preserve"> _xll.EPMOlapMemberO("[PERIODID0].[].[14355]","","04.12.2025","","000")</f>
        <v>04.12.2025</v>
      </c>
      <c r="BI5" s="34" t="str">
        <f xml:space="preserve"> _xll.EPMOlapMemberO("[PERIODID0].[].[14356]","","05.12.2025","","000")</f>
        <v>05.12.2025</v>
      </c>
      <c r="BJ5" s="34" t="str">
        <f xml:space="preserve"> _xll.EPMOlapMemberO("[PERIODID0].[].[14357]","","06.12.2025","","000")</f>
        <v>06.12.2025</v>
      </c>
      <c r="BK5" s="34" t="str">
        <f xml:space="preserve"> _xll.EPMOlapMemberO("[PERIODID0].[].[14358]","","07.12.2025","","000")</f>
        <v>07.12.2025</v>
      </c>
      <c r="BL5" s="34" t="str">
        <f xml:space="preserve"> _xll.EPMOlapMemberO("[PERIODID0].[].[14359]","","08.12.2025","","000")</f>
        <v>08.12.2025</v>
      </c>
      <c r="BM5" s="34" t="str">
        <f xml:space="preserve"> _xll.EPMOlapMemberO("[PERIODID0].[].[14360]","","09.12.2025","","000")</f>
        <v>09.12.2025</v>
      </c>
      <c r="BN5" s="34" t="str">
        <f xml:space="preserve"> _xll.EPMOlapMemberO("[PERIODID0].[].[14361]","","10.12.2025","","000")</f>
        <v>10.12.2025</v>
      </c>
      <c r="BO5" s="34" t="str">
        <f xml:space="preserve"> _xll.EPMOlapMemberO("[PERIODID0].[].[14362]","","11.12.2025","","000")</f>
        <v>11.12.2025</v>
      </c>
      <c r="BP5" s="34" t="str">
        <f xml:space="preserve"> _xll.EPMOlapMemberO("[PERIODID0].[].[14363]","","12.12.2025","","000")</f>
        <v>12.12.2025</v>
      </c>
      <c r="BQ5" s="34" t="str">
        <f xml:space="preserve"> _xll.EPMOlapMemberO("[PERIODID0].[].[14364]","","13.12.2025","","000")</f>
        <v>13.12.2025</v>
      </c>
      <c r="BR5" s="34" t="str">
        <f xml:space="preserve"> _xll.EPMOlapMemberO("[PERIODID0].[].[14365]","","14.12.2025","","000")</f>
        <v>14.12.2025</v>
      </c>
      <c r="BS5" s="34" t="str">
        <f xml:space="preserve"> _xll.EPMOlapMemberO("[PERIODID0].[].[14366]","","15.12.2025","","000")</f>
        <v>15.12.2025</v>
      </c>
      <c r="BT5" s="34" t="str">
        <f xml:space="preserve"> _xll.EPMOlapMemberO("[PERIODID0].[].[14367]","","16.12.2025","","000")</f>
        <v>16.12.2025</v>
      </c>
      <c r="BU5" s="34" t="str">
        <f xml:space="preserve"> _xll.EPMOlapMemberO("[PERIODID0].[].[14368]","","17.12.2025","","000")</f>
        <v>17.12.2025</v>
      </c>
      <c r="BV5" s="34" t="str">
        <f xml:space="preserve"> _xll.EPMOlapMemberO("[PERIODID0].[].[14369]","","18.12.2025","","000")</f>
        <v>18.12.2025</v>
      </c>
      <c r="BW5" s="34" t="str">
        <f xml:space="preserve"> _xll.EPMOlapMemberO("[PERIODID0].[].[14370]","","19.12.2025","","000")</f>
        <v>19.12.2025</v>
      </c>
      <c r="BX5" s="34" t="str">
        <f xml:space="preserve"> _xll.EPMOlapMemberO("[PERIODID0].[].[14371]","","20.12.2025","","000")</f>
        <v>20.12.2025</v>
      </c>
      <c r="BY5" s="34" t="str">
        <f xml:space="preserve"> _xll.EPMOlapMemberO("[PERIODID0].[].[14372]","","21.12.2025","","000")</f>
        <v>21.12.2025</v>
      </c>
      <c r="BZ5" s="34" t="str">
        <f xml:space="preserve"> _xll.EPMOlapMemberO("[PERIODID0].[].[14373]","","22.12.2025","","000")</f>
        <v>22.12.2025</v>
      </c>
      <c r="CA5" s="34" t="str">
        <f xml:space="preserve"> _xll.EPMOlapMemberO("[PERIODID0].[].[14374]","","23.12.2025","","000")</f>
        <v>23.12.2025</v>
      </c>
      <c r="CB5" s="34" t="str">
        <f xml:space="preserve"> _xll.EPMOlapMemberO("[PERIODID0].[].[14375]","","24.12.2025","","000")</f>
        <v>24.12.2025</v>
      </c>
      <c r="CC5" s="34" t="str">
        <f xml:space="preserve"> _xll.EPMOlapMemberO("[PERIODID0].[].[14376]","","25.12.2025","","000")</f>
        <v>25.12.2025</v>
      </c>
      <c r="CD5" s="34" t="str">
        <f xml:space="preserve"> _xll.EPMOlapMemberO("[PERIODID0].[].[14377]","","26.12.2025","","000")</f>
        <v>26.12.2025</v>
      </c>
      <c r="CE5" s="34" t="str">
        <f xml:space="preserve"> _xll.EPMOlapMemberO("[PERIODID0].[].[14378]","","27.12.2025","","000")</f>
        <v>27.12.2025</v>
      </c>
      <c r="CF5" s="34" t="str">
        <f xml:space="preserve"> _xll.EPMOlapMemberO("[PERIODID0].[].[14379]","","28.12.2025","","000")</f>
        <v>28.12.2025</v>
      </c>
      <c r="CG5" s="34" t="str">
        <f xml:space="preserve"> _xll.EPMOlapMemberO("[PERIODID0].[].[14380]","","29.12.2025","","000")</f>
        <v>29.12.2025</v>
      </c>
      <c r="CH5" s="34" t="str">
        <f xml:space="preserve"> _xll.EPMOlapMemberO("[PERIODID0].[].[14381]","","30.12.2025","","000")</f>
        <v>30.12.2025</v>
      </c>
      <c r="CI5" s="34" t="str">
        <f xml:space="preserve"> _xll.EPMOlapMemberO("[PERIODID0].[].[14382]","","31.12.2025","","000")</f>
        <v>31.12.2025</v>
      </c>
      <c r="CJ5" s="34" t="str">
        <f xml:space="preserve"> _xll.EPMOlapMemberO("[PERIODID0].[].[14383]","","01.01.2026","","000")</f>
        <v>01.01.2026</v>
      </c>
      <c r="CK5" s="34" t="str">
        <f xml:space="preserve"> _xll.EPMOlapMemberO("[PERIODID0].[].[14384]","","02.01.2026","","000")</f>
        <v>02.01.2026</v>
      </c>
      <c r="CL5" s="34" t="str">
        <f xml:space="preserve"> _xll.EPMOlapMemberO("[PERIODID0].[].[14385]","","03.01.2026","","000")</f>
        <v>03.01.2026</v>
      </c>
      <c r="CM5" s="34" t="str">
        <f xml:space="preserve"> _xll.EPMOlapMemberO("[PERIODID0].[].[14386]","","04.01.2026","","000")</f>
        <v>04.01.2026</v>
      </c>
      <c r="CN5" s="34" t="str">
        <f xml:space="preserve"> _xll.EPMOlapMemberO("[PERIODID0].[].[14387]","","05.01.2026","","000")</f>
        <v>05.01.2026</v>
      </c>
      <c r="CO5" s="34" t="str">
        <f xml:space="preserve"> _xll.EPMOlapMemberO("[PERIODID0].[].[14388]","","06.01.2026","","000")</f>
        <v>06.01.2026</v>
      </c>
      <c r="CP5" s="34" t="str">
        <f xml:space="preserve"> _xll.EPMOlapMemberO("[PERIODID0].[].[14389]","","07.01.2026","","000")</f>
        <v>07.01.2026</v>
      </c>
      <c r="CQ5" s="34" t="str">
        <f xml:space="preserve"> _xll.EPMOlapMemberO("[PERIODID0].[].[14390]","","08.01.2026","","000")</f>
        <v>08.01.2026</v>
      </c>
      <c r="CR5" s="34" t="str">
        <f xml:space="preserve"> _xll.EPMOlapMemberO("[PERIODID0].[].[14391]","","09.01.2026","","000")</f>
        <v>09.01.2026</v>
      </c>
      <c r="CS5" s="34" t="str">
        <f xml:space="preserve"> _xll.EPMOlapMemberO("[PERIODID0].[].[14392]","","10.01.2026","","000")</f>
        <v>10.01.2026</v>
      </c>
      <c r="CT5" s="34" t="str">
        <f xml:space="preserve"> _xll.EPMOlapMemberO("[PERIODID0].[].[14393]","","11.01.2026","","000")</f>
        <v>11.01.2026</v>
      </c>
      <c r="CU5" s="34" t="str">
        <f xml:space="preserve"> _xll.EPMOlapMemberO("[PERIODID0].[].[14394]","","12.01.2026","","000")</f>
        <v>12.01.2026</v>
      </c>
      <c r="CV5" s="34" t="str">
        <f xml:space="preserve"> _xll.EPMOlapMemberO("[PERIODID0].[].[14395]","","13.01.2026","","000")</f>
        <v>13.01.2026</v>
      </c>
      <c r="CW5" s="34" t="str">
        <f xml:space="preserve"> _xll.EPMOlapMemberO("[PERIODID0].[].[14396]","","14.01.2026","","000")</f>
        <v>14.01.2026</v>
      </c>
      <c r="CX5" s="34" t="str">
        <f xml:space="preserve"> _xll.EPMOlapMemberO("[PERIODID0].[].[14397]","","15.01.2026","","000")</f>
        <v>15.01.2026</v>
      </c>
      <c r="CY5" s="34" t="str">
        <f xml:space="preserve"> _xll.EPMOlapMemberO("[PERIODID0].[].[14398]","","16.01.2026","","000")</f>
        <v>16.01.2026</v>
      </c>
      <c r="CZ5" s="34" t="str">
        <f xml:space="preserve"> _xll.EPMOlapMemberO("[PERIODID0].[].[14399]","","17.01.2026","","000")</f>
        <v>17.01.2026</v>
      </c>
      <c r="DA5" s="34" t="str">
        <f xml:space="preserve"> _xll.EPMOlapMemberO("[PERIODID0].[].[14400]","","18.01.2026","","000")</f>
        <v>18.01.2026</v>
      </c>
      <c r="DB5" s="34" t="str">
        <f xml:space="preserve"> _xll.EPMOlapMemberO("[PERIODID0].[].[14401]","","19.01.2026","","000")</f>
        <v>19.01.2026</v>
      </c>
      <c r="DC5" s="34" t="str">
        <f xml:space="preserve"> _xll.EPMOlapMemberO("[PERIODID0].[].[14402]","","20.01.2026","","000")</f>
        <v>20.01.2026</v>
      </c>
      <c r="DD5" s="34" t="str">
        <f xml:space="preserve"> _xll.EPMOlapMemberO("[PERIODID0].[].[14403]","","21.01.2026","","000")</f>
        <v>21.01.2026</v>
      </c>
      <c r="DE5" s="34" t="str">
        <f xml:space="preserve"> _xll.EPMOlapMemberO("[PERIODID0].[].[14404]","","22.01.2026","","000")</f>
        <v>22.01.2026</v>
      </c>
      <c r="DF5" s="34" t="str">
        <f xml:space="preserve"> _xll.EPMOlapMemberO("[PERIODID0].[].[14405]","","23.01.2026","","000")</f>
        <v>23.01.2026</v>
      </c>
      <c r="DG5" s="34" t="str">
        <f xml:space="preserve"> _xll.EPMOlapMemberO("[PERIODID0].[].[14406]","","24.01.2026","","000")</f>
        <v>24.01.2026</v>
      </c>
      <c r="DH5" s="34" t="str">
        <f xml:space="preserve"> _xll.EPMOlapMemberO("[PERIODID0].[].[14407]","","25.01.2026","","000")</f>
        <v>25.01.2026</v>
      </c>
      <c r="DI5" s="34" t="str">
        <f xml:space="preserve"> _xll.EPMOlapMemberO("[PERIODID0].[].[14408]","","26.01.2026","","000")</f>
        <v>26.01.2026</v>
      </c>
      <c r="DJ5" s="34" t="str">
        <f xml:space="preserve"> _xll.EPMOlapMemberO("[PERIODID0].[].[14409]","","27.01.2026","","000")</f>
        <v>27.01.2026</v>
      </c>
      <c r="DK5" s="34" t="str">
        <f xml:space="preserve"> _xll.EPMOlapMemberO("[PERIODID0].[].[14410]","","28.01.2026","","000")</f>
        <v>28.01.2026</v>
      </c>
      <c r="DL5" s="34" t="str">
        <f xml:space="preserve"> _xll.EPMOlapMemberO("[PERIODID0].[].[14411]","","29.01.2026","","000")</f>
        <v>29.01.2026</v>
      </c>
      <c r="DM5" s="34" t="str">
        <f xml:space="preserve"> _xll.EPMOlapMemberO("[PERIODID0].[].[14412]","","30.01.2026","","000")</f>
        <v>30.01.2026</v>
      </c>
      <c r="DN5" s="34" t="str">
        <f xml:space="preserve"> _xll.EPMOlapMemberO("[PERIODID0].[].[14413]","","31.01.2026","","000")</f>
        <v>31.01.2026</v>
      </c>
      <c r="DO5" s="34" t="str">
        <f xml:space="preserve"> _xll.EPMOlapMemberO("[PERIODID0].[].[14414]","","01.02.2026","","000")</f>
        <v>01.02.2026</v>
      </c>
      <c r="DP5" s="34" t="str">
        <f xml:space="preserve"> _xll.EPMOlapMemberO("[PERIODID0].[].[14415]","","02.02.2026","","000")</f>
        <v>02.02.2026</v>
      </c>
      <c r="DQ5" s="34" t="str">
        <f xml:space="preserve"> _xll.EPMOlapMemberO("[PERIODID0].[].[14416]","","03.02.2026","","000")</f>
        <v>03.02.2026</v>
      </c>
      <c r="DR5" s="34" t="str">
        <f xml:space="preserve"> _xll.EPMOlapMemberO("[PERIODID0].[].[14417]","","04.02.2026","","000")</f>
        <v>04.02.2026</v>
      </c>
      <c r="DS5" s="34" t="str">
        <f xml:space="preserve"> _xll.EPMOlapMemberO("[PERIODID0].[].[14418]","","05.02.2026","","000")</f>
        <v>05.02.2026</v>
      </c>
      <c r="DT5" s="34" t="str">
        <f xml:space="preserve"> _xll.EPMOlapMemberO("[PERIODID0].[].[14419]","","06.02.2026","","000")</f>
        <v>06.02.2026</v>
      </c>
      <c r="DU5" s="34" t="str">
        <f xml:space="preserve"> _xll.EPMOlapMemberO("[PERIODID0].[].[14420]","","07.02.2026","","000")</f>
        <v>07.02.2026</v>
      </c>
      <c r="DV5" s="34" t="str">
        <f xml:space="preserve"> _xll.EPMOlapMemberO("[PERIODID0].[].[14421]","","08.02.2026","","000")</f>
        <v>08.02.2026</v>
      </c>
      <c r="DW5" s="34" t="str">
        <f xml:space="preserve"> _xll.EPMOlapMemberO("[PERIODID0].[].[14422]","","09.02.2026","","000")</f>
        <v>09.02.2026</v>
      </c>
      <c r="DX5" s="34" t="str">
        <f xml:space="preserve"> _xll.EPMOlapMemberO("[PERIODID0].[].[14423]","","10.02.2026","","000")</f>
        <v>10.02.2026</v>
      </c>
      <c r="DY5" s="34" t="str">
        <f xml:space="preserve"> _xll.EPMOlapMemberO("[PERIODID0].[].[14424]","","11.02.2026","","000")</f>
        <v>11.02.2026</v>
      </c>
      <c r="DZ5" s="34" t="str">
        <f xml:space="preserve"> _xll.EPMOlapMemberO("[PERIODID0].[].[14425]","","12.02.2026","","000")</f>
        <v>12.02.2026</v>
      </c>
      <c r="EA5" s="34" t="str">
        <f xml:space="preserve"> _xll.EPMOlapMemberO("[PERIODID0].[].[14426]","","13.02.2026","","000")</f>
        <v>13.02.2026</v>
      </c>
      <c r="EB5" s="34" t="str">
        <f xml:space="preserve"> _xll.EPMOlapMemberO("[PERIODID0].[].[14427]","","14.02.2026","","000")</f>
        <v>14.02.2026</v>
      </c>
      <c r="EC5" s="34" t="str">
        <f xml:space="preserve"> _xll.EPMOlapMemberO("[PERIODID0].[].[14428]","","15.02.2026","","000")</f>
        <v>15.02.2026</v>
      </c>
      <c r="ED5" s="34" t="str">
        <f xml:space="preserve"> _xll.EPMOlapMemberO("[PERIODID0].[].[14429]","","16.02.2026","","000")</f>
        <v>16.02.2026</v>
      </c>
      <c r="EE5" s="34" t="str">
        <f xml:space="preserve"> _xll.EPMOlapMemberO("[PERIODID0].[].[14430]","","17.02.2026","","000")</f>
        <v>17.02.2026</v>
      </c>
      <c r="EF5" s="34" t="str">
        <f xml:space="preserve"> _xll.EPMOlapMemberO("[PERIODID0].[].[14431]","","18.02.2026","","000")</f>
        <v>18.02.2026</v>
      </c>
      <c r="EG5" s="34" t="str">
        <f xml:space="preserve"> _xll.EPMOlapMemberO("[PERIODID0].[].[14432]","","19.02.2026","","000")</f>
        <v>19.02.2026</v>
      </c>
      <c r="EH5" s="34" t="str">
        <f xml:space="preserve"> _xll.EPMOlapMemberO("[PERIODID0].[].[14433]","","20.02.2026","","000")</f>
        <v>20.02.2026</v>
      </c>
      <c r="EI5" s="34" t="str">
        <f xml:space="preserve"> _xll.EPMOlapMemberO("[PERIODID0].[].[14434]","","21.02.2026","","000")</f>
        <v>21.02.2026</v>
      </c>
      <c r="EJ5" s="34" t="str">
        <f xml:space="preserve"> _xll.EPMOlapMemberO("[PERIODID0].[].[14435]","","22.02.2026","","000")</f>
        <v>22.02.2026</v>
      </c>
      <c r="EK5" s="34" t="str">
        <f xml:space="preserve"> _xll.EPMOlapMemberO("[PERIODID0].[].[14436]","","23.02.2026","","000")</f>
        <v>23.02.2026</v>
      </c>
      <c r="EL5" s="34" t="str">
        <f xml:space="preserve"> _xll.EPMOlapMemberO("[PERIODID0].[].[14437]","","24.02.2026","","000")</f>
        <v>24.02.2026</v>
      </c>
      <c r="EM5" s="34" t="str">
        <f xml:space="preserve"> _xll.EPMOlapMemberO("[PERIODID0].[].[14438]","","25.02.2026","","000")</f>
        <v>25.02.2026</v>
      </c>
      <c r="EN5" s="34" t="str">
        <f xml:space="preserve"> _xll.EPMOlapMemberO("[PERIODID0].[].[14439]","","26.02.2026","","000")</f>
        <v>26.02.2026</v>
      </c>
      <c r="EO5" s="34" t="str">
        <f xml:space="preserve"> _xll.EPMOlapMemberO("[PERIODID0].[].[14440]","","27.02.2026","","000")</f>
        <v>27.02.2026</v>
      </c>
      <c r="EP5" s="34" t="str">
        <f xml:space="preserve"> _xll.EPMOlapMemberO("[PERIODID0].[].[14441]","","28.02.2026","","000")</f>
        <v>28.02.2026</v>
      </c>
      <c r="EQ5" s="34" t="str">
        <f xml:space="preserve"> _xll.EPMOlapMemberO("[PERIODID0].[].[14442]","","01.03.2026","","000")</f>
        <v>01.03.2026</v>
      </c>
      <c r="ER5" s="34" t="str">
        <f xml:space="preserve"> _xll.EPMOlapMemberO("[PERIODID0].[].[14443]","","02.03.2026","","000")</f>
        <v>02.03.2026</v>
      </c>
      <c r="ES5" s="34" t="str">
        <f xml:space="preserve"> _xll.EPMOlapMemberO("[PERIODID0].[].[14444]","","03.03.2026","","000")</f>
        <v>03.03.2026</v>
      </c>
      <c r="ET5" s="34" t="str">
        <f xml:space="preserve"> _xll.EPMOlapMemberO("[PERIODID0].[].[14445]","","04.03.2026","","000")</f>
        <v>04.03.2026</v>
      </c>
      <c r="EU5" s="34" t="str">
        <f xml:space="preserve"> _xll.EPMOlapMemberO("[PERIODID0].[].[14446]","","05.03.2026","","000")</f>
        <v>05.03.2026</v>
      </c>
      <c r="EV5" s="34" t="str">
        <f xml:space="preserve"> _xll.EPMOlapMemberO("[PERIODID0].[].[14447]","","06.03.2026","","000")</f>
        <v>06.03.2026</v>
      </c>
      <c r="EW5" s="34" t="str">
        <f xml:space="preserve"> _xll.EPMOlapMemberO("[PERIODID0].[].[14448]","","07.03.2026","","000")</f>
        <v>07.03.2026</v>
      </c>
      <c r="EX5" s="34" t="str">
        <f xml:space="preserve"> _xll.EPMOlapMemberO("[PERIODID0].[].[14449]","","08.03.2026","","000")</f>
        <v>08.03.2026</v>
      </c>
      <c r="EY5" s="34" t="str">
        <f xml:space="preserve"> _xll.EPMOlapMemberO("[PERIODID0].[].[14450]","","09.03.2026","","000")</f>
        <v>09.03.2026</v>
      </c>
      <c r="EZ5" s="34" t="str">
        <f xml:space="preserve"> _xll.EPMOlapMemberO("[PERIODID0].[].[14451]","","10.03.2026","","000")</f>
        <v>10.03.2026</v>
      </c>
      <c r="FA5" s="34" t="str">
        <f xml:space="preserve"> _xll.EPMOlapMemberO("[PERIODID0].[].[14452]","","11.03.2026","","000")</f>
        <v>11.03.2026</v>
      </c>
      <c r="FB5" s="34" t="str">
        <f xml:space="preserve"> _xll.EPMOlapMemberO("[PERIODID0].[].[14453]","","12.03.2026","","000")</f>
        <v>12.03.2026</v>
      </c>
      <c r="FC5" s="34" t="str">
        <f xml:space="preserve"> _xll.EPMOlapMemberO("[PERIODID0].[].[14454]","","13.03.2026","","000")</f>
        <v>13.03.2026</v>
      </c>
      <c r="FD5" s="34" t="str">
        <f xml:space="preserve"> _xll.EPMOlapMemberO("[PERIODID0].[].[14455]","","14.03.2026","","000")</f>
        <v>14.03.2026</v>
      </c>
      <c r="FE5" s="34" t="str">
        <f xml:space="preserve"> _xll.EPMOlapMemberO("[PERIODID0].[].[14456]","","15.03.2026","","000")</f>
        <v>15.03.2026</v>
      </c>
      <c r="FF5" s="34" t="str">
        <f xml:space="preserve"> _xll.EPMOlapMemberO("[PERIODID0].[].[14457]","","16.03.2026","","000")</f>
        <v>16.03.2026</v>
      </c>
      <c r="FG5" s="34" t="str">
        <f xml:space="preserve"> _xll.EPMOlapMemberO("[PERIODID0].[].[14458]","","17.03.2026","","000")</f>
        <v>17.03.2026</v>
      </c>
      <c r="FH5" s="34" t="str">
        <f xml:space="preserve"> _xll.EPMOlapMemberO("[PERIODID0].[].[14459]","","18.03.2026","","000")</f>
        <v>18.03.2026</v>
      </c>
      <c r="FI5" s="34" t="str">
        <f xml:space="preserve"> _xll.EPMOlapMemberO("[PERIODID0].[].[14460]","","19.03.2026","","000")</f>
        <v>19.03.2026</v>
      </c>
      <c r="FJ5" s="34" t="str">
        <f xml:space="preserve"> _xll.EPMOlapMemberO("[PERIODID0].[].[14461]","","20.03.2026","","000")</f>
        <v>20.03.2026</v>
      </c>
      <c r="FK5" s="34" t="str">
        <f xml:space="preserve"> _xll.EPMOlapMemberO("[PERIODID0].[].[14462]","","21.03.2026","","000")</f>
        <v>21.03.2026</v>
      </c>
      <c r="FL5" s="34" t="str">
        <f xml:space="preserve"> _xll.EPMOlapMemberO("[PERIODID0].[].[14463]","","22.03.2026","","000")</f>
        <v>22.03.2026</v>
      </c>
      <c r="FM5" s="34" t="str">
        <f xml:space="preserve"> _xll.EPMOlapMemberO("[PERIODID0].[].[14464]","","23.03.2026","","000")</f>
        <v>23.03.2026</v>
      </c>
      <c r="FN5" s="34" t="str">
        <f xml:space="preserve"> _xll.EPMOlapMemberO("[PERIODID0].[].[14465]","","24.03.2026","","000")</f>
        <v>24.03.2026</v>
      </c>
      <c r="FO5" s="34" t="str">
        <f xml:space="preserve"> _xll.EPMOlapMemberO("[PERIODID0].[].[14466]","","25.03.2026","","000")</f>
        <v>25.03.2026</v>
      </c>
      <c r="FP5" s="34" t="str">
        <f xml:space="preserve"> _xll.EPMOlapMemberO("[PERIODID0].[].[14467]","","26.03.2026","","000")</f>
        <v>26.03.2026</v>
      </c>
      <c r="FQ5" s="34" t="str">
        <f xml:space="preserve"> _xll.EPMOlapMemberO("[PERIODID0].[].[14468]","","27.03.2026","","000")</f>
        <v>27.03.2026</v>
      </c>
      <c r="FR5" s="34" t="str">
        <f xml:space="preserve"> _xll.EPMOlapMemberO("[PERIODID0].[].[14469]","","28.03.2026","","000")</f>
        <v>28.03.2026</v>
      </c>
      <c r="FS5" s="34" t="str">
        <f xml:space="preserve"> _xll.EPMOlapMemberO("[PERIODID0].[].[14470]","","29.03.2026","","000")</f>
        <v>29.03.2026</v>
      </c>
      <c r="FT5" s="34" t="str">
        <f xml:space="preserve"> _xll.EPMOlapMemberO("[PERIODID0].[].[14471]","","30.03.2026","","000")</f>
        <v>30.03.2026</v>
      </c>
      <c r="FU5" s="34" t="str">
        <f xml:space="preserve"> _xll.EPMOlapMemberO("[PERIODID0].[].[14472]","","31.03.2026","","000")</f>
        <v>31.03.2026</v>
      </c>
      <c r="FV5" s="34" t="str">
        <f xml:space="preserve"> _xll.EPMOlapMemberO("[PERIODID0].[].[14473]","","01.04.2026","","000")</f>
        <v>01.04.2026</v>
      </c>
      <c r="FW5" s="34" t="str">
        <f xml:space="preserve"> _xll.EPMOlapMemberO("[PERIODID0].[].[14474]","","02.04.2026","","000")</f>
        <v>02.04.2026</v>
      </c>
      <c r="FX5" s="34" t="str">
        <f xml:space="preserve"> _xll.EPMOlapMemberO("[PERIODID0].[].[14475]","","03.04.2026","","000")</f>
        <v>03.04.2026</v>
      </c>
      <c r="FY5" s="34" t="str">
        <f xml:space="preserve"> _xll.EPMOlapMemberO("[PERIODID0].[].[14476]","","04.04.2026","","000")</f>
        <v>04.04.2026</v>
      </c>
      <c r="FZ5" s="34" t="str">
        <f xml:space="preserve"> _xll.EPMOlapMemberO("[PERIODID0].[].[14477]","","05.04.2026","","000")</f>
        <v>05.04.2026</v>
      </c>
      <c r="GA5" s="34" t="str">
        <f xml:space="preserve"> _xll.EPMOlapMemberO("[PERIODID0].[].[14478]","","06.04.2026","","000")</f>
        <v>06.04.2026</v>
      </c>
      <c r="GB5" s="34" t="str">
        <f xml:space="preserve"> _xll.EPMOlapMemberO("[PERIODID0].[].[14479]","","07.04.2026","","000")</f>
        <v>07.04.2026</v>
      </c>
      <c r="GC5" s="34" t="str">
        <f xml:space="preserve"> _xll.EPMOlapMemberO("[PERIODID0].[].[14480]","","08.04.2026","","000")</f>
        <v>08.04.2026</v>
      </c>
      <c r="GD5" s="34" t="str">
        <f xml:space="preserve"> _xll.EPMOlapMemberO("[PERIODID0].[].[14481]","","09.04.2026","","000")</f>
        <v>09.04.2026</v>
      </c>
      <c r="GE5" s="34" t="str">
        <f xml:space="preserve"> _xll.EPMOlapMemberO("[PERIODID0].[].[14482]","","10.04.2026","","000")</f>
        <v>10.04.2026</v>
      </c>
      <c r="GF5" s="34" t="str">
        <f xml:space="preserve"> _xll.EPMOlapMemberO("[PERIODID0].[].[14483]","","11.04.2026","","000")</f>
        <v>11.04.2026</v>
      </c>
      <c r="GG5" s="34" t="str">
        <f xml:space="preserve"> _xll.EPMOlapMemberO("[PERIODID0].[].[14484]","","12.04.2026","","000")</f>
        <v>12.04.2026</v>
      </c>
      <c r="GH5" s="34" t="str">
        <f xml:space="preserve"> _xll.EPMOlapMemberO("[PERIODID0].[].[14485]","","13.04.2026","","000")</f>
        <v>13.04.2026</v>
      </c>
      <c r="GI5" s="34" t="str">
        <f xml:space="preserve"> _xll.EPMOlapMemberO("[PERIODID0].[].[14486]","","14.04.2026","","000")</f>
        <v>14.04.2026</v>
      </c>
      <c r="GJ5" s="34" t="str">
        <f xml:space="preserve"> _xll.EPMOlapMemberO("[PERIODID0].[].[14487]","","15.04.2026","","000")</f>
        <v>15.04.2026</v>
      </c>
      <c r="GK5" s="34" t="str">
        <f xml:space="preserve"> _xll.EPMOlapMemberO("[PERIODID0].[].[14488]","","16.04.2026","","000")</f>
        <v>16.04.2026</v>
      </c>
      <c r="GL5" s="34" t="str">
        <f xml:space="preserve"> _xll.EPMOlapMemberO("[PERIODID0].[].[14489]","","17.04.2026","","000")</f>
        <v>17.04.2026</v>
      </c>
      <c r="GM5" s="34" t="str">
        <f xml:space="preserve"> _xll.EPMOlapMemberO("[PERIODID0].[].[14490]","","18.04.2026","","000")</f>
        <v>18.04.2026</v>
      </c>
      <c r="GN5" s="34" t="str">
        <f xml:space="preserve"> _xll.EPMOlapMemberO("[PERIODID0].[].[14491]","","19.04.2026","","000")</f>
        <v>19.04.2026</v>
      </c>
      <c r="GO5" s="34" t="str">
        <f xml:space="preserve"> _xll.EPMOlapMemberO("[PERIODID0].[].[14492]","","20.04.2026","","000")</f>
        <v>20.04.2026</v>
      </c>
      <c r="GP5" s="34" t="str">
        <f xml:space="preserve"> _xll.EPMOlapMemberO("[PERIODID0].[].[14493]","","21.04.2026","","000")</f>
        <v>21.04.2026</v>
      </c>
      <c r="GQ5" s="34" t="str">
        <f xml:space="preserve"> _xll.EPMOlapMemberO("[PERIODID0].[].[14494]","","22.04.2026","","000")</f>
        <v>22.04.2026</v>
      </c>
      <c r="GR5" s="34" t="str">
        <f xml:space="preserve"> _xll.EPMOlapMemberO("[PERIODID0].[].[14495]","","23.04.2026","","000")</f>
        <v>23.04.2026</v>
      </c>
      <c r="GS5" s="34" t="str">
        <f xml:space="preserve"> _xll.EPMOlapMemberO("[PERIODID0].[].[14496]","","24.04.2026","","000")</f>
        <v>24.04.2026</v>
      </c>
      <c r="GT5" s="34" t="str">
        <f xml:space="preserve"> _xll.EPMOlapMemberO("[PERIODID0].[].[14497]","","25.04.2026","","000")</f>
        <v>25.04.2026</v>
      </c>
      <c r="GU5" s="34" t="str">
        <f xml:space="preserve"> _xll.EPMOlapMemberO("[PERIODID0].[].[14498]","","26.04.2026","","000")</f>
        <v>26.04.2026</v>
      </c>
      <c r="GV5" s="34" t="str">
        <f xml:space="preserve"> _xll.EPMOlapMemberO("[PERIODID0].[].[14499]","","27.04.2026","","000")</f>
        <v>27.04.2026</v>
      </c>
      <c r="GW5" s="34" t="str">
        <f xml:space="preserve"> _xll.EPMOlapMemberO("[PERIODID0].[].[14500]","","28.04.2026","","000")</f>
        <v>28.04.2026</v>
      </c>
      <c r="GX5" s="34" t="str">
        <f xml:space="preserve"> _xll.EPMOlapMemberO("[PERIODID0].[].[14501]","","29.04.2026","","000")</f>
        <v>29.04.2026</v>
      </c>
      <c r="GY5" s="34" t="str">
        <f xml:space="preserve"> _xll.EPMOlapMemberO("[PERIODID0].[].[14502]","","30.04.2026","","000")</f>
        <v>30.04.2026</v>
      </c>
      <c r="GZ5" s="34" t="str">
        <f xml:space="preserve"> _xll.EPMOlapMemberO("[PERIODID0].[].[14503]","","01.05.2026","","000")</f>
        <v>01.05.2026</v>
      </c>
      <c r="HA5" s="34" t="str">
        <f xml:space="preserve"> _xll.EPMOlapMemberO("[PERIODID0].[].[14504]","","02.05.2026","","000")</f>
        <v>02.05.2026</v>
      </c>
      <c r="HB5" s="34" t="str">
        <f xml:space="preserve"> _xll.EPMOlapMemberO("[PERIODID0].[].[14505]","","03.05.2026","","000")</f>
        <v>03.05.2026</v>
      </c>
      <c r="HC5" s="34" t="str">
        <f xml:space="preserve"> _xll.EPMOlapMemberO("[PERIODID0].[].[14506]","","04.05.2026","","000")</f>
        <v>04.05.2026</v>
      </c>
      <c r="HD5" s="34" t="str">
        <f xml:space="preserve"> _xll.EPMOlapMemberO("[PERIODID0].[].[14507]","","05.05.2026","","000")</f>
        <v>05.05.2026</v>
      </c>
      <c r="HE5" s="34" t="str">
        <f xml:space="preserve"> _xll.EPMOlapMemberO("[PERIODID0].[].[14508]","","06.05.2026","","000")</f>
        <v>06.05.2026</v>
      </c>
      <c r="HF5" s="34" t="str">
        <f xml:space="preserve"> _xll.EPMOlapMemberO("[PERIODID0].[].[14509]","","07.05.2026","","000")</f>
        <v>07.05.2026</v>
      </c>
      <c r="HG5" s="34" t="str">
        <f xml:space="preserve"> _xll.EPMOlapMemberO("[PERIODID0].[].[14510]","","08.05.2026","","000")</f>
        <v>08.05.2026</v>
      </c>
      <c r="HH5" s="34" t="str">
        <f xml:space="preserve"> _xll.EPMOlapMemberO("[PERIODID0].[].[14511]","","09.05.2026","","000")</f>
        <v>09.05.2026</v>
      </c>
      <c r="HI5" s="34" t="str">
        <f xml:space="preserve"> _xll.EPMOlapMemberO("[PERIODID0].[].[14512]","","10.05.2026","","000")</f>
        <v>10.05.2026</v>
      </c>
      <c r="HJ5" s="34" t="str">
        <f xml:space="preserve"> _xll.EPMOlapMemberO("[PERIODID0].[].[14513]","","11.05.2026","","000")</f>
        <v>11.05.2026</v>
      </c>
      <c r="HK5" s="34" t="str">
        <f xml:space="preserve"> _xll.EPMOlapMemberO("[PERIODID0].[].[14514]","","12.05.2026","","000")</f>
        <v>12.05.2026</v>
      </c>
      <c r="HL5" s="34" t="str">
        <f xml:space="preserve"> _xll.EPMOlapMemberO("[PERIODID0].[].[14515]","","13.05.2026","","000")</f>
        <v>13.05.2026</v>
      </c>
      <c r="HM5" s="34" t="str">
        <f xml:space="preserve"> _xll.EPMOlapMemberO("[PERIODID0].[].[14516]","","14.05.2026","","000")</f>
        <v>14.05.2026</v>
      </c>
      <c r="HN5" s="34" t="str">
        <f xml:space="preserve"> _xll.EPMOlapMemberO("[PERIODID0].[].[14517]","","15.05.2026","","000")</f>
        <v>15.05.2026</v>
      </c>
      <c r="HO5" s="34" t="str">
        <f xml:space="preserve"> _xll.EPMOlapMemberO("[PERIODID0].[].[14518]","","16.05.2026","","000")</f>
        <v>16.05.2026</v>
      </c>
      <c r="HP5" s="34" t="str">
        <f xml:space="preserve"> _xll.EPMOlapMemberO("[PERIODID0].[].[14519]","","17.05.2026","","000")</f>
        <v>17.05.2026</v>
      </c>
      <c r="HQ5" s="34" t="str">
        <f xml:space="preserve"> _xll.EPMOlapMemberO("[PERIODID0].[].[14520]","","18.05.2026","","000")</f>
        <v>18.05.2026</v>
      </c>
      <c r="HR5" s="34" t="str">
        <f xml:space="preserve"> _xll.EPMOlapMemberO("[PERIODID0].[].[14521]","","19.05.2026","","000")</f>
        <v>19.05.2026</v>
      </c>
      <c r="HS5" s="34" t="str">
        <f xml:space="preserve"> _xll.EPMOlapMemberO("[PERIODID0].[].[14522]","","20.05.2026","","000")</f>
        <v>20.05.2026</v>
      </c>
      <c r="HT5" s="34" t="str">
        <f xml:space="preserve"> _xll.EPMOlapMemberO("[PERIODID0].[].[14523]","","21.05.2026","","000")</f>
        <v>21.05.2026</v>
      </c>
      <c r="HU5" s="34" t="str">
        <f xml:space="preserve"> _xll.EPMOlapMemberO("[PERIODID0].[].[14524]","","22.05.2026","","000")</f>
        <v>22.05.2026</v>
      </c>
      <c r="HV5" s="34" t="str">
        <f xml:space="preserve"> _xll.EPMOlapMemberO("[PERIODID0].[].[14525]","","23.05.2026","","000")</f>
        <v>23.05.2026</v>
      </c>
      <c r="HW5" s="34" t="str">
        <f xml:space="preserve"> _xll.EPMOlapMemberO("[PERIODID0].[].[14526]","","24.05.2026","","000")</f>
        <v>24.05.2026</v>
      </c>
      <c r="HX5" s="34" t="str">
        <f xml:space="preserve"> _xll.EPMOlapMemberO("[PERIODID0].[].[14527]","","25.05.2026","","000")</f>
        <v>25.05.2026</v>
      </c>
      <c r="HY5" s="34" t="str">
        <f xml:space="preserve"> _xll.EPMOlapMemberO("[PERIODID0].[].[14528]","","26.05.2026","","000")</f>
        <v>26.05.2026</v>
      </c>
      <c r="HZ5" s="34" t="str">
        <f xml:space="preserve"> _xll.EPMOlapMemberO("[PERIODID0].[].[14529]","","27.05.2026","","000")</f>
        <v>27.05.2026</v>
      </c>
      <c r="IA5" s="34" t="str">
        <f xml:space="preserve"> _xll.EPMOlapMemberO("[PERIODID0].[].[14530]","","28.05.2026","","000")</f>
        <v>28.05.2026</v>
      </c>
      <c r="IB5" s="34" t="str">
        <f xml:space="preserve"> _xll.EPMOlapMemberO("[PERIODID0].[].[14531]","","29.05.2026","","000")</f>
        <v>29.05.2026</v>
      </c>
      <c r="IC5" s="34" t="str">
        <f xml:space="preserve"> _xll.EPMOlapMemberO("[PERIODID0].[].[14532]","","30.05.2026","","000")</f>
        <v>30.05.2026</v>
      </c>
      <c r="ID5" s="34" t="str">
        <f xml:space="preserve"> _xll.EPMOlapMemberO("[PERIODID0].[].[14533]","","31.05.2026","","000")</f>
        <v>31.05.2026</v>
      </c>
      <c r="IE5" s="34" t="str">
        <f xml:space="preserve"> _xll.EPMOlapMemberO("[PERIODID0].[].[14534]","","01.06.2026","","000")</f>
        <v>01.06.2026</v>
      </c>
      <c r="IF5" s="34" t="str">
        <f xml:space="preserve"> _xll.EPMOlapMemberO("[PERIODID0].[].[14535]","","02.06.2026","","000")</f>
        <v>02.06.2026</v>
      </c>
      <c r="IG5" s="34" t="str">
        <f xml:space="preserve"> _xll.EPMOlapMemberO("[PERIODID0].[].[14536]","","03.06.2026","","000")</f>
        <v>03.06.2026</v>
      </c>
      <c r="IH5" s="34" t="str">
        <f xml:space="preserve"> _xll.EPMOlapMemberO("[PERIODID0].[].[14537]","","04.06.2026","","000")</f>
        <v>04.06.2026</v>
      </c>
      <c r="II5" s="34" t="str">
        <f xml:space="preserve"> _xll.EPMOlapMemberO("[PERIODID0].[].[14538]","","05.06.2026","","000")</f>
        <v>05.06.2026</v>
      </c>
      <c r="IJ5" s="34" t="str">
        <f xml:space="preserve"> _xll.EPMOlapMemberO("[PERIODID0].[].[14539]","","06.06.2026","","000")</f>
        <v>06.06.2026</v>
      </c>
      <c r="IK5" s="34" t="str">
        <f xml:space="preserve"> _xll.EPMOlapMemberO("[PERIODID0].[].[14540]","","07.06.2026","","000")</f>
        <v>07.06.2026</v>
      </c>
      <c r="IL5" s="34" t="str">
        <f xml:space="preserve"> _xll.EPMOlapMemberO("[PERIODID0].[].[14541]","","08.06.2026","","000")</f>
        <v>08.06.2026</v>
      </c>
      <c r="IM5" s="34" t="str">
        <f xml:space="preserve"> _xll.EPMOlapMemberO("[PERIODID0].[].[14542]","","09.06.2026","","000")</f>
        <v>09.06.2026</v>
      </c>
      <c r="IN5" s="34" t="str">
        <f xml:space="preserve"> _xll.EPMOlapMemberO("[PERIODID0].[].[14543]","","10.06.2026","","000")</f>
        <v>10.06.2026</v>
      </c>
      <c r="IO5" s="34" t="str">
        <f xml:space="preserve"> _xll.EPMOlapMemberO("[PERIODID0].[].[14544]","","11.06.2026","","000")</f>
        <v>11.06.2026</v>
      </c>
      <c r="IP5" s="34" t="str">
        <f xml:space="preserve"> _xll.EPMOlapMemberO("[PERIODID0].[].[14545]","","12.06.2026","","000")</f>
        <v>12.06.2026</v>
      </c>
      <c r="IQ5" s="34" t="str">
        <f xml:space="preserve"> _xll.EPMOlapMemberO("[PERIODID0].[].[14546]","","13.06.2026","","000")</f>
        <v>13.06.2026</v>
      </c>
      <c r="IR5" s="34" t="str">
        <f xml:space="preserve"> _xll.EPMOlapMemberO("[PERIODID0].[].[14547]","","14.06.2026","","000")</f>
        <v>14.06.2026</v>
      </c>
      <c r="IS5" s="34" t="str">
        <f xml:space="preserve"> _xll.EPMOlapMemberO("[PERIODID0].[].[14548]","","15.06.2026","","000")</f>
        <v>15.06.2026</v>
      </c>
      <c r="IT5" s="34" t="str">
        <f xml:space="preserve"> _xll.EPMOlapMemberO("[PERIODID0].[].[14549]","","16.06.2026","","000")</f>
        <v>16.06.2026</v>
      </c>
      <c r="IU5" s="34" t="str">
        <f xml:space="preserve"> _xll.EPMOlapMemberO("[PERIODID0].[].[14550]","","17.06.2026","","000")</f>
        <v>17.06.2026</v>
      </c>
      <c r="IV5" s="34" t="str">
        <f xml:space="preserve"> _xll.EPMOlapMemberO("[PERIODID0].[].[14551]","","18.06.2026","","000")</f>
        <v>18.06.2026</v>
      </c>
      <c r="IW5" s="34" t="str">
        <f xml:space="preserve"> _xll.EPMOlapMemberO("[PERIODID0].[].[14552]","","19.06.2026","","000")</f>
        <v>19.06.2026</v>
      </c>
      <c r="IX5" s="34" t="str">
        <f xml:space="preserve"> _xll.EPMOlapMemberO("[PERIODID0].[].[14553]","","20.06.2026","","000")</f>
        <v>20.06.2026</v>
      </c>
      <c r="IY5" s="34" t="str">
        <f xml:space="preserve"> _xll.EPMOlapMemberO("[PERIODID0].[].[14554]","","21.06.2026","","000")</f>
        <v>21.06.2026</v>
      </c>
      <c r="IZ5" s="34" t="str">
        <f xml:space="preserve"> _xll.EPMOlapMemberO("[PERIODID0].[].[14555]","","22.06.2026","","000")</f>
        <v>22.06.2026</v>
      </c>
      <c r="JA5" s="34" t="str">
        <f xml:space="preserve"> _xll.EPMOlapMemberO("[PERIODID0].[].[14556]","","23.06.2026","","000")</f>
        <v>23.06.2026</v>
      </c>
      <c r="JB5" s="34" t="str">
        <f xml:space="preserve"> _xll.EPMOlapMemberO("[PERIODID0].[].[14557]","","24.06.2026","","000")</f>
        <v>24.06.2026</v>
      </c>
      <c r="JC5" s="34" t="str">
        <f xml:space="preserve"> _xll.EPMOlapMemberO("[PERIODID0].[].[14558]","","25.06.2026","","000")</f>
        <v>25.06.2026</v>
      </c>
      <c r="JD5" s="34" t="str">
        <f xml:space="preserve"> _xll.EPMOlapMemberO("[PERIODID0].[].[14559]","","26.06.2026","","000")</f>
        <v>26.06.2026</v>
      </c>
      <c r="JE5" s="34" t="str">
        <f xml:space="preserve"> _xll.EPMOlapMemberO("[PERIODID0].[].[14560]","","27.06.2026","","000")</f>
        <v>27.06.2026</v>
      </c>
      <c r="JF5" s="34" t="str">
        <f xml:space="preserve"> _xll.EPMOlapMemberO("[PERIODID0].[].[14561]","","28.06.2026","","000")</f>
        <v>28.06.2026</v>
      </c>
      <c r="JG5" s="34" t="str">
        <f xml:space="preserve"> _xll.EPMOlapMemberO("[PERIODID0].[].[14562]","","29.06.2026","","000")</f>
        <v>29.06.2026</v>
      </c>
      <c r="JH5" s="34" t="str">
        <f xml:space="preserve"> _xll.EPMOlapMemberO("[PERIODID0].[].[14563]","","30.06.2026","","000")</f>
        <v>30.06.2026</v>
      </c>
      <c r="JI5" s="34" t="str">
        <f xml:space="preserve"> _xll.EPMOlapMemberO("[PERIODID0].[].[14564]","","01.07.2026","","000")</f>
        <v>01.07.2026</v>
      </c>
      <c r="JJ5" s="34" t="str">
        <f xml:space="preserve"> _xll.EPMOlapMemberO("[PERIODID0].[].[14565]","","02.07.2026","","000")</f>
        <v>02.07.2026</v>
      </c>
      <c r="JK5" s="34" t="str">
        <f xml:space="preserve"> _xll.EPMOlapMemberO("[PERIODID0].[].[14566]","","03.07.2026","","000")</f>
        <v>03.07.2026</v>
      </c>
      <c r="JL5" s="34" t="str">
        <f xml:space="preserve"> _xll.EPMOlapMemberO("[PERIODID0].[].[14567]","","04.07.2026","","000")</f>
        <v>04.07.2026</v>
      </c>
      <c r="JM5" s="34" t="str">
        <f xml:space="preserve"> _xll.EPMOlapMemberO("[PERIODID0].[].[14568]","","05.07.2026","","000")</f>
        <v>05.07.2026</v>
      </c>
      <c r="JN5" s="34" t="str">
        <f xml:space="preserve"> _xll.EPMOlapMemberO("[PERIODID0].[].[14569]","","06.07.2026","","000")</f>
        <v>06.07.2026</v>
      </c>
      <c r="JO5" s="34" t="str">
        <f xml:space="preserve"> _xll.EPMOlapMemberO("[PERIODID0].[].[14570]","","07.07.2026","","000")</f>
        <v>07.07.2026</v>
      </c>
      <c r="JP5" s="34" t="str">
        <f xml:space="preserve"> _xll.EPMOlapMemberO("[PERIODID0].[].[14571]","","08.07.2026","","000")</f>
        <v>08.07.2026</v>
      </c>
      <c r="JQ5" s="34" t="str">
        <f xml:space="preserve"> _xll.EPMOlapMemberO("[PERIODID0].[].[14572]","","09.07.2026","","000")</f>
        <v>09.07.2026</v>
      </c>
      <c r="JR5" s="34" t="str">
        <f xml:space="preserve"> _xll.EPMOlapMemberO("[PERIODID0].[].[14573]","","10.07.2026","","000")</f>
        <v>10.07.2026</v>
      </c>
      <c r="JS5" s="34" t="str">
        <f xml:space="preserve"> _xll.EPMOlapMemberO("[PERIODID0].[].[14574]","","11.07.2026","","000")</f>
        <v>11.07.2026</v>
      </c>
      <c r="JT5" s="34" t="str">
        <f xml:space="preserve"> _xll.EPMOlapMemberO("[PERIODID0].[].[14575]","","12.07.2026","","000")</f>
        <v>12.07.2026</v>
      </c>
      <c r="JU5" s="34" t="str">
        <f xml:space="preserve"> _xll.EPMOlapMemberO("[PERIODID0].[].[14576]","","13.07.2026","","000")</f>
        <v>13.07.2026</v>
      </c>
      <c r="JV5" s="34" t="str">
        <f xml:space="preserve"> _xll.EPMOlapMemberO("[PERIODID0].[].[14577]","","14.07.2026","","000")</f>
        <v>14.07.2026</v>
      </c>
      <c r="JW5" s="34" t="str">
        <f xml:space="preserve"> _xll.EPMOlapMemberO("[PERIODID0].[].[14578]","","15.07.2026","","000")</f>
        <v>15.07.2026</v>
      </c>
      <c r="JX5" s="34" t="str">
        <f xml:space="preserve"> _xll.EPMOlapMemberO("[PERIODID0].[].[14579]","","16.07.2026","","000")</f>
        <v>16.07.2026</v>
      </c>
      <c r="JY5" s="34" t="str">
        <f xml:space="preserve"> _xll.EPMOlapMemberO("[PERIODID0].[].[14580]","","17.07.2026","","000")</f>
        <v>17.07.2026</v>
      </c>
      <c r="JZ5" s="34" t="str">
        <f xml:space="preserve"> _xll.EPMOlapMemberO("[PERIODID0].[].[14581]","","18.07.2026","","000")</f>
        <v>18.07.2026</v>
      </c>
      <c r="KA5" s="34" t="str">
        <f xml:space="preserve"> _xll.EPMOlapMemberO("[PERIODID0].[].[14582]","","19.07.2026","","000")</f>
        <v>19.07.2026</v>
      </c>
      <c r="KB5" s="34" t="str">
        <f xml:space="preserve"> _xll.EPMOlapMemberO("[PERIODID0].[].[14583]","","20.07.2026","","000")</f>
        <v>20.07.2026</v>
      </c>
      <c r="KC5" s="34" t="str">
        <f xml:space="preserve"> _xll.EPMOlapMemberO("[PERIODID0].[].[14584]","","21.07.2026","","000")</f>
        <v>21.07.2026</v>
      </c>
      <c r="KD5" s="34" t="str">
        <f xml:space="preserve"> _xll.EPMOlapMemberO("[PERIODID0].[].[14585]","","22.07.2026","","000")</f>
        <v>22.07.2026</v>
      </c>
      <c r="KE5" s="34" t="str">
        <f xml:space="preserve"> _xll.EPMOlapMemberO("[PERIODID0].[].[14586]","","23.07.2026","","000")</f>
        <v>23.07.2026</v>
      </c>
      <c r="KF5" s="34" t="str">
        <f xml:space="preserve"> _xll.EPMOlapMemberO("[PERIODID0].[].[14587]","","24.07.2026","","000")</f>
        <v>24.07.2026</v>
      </c>
      <c r="KG5" s="34" t="str">
        <f xml:space="preserve"> _xll.EPMOlapMemberO("[PERIODID0].[].[14588]","","25.07.2026","","000")</f>
        <v>25.07.2026</v>
      </c>
      <c r="KH5" s="34" t="str">
        <f xml:space="preserve"> _xll.EPMOlapMemberO("[PERIODID0].[].[14589]","","26.07.2026","","000")</f>
        <v>26.07.2026</v>
      </c>
      <c r="KI5" s="34" t="str">
        <f xml:space="preserve"> _xll.EPMOlapMemberO("[PERIODID0].[].[14590]","","27.07.2026","","000")</f>
        <v>27.07.2026</v>
      </c>
      <c r="KJ5" s="34" t="str">
        <f xml:space="preserve"> _xll.EPMOlapMemberO("[PERIODID0].[].[14591]","","28.07.2026","","000")</f>
        <v>28.07.2026</v>
      </c>
      <c r="KK5" s="34" t="str">
        <f xml:space="preserve"> _xll.EPMOlapMemberO("[PERIODID0].[].[14592]","","29.07.2026","","000")</f>
        <v>29.07.2026</v>
      </c>
      <c r="KL5" s="34" t="str">
        <f xml:space="preserve"> _xll.EPMOlapMemberO("[PERIODID0].[].[14593]","","30.07.2026","","000")</f>
        <v>30.07.2026</v>
      </c>
      <c r="KM5" s="34" t="str">
        <f xml:space="preserve"> _xll.EPMOlapMemberO("[PERIODID0].[].[14594]","","31.07.2026","","000")</f>
        <v>31.07.2026</v>
      </c>
      <c r="KN5" s="34" t="str">
        <f xml:space="preserve"> _xll.EPMOlapMemberO("[PERIODID0].[].[14595]","","01.08.2026","","000")</f>
        <v>01.08.2026</v>
      </c>
      <c r="KO5" s="34" t="str">
        <f xml:space="preserve"> _xll.EPMOlapMemberO("[PERIODID0].[].[14596]","","02.08.2026","","000")</f>
        <v>02.08.2026</v>
      </c>
      <c r="KP5" s="34" t="str">
        <f xml:space="preserve"> _xll.EPMOlapMemberO("[PERIODID0].[].[14597]","","03.08.2026","","000")</f>
        <v>03.08.2026</v>
      </c>
      <c r="KQ5" s="34" t="str">
        <f xml:space="preserve"> _xll.EPMOlapMemberO("[PERIODID0].[].[14598]","","04.08.2026","","000")</f>
        <v>04.08.2026</v>
      </c>
      <c r="KR5" s="34" t="str">
        <f xml:space="preserve"> _xll.EPMOlapMemberO("[PERIODID0].[].[14599]","","05.08.2026","","000")</f>
        <v>05.08.2026</v>
      </c>
      <c r="KS5" s="34" t="str">
        <f xml:space="preserve"> _xll.EPMOlapMemberO("[PERIODID0].[].[14600]","","06.08.2026","","000")</f>
        <v>06.08.2026</v>
      </c>
      <c r="KT5" s="34" t="str">
        <f xml:space="preserve"> _xll.EPMOlapMemberO("[PERIODID0].[].[14601]","","07.08.2026","","000")</f>
        <v>07.08.2026</v>
      </c>
      <c r="KU5" s="34" t="str">
        <f xml:space="preserve"> _xll.EPMOlapMemberO("[PERIODID0].[].[14602]","","08.08.2026","","000")</f>
        <v>08.08.2026</v>
      </c>
      <c r="KV5" s="34" t="str">
        <f xml:space="preserve"> _xll.EPMOlapMemberO("[PERIODID0].[].[14603]","","09.08.2026","","000")</f>
        <v>09.08.2026</v>
      </c>
      <c r="KW5" s="34" t="str">
        <f xml:space="preserve"> _xll.EPMOlapMemberO("[PERIODID0].[].[14604]","","10.08.2026","","000")</f>
        <v>10.08.2026</v>
      </c>
      <c r="KX5" s="34" t="str">
        <f xml:space="preserve"> _xll.EPMOlapMemberO("[PERIODID0].[].[14605]","","11.08.2026","","000")</f>
        <v>11.08.2026</v>
      </c>
      <c r="KY5" s="34" t="str">
        <f xml:space="preserve"> _xll.EPMOlapMemberO("[PERIODID0].[].[14606]","","12.08.2026","","000")</f>
        <v>12.08.2026</v>
      </c>
      <c r="KZ5" s="34" t="str">
        <f xml:space="preserve"> _xll.EPMOlapMemberO("[PERIODID0].[].[14607]","","13.08.2026","","000")</f>
        <v>13.08.2026</v>
      </c>
      <c r="LA5" s="34" t="str">
        <f xml:space="preserve"> _xll.EPMOlapMemberO("[PERIODID0].[].[14608]","","14.08.2026","","000")</f>
        <v>14.08.2026</v>
      </c>
      <c r="LB5" s="34" t="str">
        <f xml:space="preserve"> _xll.EPMOlapMemberO("[PERIODID0].[].[14609]","","15.08.2026","","000")</f>
        <v>15.08.2026</v>
      </c>
      <c r="LC5" s="34" t="str">
        <f xml:space="preserve"> _xll.EPMOlapMemberO("[PERIODID0].[].[14610]","","16.08.2026","","000")</f>
        <v>16.08.2026</v>
      </c>
      <c r="LD5" s="34" t="str">
        <f xml:space="preserve"> _xll.EPMOlapMemberO("[PERIODID0].[].[14611]","","17.08.2026","","000")</f>
        <v>17.08.2026</v>
      </c>
      <c r="LE5" s="34" t="str">
        <f xml:space="preserve"> _xll.EPMOlapMemberO("[PERIODID0].[].[14612]","","18.08.2026","","000")</f>
        <v>18.08.2026</v>
      </c>
      <c r="LF5" s="34" t="str">
        <f xml:space="preserve"> _xll.EPMOlapMemberO("[PERIODID0].[].[14613]","","19.08.2026","","000")</f>
        <v>19.08.2026</v>
      </c>
      <c r="LG5" s="34" t="str">
        <f xml:space="preserve"> _xll.EPMOlapMemberO("[PERIODID0].[].[14614]","","20.08.2026","","000")</f>
        <v>20.08.2026</v>
      </c>
      <c r="LH5" s="34" t="str">
        <f xml:space="preserve"> _xll.EPMOlapMemberO("[PERIODID0].[].[14615]","","21.08.2026","","000")</f>
        <v>21.08.2026</v>
      </c>
      <c r="LI5" s="34" t="str">
        <f xml:space="preserve"> _xll.EPMOlapMemberO("[PERIODID0].[].[14616]","","22.08.2026","","000")</f>
        <v>22.08.2026</v>
      </c>
      <c r="LJ5" s="34" t="str">
        <f xml:space="preserve"> _xll.EPMOlapMemberO("[PERIODID0].[].[14617]","","23.08.2026","","000")</f>
        <v>23.08.2026</v>
      </c>
      <c r="LK5" s="34" t="str">
        <f xml:space="preserve"> _xll.EPMOlapMemberO("[PERIODID0].[].[14618]","","24.08.2026","","000")</f>
        <v>24.08.2026</v>
      </c>
      <c r="LL5" s="34" t="str">
        <f xml:space="preserve"> _xll.EPMOlapMemberO("[PERIODID0].[].[14619]","","25.08.2026","","000")</f>
        <v>25.08.2026</v>
      </c>
      <c r="LM5" s="34" t="str">
        <f xml:space="preserve"> _xll.EPMOlapMemberO("[PERIODID0].[].[14620]","","26.08.2026","","000")</f>
        <v>26.08.2026</v>
      </c>
      <c r="LN5" s="34" t="str">
        <f xml:space="preserve"> _xll.EPMOlapMemberO("[PERIODID0].[].[14621]","","27.08.2026","","000")</f>
        <v>27.08.2026</v>
      </c>
      <c r="LO5" s="34" t="str">
        <f xml:space="preserve"> _xll.EPMOlapMemberO("[PERIODID0].[].[14622]","","28.08.2026","","000")</f>
        <v>28.08.2026</v>
      </c>
      <c r="LP5" s="34" t="str">
        <f xml:space="preserve"> _xll.EPMOlapMemberO("[PERIODID0].[].[14623]","","29.08.2026","","000")</f>
        <v>29.08.2026</v>
      </c>
      <c r="LQ5" s="34" t="str">
        <f xml:space="preserve"> _xll.EPMOlapMemberO("[PERIODID0].[].[14624]","","30.08.2026","","000")</f>
        <v>30.08.2026</v>
      </c>
      <c r="LR5" s="34" t="str">
        <f xml:space="preserve"> _xll.EPMOlapMemberO("[PERIODID0].[].[14625]","","31.08.2026","","000")</f>
        <v>31.08.2026</v>
      </c>
      <c r="LS5" s="34" t="str">
        <f xml:space="preserve"> _xll.EPMOlapMemberO("[PERIODID0].[].[14626]","","01.09.2026","","000")</f>
        <v>01.09.2026</v>
      </c>
      <c r="LT5" s="34" t="str">
        <f xml:space="preserve"> _xll.EPMOlapMemberO("[PERIODID0].[].[14627]","","02.09.2026","","000")</f>
        <v>02.09.2026</v>
      </c>
      <c r="LU5" s="34" t="str">
        <f xml:space="preserve"> _xll.EPMOlapMemberO("[PERIODID0].[].[14628]","","03.09.2026","","000")</f>
        <v>03.09.2026</v>
      </c>
      <c r="LV5" s="34" t="str">
        <f xml:space="preserve"> _xll.EPMOlapMemberO("[PERIODID0].[].[14629]","","04.09.2026","","000")</f>
        <v>04.09.2026</v>
      </c>
      <c r="LW5" s="34" t="str">
        <f xml:space="preserve"> _xll.EPMOlapMemberO("[PERIODID0].[].[14630]","","05.09.2026","","000")</f>
        <v>05.09.2026</v>
      </c>
      <c r="LX5" s="34" t="str">
        <f xml:space="preserve"> _xll.EPMOlapMemberO("[PERIODID0].[].[14631]","","06.09.2026","","000")</f>
        <v>06.09.2026</v>
      </c>
      <c r="LY5" s="34" t="str">
        <f xml:space="preserve"> _xll.EPMOlapMemberO("[PERIODID0].[].[14632]","","07.09.2026","","000")</f>
        <v>07.09.2026</v>
      </c>
      <c r="LZ5" s="34" t="str">
        <f xml:space="preserve"> _xll.EPMOlapMemberO("[PERIODID0].[].[14633]","","08.09.2026","","000")</f>
        <v>08.09.2026</v>
      </c>
      <c r="MA5" s="34" t="str">
        <f xml:space="preserve"> _xll.EPMOlapMemberO("[PERIODID0].[].[14634]","","09.09.2026","","000")</f>
        <v>09.09.2026</v>
      </c>
      <c r="MB5" s="34" t="str">
        <f xml:space="preserve"> _xll.EPMOlapMemberO("[PERIODID0].[].[14635]","","10.09.2026","","000")</f>
        <v>10.09.2026</v>
      </c>
      <c r="MC5" s="34" t="str">
        <f xml:space="preserve"> _xll.EPMOlapMemberO("[PERIODID0].[].[14636]","","11.09.2026","","000")</f>
        <v>11.09.2026</v>
      </c>
      <c r="MD5" s="34" t="str">
        <f xml:space="preserve"> _xll.EPMOlapMemberO("[PERIODID0].[].[14637]","","12.09.2026","","000")</f>
        <v>12.09.2026</v>
      </c>
      <c r="ME5" s="34" t="str">
        <f xml:space="preserve"> _xll.EPMOlapMemberO("[PERIODID0].[].[14638]","","13.09.2026","","000")</f>
        <v>13.09.2026</v>
      </c>
      <c r="MF5" s="34" t="str">
        <f xml:space="preserve"> _xll.EPMOlapMemberO("[PERIODID0].[].[14639]","","14.09.2026","","000")</f>
        <v>14.09.2026</v>
      </c>
      <c r="MG5" s="34" t="str">
        <f xml:space="preserve"> _xll.EPMOlapMemberO("[PERIODID0].[].[14640]","","15.09.2026","","000")</f>
        <v>15.09.2026</v>
      </c>
      <c r="MH5" s="34" t="str">
        <f xml:space="preserve"> _xll.EPMOlapMemberO("[PERIODID0].[].[14641]","","16.09.2026","","000")</f>
        <v>16.09.2026</v>
      </c>
      <c r="MI5" s="34" t="str">
        <f xml:space="preserve"> _xll.EPMOlapMemberO("[PERIODID0].[].[14642]","","17.09.2026","","000")</f>
        <v>17.09.2026</v>
      </c>
      <c r="MJ5" s="34" t="str">
        <f xml:space="preserve"> _xll.EPMOlapMemberO("[PERIODID0].[].[14643]","","18.09.2026","","000")</f>
        <v>18.09.2026</v>
      </c>
      <c r="MK5" s="34" t="str">
        <f xml:space="preserve"> _xll.EPMOlapMemberO("[PERIODID0].[].[14644]","","19.09.2026","","000")</f>
        <v>19.09.2026</v>
      </c>
      <c r="ML5" s="34" t="str">
        <f xml:space="preserve"> _xll.EPMOlapMemberO("[PERIODID0].[].[14645]","","20.09.2026","","000")</f>
        <v>20.09.2026</v>
      </c>
      <c r="MM5" s="34" t="str">
        <f xml:space="preserve"> _xll.EPMOlapMemberO("[PERIODID0].[].[14646]","","21.09.2026","","000")</f>
        <v>21.09.2026</v>
      </c>
      <c r="MN5" s="34" t="str">
        <f xml:space="preserve"> _xll.EPMOlapMemberO("[PERIODID0].[].[14647]","","22.09.2026","","000")</f>
        <v>22.09.2026</v>
      </c>
      <c r="MO5" s="34" t="str">
        <f xml:space="preserve"> _xll.EPMOlapMemberO("[PERIODID0].[].[14648]","","23.09.2026","","000")</f>
        <v>23.09.2026</v>
      </c>
      <c r="MP5" s="34" t="str">
        <f xml:space="preserve"> _xll.EPMOlapMemberO("[PERIODID0].[].[14649]","","24.09.2026","","000")</f>
        <v>24.09.2026</v>
      </c>
      <c r="MQ5" s="34" t="str">
        <f xml:space="preserve"> _xll.EPMOlapMemberO("[PERIODID0].[].[14650]","","25.09.2026","","000")</f>
        <v>25.09.2026</v>
      </c>
      <c r="MR5" s="34" t="str">
        <f xml:space="preserve"> _xll.EPMOlapMemberO("[PERIODID0].[].[14651]","","26.09.2026","","000")</f>
        <v>26.09.2026</v>
      </c>
      <c r="MS5" s="34" t="str">
        <f xml:space="preserve"> _xll.EPMOlapMemberO("[PERIODID0].[].[14652]","","27.09.2026","","000")</f>
        <v>27.09.2026</v>
      </c>
      <c r="MT5" s="34" t="str">
        <f xml:space="preserve"> _xll.EPMOlapMemberO("[PERIODID0].[].[14653]","","28.09.2026","","000")</f>
        <v>28.09.2026</v>
      </c>
      <c r="MU5" s="34" t="str">
        <f xml:space="preserve"> _xll.EPMOlapMemberO("[PERIODID0].[].[14654]","","29.09.2026","","000")</f>
        <v>29.09.2026</v>
      </c>
      <c r="MV5" s="34" t="str">
        <f xml:space="preserve"> _xll.EPMOlapMemberO("[PERIODID0].[].[14655]","","30.09.2026","","000")</f>
        <v>30.09.2026</v>
      </c>
      <c r="MW5" s="34" t="str">
        <f xml:space="preserve"> _xll.EPMOlapMemberO("[PERIODID0].[].[14656]","","01.10.2026","","000")</f>
        <v>01.10.2026</v>
      </c>
      <c r="MX5" s="34" t="str">
        <f xml:space="preserve"> _xll.EPMOlapMemberO("[PERIODID0].[].[14657]","","02.10.2026","","000")</f>
        <v>02.10.2026</v>
      </c>
      <c r="MY5" s="34" t="str">
        <f xml:space="preserve"> _xll.EPMOlapMemberO("[PERIODID0].[].[14658]","","03.10.2026","","000")</f>
        <v>03.10.2026</v>
      </c>
      <c r="MZ5" s="34" t="str">
        <f xml:space="preserve"> _xll.EPMOlapMemberO("[PERIODID0].[].[14659]","","04.10.2026","","000")</f>
        <v>04.10.2026</v>
      </c>
      <c r="NA5" s="34" t="str">
        <f xml:space="preserve"> _xll.EPMOlapMemberO("[PERIODID0].[].[14660]","","05.10.2026","","000")</f>
        <v>05.10.2026</v>
      </c>
      <c r="NB5" s="34" t="str">
        <f xml:space="preserve"> _xll.EPMOlapMemberO("[PERIODID0].[].[14661]","","06.10.2026","","000")</f>
        <v>06.10.2026</v>
      </c>
      <c r="NC5" s="34" t="str">
        <f xml:space="preserve"> _xll.EPMOlapMemberO("[PERIODID0].[].[14662]","","07.10.2026","","000")</f>
        <v>07.10.2026</v>
      </c>
      <c r="ND5" s="34" t="str">
        <f xml:space="preserve"> _xll.EPMOlapMemberO("[PERIODID0].[].[14663]","","08.10.2026","","000")</f>
        <v>08.10.2026</v>
      </c>
      <c r="NE5" s="34" t="str">
        <f xml:space="preserve"> _xll.EPMOlapMemberO("[PERIODID0].[].[14664]","","09.10.2026","","000")</f>
        <v>09.10.2026</v>
      </c>
      <c r="NF5" s="34" t="str">
        <f xml:space="preserve"> _xll.EPMOlapMemberO("[PERIODID0].[].[14665]","","10.10.2026","","000")</f>
        <v>10.10.2026</v>
      </c>
      <c r="NG5" s="34" t="str">
        <f xml:space="preserve"> _xll.EPMOlapMemberO("[PERIODID0].[].[14666]","","11.10.2026","","000")</f>
        <v>11.10.2026</v>
      </c>
      <c r="NH5" s="34" t="str">
        <f xml:space="preserve"> _xll.EPMOlapMemberO("[PERIODID0].[].[14667]","","12.10.2026","","000")</f>
        <v>12.10.2026</v>
      </c>
      <c r="NI5" s="34" t="str">
        <f xml:space="preserve"> _xll.EPMOlapMemberO("[PERIODID0].[].[14668]","","13.10.2026","","000")</f>
        <v>13.10.2026</v>
      </c>
      <c r="NJ5" s="34" t="str">
        <f xml:space="preserve"> _xll.EPMOlapMemberO("[PERIODID0].[].[14669]","","14.10.2026","","000")</f>
        <v>14.10.2026</v>
      </c>
      <c r="NK5" s="34" t="str">
        <f xml:space="preserve"> _xll.EPMOlapMemberO("[PERIODID0].[].[14670]","","15.10.2026","","000")</f>
        <v>15.10.2026</v>
      </c>
      <c r="NL5" s="34" t="str">
        <f xml:space="preserve"> _xll.EPMOlapMemberO("[PERIODID0].[].[14671]","","16.10.2026","","000")</f>
        <v>16.10.2026</v>
      </c>
      <c r="NM5" s="34" t="str">
        <f xml:space="preserve"> _xll.EPMOlapMemberO("[PERIODID0].[].[14672]","","17.10.2026","","000")</f>
        <v>17.10.2026</v>
      </c>
      <c r="NN5" s="34" t="str">
        <f xml:space="preserve"> _xll.EPMOlapMemberO("[PERIODID0].[].[14673]","","18.10.2026","","000")</f>
        <v>18.10.2026</v>
      </c>
      <c r="NO5" s="34" t="str">
        <f xml:space="preserve"> _xll.EPMOlapMemberO("[PERIODID0].[].[14674]","","19.10.2026","","000")</f>
        <v>19.10.2026</v>
      </c>
      <c r="NP5" s="34" t="str">
        <f xml:space="preserve"> _xll.EPMOlapMemberO("[PERIODID0].[].[14675]","","20.10.2026","","000")</f>
        <v>20.10.2026</v>
      </c>
      <c r="NQ5" s="34" t="str">
        <f xml:space="preserve"> _xll.EPMOlapMemberO("[PERIODID0].[].[14676]","","21.10.2026","","000")</f>
        <v>21.10.2026</v>
      </c>
      <c r="NR5" s="34" t="str">
        <f xml:space="preserve"> _xll.EPMOlapMemberO("[PERIODID0].[].[14677]","","22.10.2026","","000")</f>
        <v>22.10.2026</v>
      </c>
      <c r="NS5" s="34" t="str">
        <f xml:space="preserve"> _xll.EPMOlapMemberO("[PERIODID0].[].[14678]","","23.10.2026","","000")</f>
        <v>23.10.2026</v>
      </c>
      <c r="NT5" s="34" t="str">
        <f xml:space="preserve"> _xll.EPMOlapMemberO("[PERIODID0].[].[14679]","","24.10.2026","","000")</f>
        <v>24.10.2026</v>
      </c>
      <c r="NU5" s="34" t="str">
        <f xml:space="preserve"> _xll.EPMOlapMemberO("[PERIODID0].[].[14680]","","25.10.2026","","000")</f>
        <v>25.10.2026</v>
      </c>
      <c r="NV5" s="34" t="str">
        <f xml:space="preserve"> _xll.EPMOlapMemberO("[PERIODID0].[].[14681]","","26.10.2026","","000")</f>
        <v>26.10.2026</v>
      </c>
      <c r="NW5" s="34" t="str">
        <f xml:space="preserve"> _xll.EPMOlapMemberO("[PERIODID0].[].[14682]","","27.10.2026","","000")</f>
        <v>27.10.2026</v>
      </c>
      <c r="NX5" s="34" t="str">
        <f xml:space="preserve"> _xll.EPMOlapMemberO("[PERIODID0].[].[14683]","","28.10.2026","","000")</f>
        <v>28.10.2026</v>
      </c>
      <c r="NY5" s="34" t="str">
        <f xml:space="preserve"> _xll.EPMOlapMemberO("[PERIODID0].[].[14684]","","29.10.2026","","000")</f>
        <v>29.10.2026</v>
      </c>
      <c r="NZ5" s="34" t="str">
        <f xml:space="preserve"> _xll.EPMOlapMemberO("[PERIODID0].[].[14685]","","30.10.2026","","000")</f>
        <v>30.10.2026</v>
      </c>
      <c r="OA5" s="34" t="str">
        <f xml:space="preserve"> _xll.EPMOlapMemberO("[PERIODID0].[].[14686]","","31.10.2026","","000")</f>
        <v>31.10.2026</v>
      </c>
      <c r="OB5" s="34" t="str">
        <f xml:space="preserve"> _xll.EPMOlapMemberO("[PERIODID0].[].[14687]","","01.11.2026","","000")</f>
        <v>01.11.2026</v>
      </c>
      <c r="OC5" s="34" t="str">
        <f xml:space="preserve"> _xll.EPMOlapMemberO("[PERIODID0].[].[14688]","","02.11.2026","","000")</f>
        <v>02.11.2026</v>
      </c>
      <c r="OD5" s="34" t="str">
        <f xml:space="preserve"> _xll.EPMOlapMemberO("[PERIODID0].[].[14689]","","03.11.2026","","000")</f>
        <v>03.11.2026</v>
      </c>
      <c r="OE5" s="34" t="str">
        <f xml:space="preserve"> _xll.EPMOlapMemberO("[PERIODID0].[].[14690]","","04.11.2026","","000")</f>
        <v>04.11.2026</v>
      </c>
      <c r="OF5" s="34" t="str">
        <f xml:space="preserve"> _xll.EPMOlapMemberO("[PERIODID0].[].[14691]","","05.11.2026","","000")</f>
        <v>05.11.2026</v>
      </c>
      <c r="OG5" s="34" t="str">
        <f xml:space="preserve"> _xll.EPMOlapMemberO("[PERIODID0].[].[14692]","","06.11.2026","","000")</f>
        <v>06.11.2026</v>
      </c>
      <c r="OH5" s="34" t="str">
        <f xml:space="preserve"> _xll.EPMOlapMemberO("[PERIODID0].[].[14693]","","07.11.2026","","000")</f>
        <v>07.11.2026</v>
      </c>
      <c r="OI5" s="34" t="str">
        <f xml:space="preserve"> _xll.EPMOlapMemberO("[PERIODID0].[].[14694]","","08.11.2026","","000")</f>
        <v>08.11.2026</v>
      </c>
      <c r="OJ5" s="34" t="str">
        <f xml:space="preserve"> _xll.EPMOlapMemberO("[PERIODID0].[].[14695]","","09.11.2026","","000")</f>
        <v>09.11.2026</v>
      </c>
      <c r="OK5" s="34" t="str">
        <f xml:space="preserve"> _xll.EPMOlapMemberO("[PERIODID0].[].[14696]","","10.11.2026","","000")</f>
        <v>10.11.2026</v>
      </c>
      <c r="OL5" s="34" t="str">
        <f xml:space="preserve"> _xll.EPMOlapMemberO("[PERIODID0].[].[14697]","","11.11.2026","","000")</f>
        <v>11.11.2026</v>
      </c>
      <c r="OM5" s="34" t="str">
        <f xml:space="preserve"> _xll.EPMOlapMemberO("[PERIODID0].[].[14698]","","12.11.2026","","000")</f>
        <v>12.11.2026</v>
      </c>
      <c r="ON5" s="34" t="str">
        <f xml:space="preserve"> _xll.EPMOlapMemberO("[PERIODID0].[].[14699]","","13.11.2026","","000")</f>
        <v>13.11.2026</v>
      </c>
      <c r="OO5" s="34" t="str">
        <f xml:space="preserve"> _xll.EPMOlapMemberO("[PERIODID0].[].[14700]","","14.11.2026","","000")</f>
        <v>14.11.2026</v>
      </c>
      <c r="OP5" s="34" t="str">
        <f xml:space="preserve"> _xll.EPMOlapMemberO("[PERIODID0].[].[14701]","","15.11.2026","","000")</f>
        <v>15.11.2026</v>
      </c>
      <c r="OQ5" s="34" t="str">
        <f xml:space="preserve"> _xll.EPMOlapMemberO("[PERIODID0].[].[14702]","","16.11.2026","","000")</f>
        <v>16.11.2026</v>
      </c>
      <c r="OR5" s="34" t="str">
        <f xml:space="preserve"> _xll.EPMOlapMemberO("[PERIODID0].[].[14703]","","17.11.2026","","000")</f>
        <v>17.11.2026</v>
      </c>
      <c r="OS5" s="34" t="str">
        <f xml:space="preserve"> _xll.EPMOlapMemberO("[PERIODID0].[].[14704]","","18.11.2026","","000")</f>
        <v>18.11.2026</v>
      </c>
      <c r="OT5" s="34" t="str">
        <f xml:space="preserve"> _xll.EPMOlapMemberO("[PERIODID0].[].[14705]","","19.11.2026","","000")</f>
        <v>19.11.2026</v>
      </c>
      <c r="OU5" s="34" t="str">
        <f xml:space="preserve"> _xll.EPMOlapMemberO("[PERIODID0].[].[14706]","","20.11.2026","","000")</f>
        <v>20.11.2026</v>
      </c>
      <c r="OV5" s="34" t="str">
        <f xml:space="preserve"> _xll.EPMOlapMemberO("[PERIODID0].[].[14707]","","21.11.2026","","000")</f>
        <v>21.11.2026</v>
      </c>
      <c r="OW5" s="34" t="str">
        <f xml:space="preserve"> _xll.EPMOlapMemberO("[PERIODID0].[].[14708]","","22.11.2026","","000")</f>
        <v>22.11.2026</v>
      </c>
      <c r="OX5" s="34" t="str">
        <f xml:space="preserve"> _xll.EPMOlapMemberO("[PERIODID0].[].[14709]","","23.11.2026","","000")</f>
        <v>23.11.2026</v>
      </c>
      <c r="OY5" s="34" t="str">
        <f xml:space="preserve"> _xll.EPMOlapMemberO("[PERIODID0].[].[14710]","","24.11.2026","","000")</f>
        <v>24.11.2026</v>
      </c>
      <c r="OZ5" s="34" t="str">
        <f xml:space="preserve"> _xll.EPMOlapMemberO("[PERIODID0].[].[14711]","","25.11.2026","","000")</f>
        <v>25.11.2026</v>
      </c>
      <c r="PA5" s="34" t="str">
        <f xml:space="preserve"> _xll.EPMOlapMemberO("[PERIODID0].[].[14712]","","26.11.2026","","000")</f>
        <v>26.11.2026</v>
      </c>
      <c r="PB5" s="34" t="str">
        <f xml:space="preserve"> _xll.EPMOlapMemberO("[PERIODID0].[].[14713]","","27.11.2026","","000")</f>
        <v>27.11.2026</v>
      </c>
      <c r="PC5" s="34" t="str">
        <f xml:space="preserve"> _xll.EPMOlapMemberO("[PERIODID0].[].[14714]","","28.11.2026","","000")</f>
        <v>28.11.2026</v>
      </c>
      <c r="PD5" s="34" t="str">
        <f xml:space="preserve"> _xll.EPMOlapMemberO("[PERIODID0].[].[14715]","","29.11.2026","","000")</f>
        <v>29.11.2026</v>
      </c>
      <c r="PE5" s="34" t="str">
        <f xml:space="preserve"> _xll.EPMOlapMemberO("[PERIODID0].[].[14716]","","30.11.2026","","000")</f>
        <v>30.11.2026</v>
      </c>
      <c r="PF5" s="34" t="str">
        <f xml:space="preserve"> _xll.EPMOlapMemberO("[PERIODID0].[].[14717]","","01.12.2026","","000")</f>
        <v>01.12.2026</v>
      </c>
      <c r="PG5" s="34" t="str">
        <f xml:space="preserve"> _xll.EPMOlapMemberO("[PERIODID0].[].[14718]","","02.12.2026","","000")</f>
        <v>02.12.2026</v>
      </c>
      <c r="PH5" s="34" t="str">
        <f xml:space="preserve"> _xll.EPMOlapMemberO("[PERIODID0].[].[14719]","","03.12.2026","","000")</f>
        <v>03.12.2026</v>
      </c>
      <c r="PI5" s="34" t="str">
        <f xml:space="preserve"> _xll.EPMOlapMemberO("[PERIODID0].[].[14720]","","04.12.2026","","000")</f>
        <v>04.12.2026</v>
      </c>
      <c r="PJ5" s="34" t="str">
        <f xml:space="preserve"> _xll.EPMOlapMemberO("[PERIODID0].[].[14721]","","05.12.2026","","000")</f>
        <v>05.12.2026</v>
      </c>
      <c r="PK5" s="34" t="str">
        <f xml:space="preserve"> _xll.EPMOlapMemberO("[PERIODID0].[].[14722]","","06.12.2026","","000")</f>
        <v>06.12.2026</v>
      </c>
      <c r="PL5" s="34" t="str">
        <f xml:space="preserve"> _xll.EPMOlapMemberO("[PERIODID0].[].[14723]","","07.12.2026","","000")</f>
        <v>07.12.2026</v>
      </c>
      <c r="PM5" s="34" t="str">
        <f xml:space="preserve"> _xll.EPMOlapMemberO("[PERIODID0].[].[14724]","","08.12.2026","","000")</f>
        <v>08.12.2026</v>
      </c>
      <c r="PN5" s="34" t="str">
        <f xml:space="preserve"> _xll.EPMOlapMemberO("[PERIODID0].[].[14725]","","09.12.2026","","000")</f>
        <v>09.12.2026</v>
      </c>
      <c r="PO5" s="34" t="str">
        <f xml:space="preserve"> _xll.EPMOlapMemberO("[PERIODID0].[].[14726]","","10.12.2026","","000")</f>
        <v>10.12.2026</v>
      </c>
      <c r="PP5" s="34" t="str">
        <f xml:space="preserve"> _xll.EPMOlapMemberO("[PERIODID0].[].[14727]","","11.12.2026","","000")</f>
        <v>11.12.2026</v>
      </c>
      <c r="PQ5" s="34" t="str">
        <f xml:space="preserve"> _xll.EPMOlapMemberO("[PERIODID0].[].[14728]","","12.12.2026","","000")</f>
        <v>12.12.2026</v>
      </c>
      <c r="PR5" s="34" t="str">
        <f xml:space="preserve"> _xll.EPMOlapMemberO("[PERIODID0].[].[14729]","","13.12.2026","","000")</f>
        <v>13.12.2026</v>
      </c>
      <c r="PS5" s="34" t="str">
        <f xml:space="preserve"> _xll.EPMOlapMemberO("[PERIODID0].[].[14730]","","14.12.2026","","000")</f>
        <v>14.12.2026</v>
      </c>
      <c r="PT5" s="34" t="str">
        <f xml:space="preserve"> _xll.EPMOlapMemberO("[PERIODID0].[].[14731]","","15.12.2026","","000")</f>
        <v>15.12.2026</v>
      </c>
      <c r="PU5" s="34" t="str">
        <f xml:space="preserve"> _xll.EPMOlapMemberO("[PERIODID0].[].[14732]","","16.12.2026","","000")</f>
        <v>16.12.2026</v>
      </c>
      <c r="PV5" s="34" t="str">
        <f xml:space="preserve"> _xll.EPMOlapMemberO("[PERIODID0].[].[14733]","","17.12.2026","","000")</f>
        <v>17.12.2026</v>
      </c>
      <c r="PW5" s="34" t="str">
        <f xml:space="preserve"> _xll.EPMOlapMemberO("[PERIODID0].[].[14734]","","18.12.2026","","000")</f>
        <v>18.12.2026</v>
      </c>
      <c r="PX5" s="34" t="str">
        <f xml:space="preserve"> _xll.EPMOlapMemberO("[PERIODID0].[].[14735]","","19.12.2026","","000")</f>
        <v>19.12.2026</v>
      </c>
      <c r="PY5" s="34" t="str">
        <f xml:space="preserve"> _xll.EPMOlapMemberO("[PERIODID0].[].[14736]","","20.12.2026","","000")</f>
        <v>20.12.2026</v>
      </c>
      <c r="PZ5" s="34" t="str">
        <f xml:space="preserve"> _xll.EPMOlapMemberO("[PERIODID0].[].[14737]","","21.12.2026","","000")</f>
        <v>21.12.2026</v>
      </c>
      <c r="QA5" s="34" t="str">
        <f xml:space="preserve"> _xll.EPMOlapMemberO("[PERIODID0].[].[14738]","","22.12.2026","","000")</f>
        <v>22.12.2026</v>
      </c>
      <c r="QB5" s="34" t="str">
        <f xml:space="preserve"> _xll.EPMOlapMemberO("[PERIODID0].[].[14739]","","23.12.2026","","000")</f>
        <v>23.12.2026</v>
      </c>
      <c r="QC5" s="34" t="str">
        <f xml:space="preserve"> _xll.EPMOlapMemberO("[PERIODID0].[].[14740]","","24.12.2026","","000")</f>
        <v>24.12.2026</v>
      </c>
      <c r="QD5" s="34" t="str">
        <f xml:space="preserve"> _xll.EPMOlapMemberO("[PERIODID0].[].[14741]","","25.12.2026","","000")</f>
        <v>25.12.2026</v>
      </c>
      <c r="QE5" s="34" t="str">
        <f xml:space="preserve"> _xll.EPMOlapMemberO("[PERIODID0].[].[14742]","","26.12.2026","","000")</f>
        <v>26.12.2026</v>
      </c>
      <c r="QF5" s="34" t="str">
        <f xml:space="preserve"> _xll.EPMOlapMemberO("[PERIODID0].[].[14743]","","27.12.2026","","000")</f>
        <v>27.12.2026</v>
      </c>
      <c r="QG5" s="34" t="str">
        <f xml:space="preserve"> _xll.EPMOlapMemberO("[PERIODID0].[].[14744]","","28.12.2026","","000")</f>
        <v>28.12.2026</v>
      </c>
      <c r="QH5" s="34" t="str">
        <f xml:space="preserve"> _xll.EPMOlapMemberO("[PERIODID0].[].[14745]","","29.12.2026","","000")</f>
        <v>29.12.2026</v>
      </c>
      <c r="QI5" s="34" t="str">
        <f xml:space="preserve"> _xll.EPMOlapMemberO("[PERIODID0].[].[14746]","","30.12.2026","","000")</f>
        <v>30.12.2026</v>
      </c>
      <c r="QJ5" s="34" t="str">
        <f xml:space="preserve"> _xll.EPMOlapMemberO("[PERIODID0].[].[14747]","","31.12.2026","","000")</f>
        <v>31.12.2026</v>
      </c>
      <c r="QK5" s="34" t="str">
        <f xml:space="preserve"> _xll.EPMOlapMemberO("[PERIODID0].[].[14748]","","01.01.2027","","000")</f>
        <v>01.01.2027</v>
      </c>
      <c r="QL5" s="34" t="str">
        <f xml:space="preserve"> _xll.EPMOlapMemberO("[PERIODID0].[].[14749]","","02.01.2027","","000")</f>
        <v>02.01.2027</v>
      </c>
      <c r="QM5" s="34" t="str">
        <f xml:space="preserve"> _xll.EPMOlapMemberO("[PERIODID0].[].[14750]","","03.01.2027","","000")</f>
        <v>03.01.2027</v>
      </c>
      <c r="QN5" s="34" t="str">
        <f xml:space="preserve"> _xll.EPMOlapMemberO("[PERIODID0].[].[14751]","","04.01.2027","","000")</f>
        <v>04.01.2027</v>
      </c>
      <c r="QO5" s="34" t="str">
        <f xml:space="preserve"> _xll.EPMOlapMemberO("[PERIODID0].[].[14752]","","05.01.2027","","000")</f>
        <v>05.01.2027</v>
      </c>
      <c r="QP5" s="34" t="str">
        <f xml:space="preserve"> _xll.EPMOlapMemberO("[PERIODID0].[].[14753]","","06.01.2027","","000")</f>
        <v>06.01.2027</v>
      </c>
      <c r="QQ5" s="34" t="str">
        <f xml:space="preserve"> _xll.EPMOlapMemberO("[PERIODID0].[].[14754]","","07.01.2027","","000")</f>
        <v>07.01.2027</v>
      </c>
      <c r="QR5" s="34" t="str">
        <f xml:space="preserve"> _xll.EPMOlapMemberO("[PERIODID0].[].[14755]","","08.01.2027","","000")</f>
        <v>08.01.2027</v>
      </c>
      <c r="QS5" s="34" t="str">
        <f xml:space="preserve"> _xll.EPMOlapMemberO("[PERIODID0].[].[14756]","","09.01.2027","","000")</f>
        <v>09.01.2027</v>
      </c>
    </row>
    <row r="6" spans="1:461" x14ac:dyDescent="0.25">
      <c r="F6" s="82" t="str">
        <f xml:space="preserve"> _xll.EPMOlapMemberO("[PRDDESCR].[].[HELGAS GFREE MIXED GRAIN 500G]","","HELGAS GFREE MIXED GRAIN 500G","","000")</f>
        <v>HELGAS GFREE MIXED GRAIN 500G</v>
      </c>
      <c r="G6" s="82" t="str">
        <f xml:space="preserve"> _xll.EPMOlapMemberO("[PRDID].[].[168847]","","168847","","000")</f>
        <v>168847</v>
      </c>
      <c r="H6" s="82" t="str">
        <f xml:space="preserve"> _xll.EPMOlapMemberO("[LOCID].[].[6103]","","6103","","000")</f>
        <v>6103</v>
      </c>
      <c r="I6" s="82" t="str">
        <f xml:space="preserve"> _xll.EPMOlapMemberO("[LOCDESCR].[].[QBA-Canberra]","","QBA-Canberra","","000")</f>
        <v>QBA-Canberra</v>
      </c>
      <c r="J6" s="82" t="str">
        <f xml:space="preserve"> _xll.EPMOlapMemberO("[KEY_FIGURES].[].[ZGFAPPROVEDFCSTQTY]","","Approved Forecast","","000")</f>
        <v>Approved Forecast</v>
      </c>
      <c r="K6" s="83">
        <v>119.93740200000001</v>
      </c>
      <c r="L6" s="83">
        <v>107.468227</v>
      </c>
      <c r="M6" s="83">
        <v>167.06682599999999</v>
      </c>
      <c r="N6" s="83">
        <v>98.948237000000006</v>
      </c>
      <c r="O6" s="83">
        <v>182.33256600000001</v>
      </c>
      <c r="P6" s="83">
        <v>123.06513</v>
      </c>
      <c r="Q6" s="83">
        <v>118.971824</v>
      </c>
      <c r="R6" s="83">
        <v>124.381803</v>
      </c>
      <c r="S6" s="83">
        <v>110.155869</v>
      </c>
      <c r="T6" s="83">
        <v>177.304394</v>
      </c>
      <c r="U6" s="83">
        <v>100.593262</v>
      </c>
      <c r="V6" s="83">
        <v>174.912532</v>
      </c>
      <c r="W6" s="83">
        <v>115.123767</v>
      </c>
      <c r="X6" s="83">
        <v>113.918341</v>
      </c>
      <c r="Y6" s="83">
        <v>113.50588999999999</v>
      </c>
      <c r="Z6" s="83">
        <v>106.03703899999999</v>
      </c>
      <c r="AA6" s="83">
        <v>163.94247799999999</v>
      </c>
      <c r="AB6" s="83">
        <v>96.419162</v>
      </c>
      <c r="AC6" s="83">
        <v>173.201639</v>
      </c>
      <c r="AD6" s="83">
        <v>113.522645</v>
      </c>
      <c r="AE6" s="83">
        <v>110.641024</v>
      </c>
      <c r="AF6" s="83">
        <v>111.112686</v>
      </c>
      <c r="AG6" s="83">
        <v>101.759815</v>
      </c>
      <c r="AH6" s="83">
        <v>160.93383700000001</v>
      </c>
      <c r="AI6" s="83">
        <v>94.882867000000005</v>
      </c>
      <c r="AJ6" s="83">
        <v>168.92516499999999</v>
      </c>
      <c r="AK6" s="83">
        <v>111.134489</v>
      </c>
      <c r="AL6" s="83">
        <v>108.200439</v>
      </c>
      <c r="AM6" s="83">
        <v>109.94828099999999</v>
      </c>
      <c r="AN6" s="83">
        <v>99.847503000000003</v>
      </c>
      <c r="AO6" s="83">
        <v>157.83552800000001</v>
      </c>
      <c r="AP6" s="83">
        <v>91.788351000000006</v>
      </c>
      <c r="AQ6" s="83">
        <v>158.285865</v>
      </c>
      <c r="AR6" s="83">
        <v>104.05376699999999</v>
      </c>
      <c r="AS6" s="83">
        <v>100.70800199999999</v>
      </c>
      <c r="AT6" s="83">
        <v>101.13444699999999</v>
      </c>
      <c r="AU6" s="83">
        <v>93.180971999999997</v>
      </c>
      <c r="AV6" s="83">
        <v>147.85824199999999</v>
      </c>
      <c r="AW6" s="83">
        <v>87.335475000000002</v>
      </c>
      <c r="AX6" s="83">
        <v>181.12087500000001</v>
      </c>
      <c r="AY6" s="83">
        <v>119.04588</v>
      </c>
      <c r="AZ6" s="83">
        <v>113.820285</v>
      </c>
      <c r="BA6" s="83">
        <v>114.430921</v>
      </c>
      <c r="BB6" s="83">
        <v>104.74084000000001</v>
      </c>
      <c r="BC6" s="83">
        <v>166.54679999999999</v>
      </c>
      <c r="BD6" s="83">
        <v>97.917389</v>
      </c>
      <c r="BE6" s="83">
        <v>180.817488</v>
      </c>
      <c r="BF6" s="83">
        <v>117.61724599999999</v>
      </c>
      <c r="BG6" s="83">
        <v>114.35113699999999</v>
      </c>
      <c r="BH6" s="83">
        <v>117.08454</v>
      </c>
      <c r="BI6" s="83">
        <v>102.36829899999999</v>
      </c>
      <c r="BJ6" s="83">
        <v>166.21450100000001</v>
      </c>
      <c r="BK6" s="83">
        <v>98.830456999999996</v>
      </c>
      <c r="BL6" s="83">
        <v>170.094303</v>
      </c>
      <c r="BM6" s="83">
        <v>113.310425</v>
      </c>
      <c r="BN6" s="83">
        <v>112.68549899999999</v>
      </c>
      <c r="BO6" s="83">
        <v>115.239136</v>
      </c>
      <c r="BP6" s="83">
        <v>101.23269999999999</v>
      </c>
      <c r="BQ6" s="83">
        <v>165.24498800000001</v>
      </c>
      <c r="BR6" s="83">
        <v>98.057761999999997</v>
      </c>
      <c r="BS6" s="83">
        <v>178.72018399999999</v>
      </c>
      <c r="BT6" s="83">
        <v>119.07325</v>
      </c>
      <c r="BU6" s="83">
        <v>116.74562</v>
      </c>
      <c r="BV6" s="83">
        <v>118.097717</v>
      </c>
      <c r="BW6" s="83">
        <v>105.073179</v>
      </c>
      <c r="BX6" s="83">
        <v>170.93539999999999</v>
      </c>
      <c r="BY6" s="83">
        <v>101.263064</v>
      </c>
      <c r="BZ6" s="83">
        <v>178.62135599999999</v>
      </c>
      <c r="CA6" s="83">
        <v>119.146035</v>
      </c>
      <c r="CB6" s="83">
        <v>116.347432</v>
      </c>
      <c r="CC6" s="83">
        <v>118.644021</v>
      </c>
      <c r="CD6" s="83">
        <v>104.474341</v>
      </c>
      <c r="CE6" s="83">
        <v>170.50335899999999</v>
      </c>
      <c r="CF6" s="83">
        <v>100.600787</v>
      </c>
      <c r="CG6" s="83">
        <v>178.04660100000001</v>
      </c>
      <c r="CH6" s="83">
        <v>118.84898200000001</v>
      </c>
      <c r="CI6" s="83">
        <v>115.98537399999999</v>
      </c>
      <c r="CJ6" s="83">
        <v>117.92474900000001</v>
      </c>
      <c r="CK6" s="83">
        <v>103.200197</v>
      </c>
      <c r="CL6" s="83">
        <v>167.50162800000001</v>
      </c>
      <c r="CM6" s="83">
        <v>97.627484999999993</v>
      </c>
      <c r="CN6" s="83">
        <v>167.20727099999999</v>
      </c>
      <c r="CO6" s="83">
        <v>111.79175600000001</v>
      </c>
      <c r="CP6" s="83">
        <v>109.436359</v>
      </c>
      <c r="CQ6" s="83">
        <v>110.78373499999999</v>
      </c>
      <c r="CR6" s="83">
        <v>98.733672999999996</v>
      </c>
      <c r="CS6" s="83">
        <v>161.32736800000001</v>
      </c>
      <c r="CT6" s="83">
        <v>95.498273999999995</v>
      </c>
      <c r="CU6" s="83">
        <v>166.280843</v>
      </c>
      <c r="CV6" s="83">
        <v>111.016914</v>
      </c>
      <c r="CW6" s="83">
        <v>111.312207</v>
      </c>
      <c r="CX6" s="83">
        <v>113.454538</v>
      </c>
      <c r="CY6" s="83">
        <v>99.579492999999999</v>
      </c>
      <c r="CZ6" s="83">
        <v>161.71955700000001</v>
      </c>
      <c r="DA6" s="83">
        <v>95.171137999999999</v>
      </c>
      <c r="DB6" s="83">
        <v>168.623513</v>
      </c>
      <c r="DC6" s="83">
        <v>112.51404700000001</v>
      </c>
      <c r="DD6" s="83">
        <v>106.739108</v>
      </c>
      <c r="DE6" s="83">
        <v>108.607612</v>
      </c>
      <c r="DF6" s="83">
        <v>95.707346000000001</v>
      </c>
      <c r="DG6" s="83">
        <v>156.12295</v>
      </c>
      <c r="DH6" s="83">
        <v>91.403341999999995</v>
      </c>
      <c r="DI6" s="83">
        <v>168.97346200000001</v>
      </c>
      <c r="DJ6" s="83">
        <v>112.37908</v>
      </c>
      <c r="DK6" s="83">
        <v>109.948708</v>
      </c>
      <c r="DL6" s="83">
        <v>111.868258</v>
      </c>
      <c r="DM6" s="83">
        <v>98.554528000000005</v>
      </c>
      <c r="DN6" s="83">
        <v>160.135617</v>
      </c>
      <c r="DO6" s="83">
        <v>94.564160000000001</v>
      </c>
      <c r="DP6" s="83">
        <v>168.51879099999999</v>
      </c>
      <c r="DQ6" s="83">
        <v>112.097347</v>
      </c>
      <c r="DR6" s="83">
        <v>107.77913599999999</v>
      </c>
      <c r="DS6" s="83">
        <v>110.140158</v>
      </c>
      <c r="DT6" s="83">
        <v>96.672950999999998</v>
      </c>
      <c r="DU6" s="83">
        <v>157.72629699999999</v>
      </c>
      <c r="DV6" s="83">
        <v>93.051850000000002</v>
      </c>
      <c r="DW6" s="83">
        <v>175.24375000000001</v>
      </c>
      <c r="DX6" s="83">
        <v>116.715678</v>
      </c>
      <c r="DY6" s="83">
        <v>115.969196</v>
      </c>
      <c r="DZ6" s="83">
        <v>117.832004</v>
      </c>
      <c r="EA6" s="83">
        <v>104.127875</v>
      </c>
      <c r="EB6" s="83">
        <v>169.264612</v>
      </c>
      <c r="EC6" s="83">
        <v>100.27118299999999</v>
      </c>
      <c r="ED6" s="83">
        <v>171.596598</v>
      </c>
      <c r="EE6" s="83">
        <v>114.296136</v>
      </c>
      <c r="EF6" s="83">
        <v>111.717598</v>
      </c>
      <c r="EG6" s="83">
        <v>114.020484</v>
      </c>
      <c r="EH6" s="83">
        <v>100.37569000000001</v>
      </c>
      <c r="EI6" s="83">
        <v>163.84486100000001</v>
      </c>
      <c r="EJ6" s="83">
        <v>96.969071</v>
      </c>
      <c r="EK6" s="83">
        <v>181.78198</v>
      </c>
      <c r="EL6" s="83">
        <v>120.480048</v>
      </c>
      <c r="EM6" s="83">
        <v>118.18556100000001</v>
      </c>
      <c r="EN6" s="83">
        <v>120.40065300000001</v>
      </c>
      <c r="EO6" s="83">
        <v>106.115787</v>
      </c>
      <c r="EP6" s="83">
        <v>172.46168499999999</v>
      </c>
      <c r="EQ6" s="83">
        <v>102.630005</v>
      </c>
      <c r="ER6" s="83">
        <v>175.584225</v>
      </c>
      <c r="ES6" s="83">
        <v>116.695919</v>
      </c>
      <c r="ET6" s="83">
        <v>112.300701</v>
      </c>
      <c r="EU6" s="83">
        <v>113.52116700000001</v>
      </c>
      <c r="EV6" s="83">
        <v>101.78751800000001</v>
      </c>
      <c r="EW6" s="83">
        <v>166.52932799999999</v>
      </c>
      <c r="EX6" s="83">
        <v>99.740267000000003</v>
      </c>
      <c r="EY6" s="83">
        <v>168.496681</v>
      </c>
      <c r="EZ6" s="83">
        <v>111.677554</v>
      </c>
      <c r="FA6" s="83">
        <v>112.896755</v>
      </c>
      <c r="FB6" s="83">
        <v>114.215217</v>
      </c>
      <c r="FC6" s="83">
        <v>102.11928</v>
      </c>
      <c r="FD6" s="83">
        <v>166.30479700000001</v>
      </c>
      <c r="FE6" s="83">
        <v>100.528271</v>
      </c>
      <c r="FF6" s="83">
        <v>168.60673</v>
      </c>
      <c r="FG6" s="83">
        <v>112.57831299999999</v>
      </c>
      <c r="FH6" s="83">
        <v>117.35267899999999</v>
      </c>
      <c r="FI6" s="83">
        <v>120.317232</v>
      </c>
      <c r="FJ6" s="83">
        <v>104.436711</v>
      </c>
      <c r="FK6" s="83">
        <v>170.02131600000001</v>
      </c>
      <c r="FL6" s="83">
        <v>98.406768999999997</v>
      </c>
      <c r="FM6" s="83">
        <v>175.97649000000001</v>
      </c>
      <c r="FN6" s="83">
        <v>117.796987</v>
      </c>
      <c r="FO6" s="83">
        <v>105.41185299999999</v>
      </c>
      <c r="FP6" s="83">
        <v>107.119573</v>
      </c>
      <c r="FQ6" s="83">
        <v>94.350576000000004</v>
      </c>
      <c r="FR6" s="83">
        <v>153.275564</v>
      </c>
      <c r="FS6" s="83">
        <v>89.883116000000001</v>
      </c>
      <c r="FT6" s="83">
        <v>153.88409100000001</v>
      </c>
      <c r="FU6" s="83">
        <v>102.85895499999999</v>
      </c>
      <c r="FV6" s="83">
        <v>104.779372</v>
      </c>
      <c r="FW6" s="83">
        <v>105.94961600000001</v>
      </c>
      <c r="FX6" s="83">
        <v>95.038111000000001</v>
      </c>
      <c r="FY6" s="83">
        <v>155.519442</v>
      </c>
      <c r="FZ6" s="83">
        <v>93.383234999999999</v>
      </c>
      <c r="GA6" s="83">
        <v>168.03135800000001</v>
      </c>
      <c r="GB6" s="83">
        <v>111.175747</v>
      </c>
      <c r="GC6" s="83">
        <v>105.69680200000001</v>
      </c>
      <c r="GD6" s="83">
        <v>106.534819</v>
      </c>
      <c r="GE6" s="83">
        <v>95.480521999999993</v>
      </c>
      <c r="GF6" s="83">
        <v>155.497174</v>
      </c>
      <c r="GG6" s="83">
        <v>93.037520999999998</v>
      </c>
      <c r="GH6" s="83">
        <v>168.749664</v>
      </c>
      <c r="GI6" s="83">
        <v>112.555567</v>
      </c>
      <c r="GJ6" s="83">
        <v>110.208213</v>
      </c>
      <c r="GK6" s="83">
        <v>111.947017</v>
      </c>
      <c r="GL6" s="83">
        <v>99.336438000000001</v>
      </c>
      <c r="GM6" s="83">
        <v>162.28040799999999</v>
      </c>
      <c r="GN6" s="83">
        <v>96.281003999999996</v>
      </c>
      <c r="GO6" s="83">
        <v>172.038207</v>
      </c>
      <c r="GP6" s="83">
        <v>113.744276</v>
      </c>
      <c r="GQ6" s="83">
        <v>112.631072</v>
      </c>
      <c r="GR6" s="83">
        <v>113.53405600000001</v>
      </c>
      <c r="GS6" s="83">
        <v>102.35386200000001</v>
      </c>
      <c r="GT6" s="83">
        <v>166.86609799999999</v>
      </c>
      <c r="GU6" s="83">
        <v>101.348101</v>
      </c>
      <c r="GV6" s="83">
        <v>174.13036099999999</v>
      </c>
      <c r="GW6" s="83">
        <v>115.96029</v>
      </c>
      <c r="GX6" s="83">
        <v>113.52049700000001</v>
      </c>
      <c r="GY6" s="83">
        <v>115.667483</v>
      </c>
      <c r="GZ6" s="83">
        <v>102.180364</v>
      </c>
      <c r="HA6" s="83">
        <v>166.871207</v>
      </c>
      <c r="HB6" s="83">
        <v>99.050302000000002</v>
      </c>
      <c r="HC6" s="83">
        <v>164.45549299999999</v>
      </c>
      <c r="HD6" s="83">
        <v>109.20299799999999</v>
      </c>
      <c r="HE6" s="83">
        <v>111.906454</v>
      </c>
      <c r="HF6" s="83">
        <v>114.153229</v>
      </c>
      <c r="HG6" s="83">
        <v>100.019566</v>
      </c>
      <c r="HH6" s="83">
        <v>162.39316500000001</v>
      </c>
      <c r="HI6" s="83">
        <v>95.420299</v>
      </c>
      <c r="HJ6" s="83">
        <v>178.86098899999999</v>
      </c>
      <c r="HK6" s="83">
        <v>119.896187</v>
      </c>
      <c r="HL6" s="83">
        <v>107.98209199999999</v>
      </c>
      <c r="HM6" s="83">
        <v>109.730383</v>
      </c>
      <c r="HN6" s="83">
        <v>96.743655000000004</v>
      </c>
      <c r="HO6" s="83">
        <v>157.86271099999999</v>
      </c>
      <c r="HP6" s="83">
        <v>92.796649000000002</v>
      </c>
      <c r="HQ6" s="83">
        <v>177.13908699999999</v>
      </c>
      <c r="HR6" s="83">
        <v>117.775164</v>
      </c>
      <c r="HS6" s="83">
        <v>116.905959</v>
      </c>
      <c r="HT6" s="83">
        <v>118.964961</v>
      </c>
      <c r="HU6" s="83">
        <v>104.68242100000001</v>
      </c>
      <c r="HV6" s="83">
        <v>170.058481</v>
      </c>
      <c r="HW6" s="83">
        <v>100.105935</v>
      </c>
      <c r="HX6" s="83">
        <v>189.96615700000001</v>
      </c>
      <c r="HY6" s="83">
        <v>126.507358</v>
      </c>
      <c r="HZ6" s="83">
        <v>124.33257399999999</v>
      </c>
      <c r="IA6" s="83">
        <v>126.741614</v>
      </c>
      <c r="IB6" s="83">
        <v>111.911565</v>
      </c>
      <c r="IC6" s="83">
        <v>182.76471900000001</v>
      </c>
      <c r="ID6" s="83">
        <v>108.556045</v>
      </c>
      <c r="IE6" s="83">
        <v>192.27956800000001</v>
      </c>
      <c r="IF6" s="83">
        <v>127.38776900000001</v>
      </c>
      <c r="IG6" s="83">
        <v>131.34405899999999</v>
      </c>
      <c r="IH6" s="83">
        <v>134.84486999999999</v>
      </c>
      <c r="II6" s="83">
        <v>116.83287799999999</v>
      </c>
      <c r="IJ6" s="83">
        <v>189.421763</v>
      </c>
      <c r="IK6" s="83">
        <v>110.821181</v>
      </c>
      <c r="IL6" s="83">
        <v>203.45950300000001</v>
      </c>
      <c r="IM6" s="83">
        <v>135.49999299999999</v>
      </c>
      <c r="IN6" s="83">
        <v>125.744665</v>
      </c>
      <c r="IO6" s="83">
        <v>127.77151600000001</v>
      </c>
      <c r="IP6" s="83">
        <v>113.63642900000001</v>
      </c>
      <c r="IQ6" s="83">
        <v>185.778739</v>
      </c>
      <c r="IR6" s="83">
        <v>111.143377</v>
      </c>
      <c r="IS6" s="83">
        <v>187.392698</v>
      </c>
      <c r="IT6" s="83">
        <v>125.00328500000001</v>
      </c>
      <c r="IU6" s="83">
        <v>123.72139300000001</v>
      </c>
      <c r="IV6" s="83">
        <v>124.60138999999999</v>
      </c>
      <c r="IW6" s="83">
        <v>110.063694</v>
      </c>
      <c r="IX6" s="83">
        <v>178.87476000000001</v>
      </c>
      <c r="IY6" s="83">
        <v>105.218255</v>
      </c>
      <c r="IZ6" s="83">
        <v>184.54162600000001</v>
      </c>
      <c r="JA6" s="83">
        <v>123.427463</v>
      </c>
      <c r="JB6" s="83">
        <v>121.81209</v>
      </c>
      <c r="JC6" s="83">
        <v>123.890593</v>
      </c>
      <c r="JD6" s="83">
        <v>109.002292</v>
      </c>
      <c r="JE6" s="83">
        <v>177.82731799999999</v>
      </c>
      <c r="JF6" s="83">
        <v>104.478351</v>
      </c>
      <c r="JG6" s="83">
        <v>190.16291100000001</v>
      </c>
      <c r="JH6" s="83">
        <v>126.52318699999999</v>
      </c>
      <c r="JI6" s="83">
        <v>133.89127099999999</v>
      </c>
      <c r="JJ6" s="83">
        <v>137.51048399999999</v>
      </c>
      <c r="JK6" s="83">
        <v>117.33870400000001</v>
      </c>
      <c r="JL6" s="83">
        <v>189.773043</v>
      </c>
      <c r="JM6" s="83">
        <v>108.007172</v>
      </c>
      <c r="JN6" s="83">
        <v>154.77716100000001</v>
      </c>
      <c r="JO6" s="83">
        <v>169.748504</v>
      </c>
      <c r="JP6" s="83">
        <v>105.91437500000001</v>
      </c>
      <c r="JQ6" s="83">
        <v>116.259918</v>
      </c>
      <c r="JR6" s="83">
        <v>87.165622999999997</v>
      </c>
      <c r="JS6" s="83">
        <v>148.20258999999999</v>
      </c>
      <c r="JT6" s="83">
        <v>149.48633699999999</v>
      </c>
      <c r="JU6" s="83">
        <v>122.272869</v>
      </c>
      <c r="JV6" s="83">
        <v>123.393434</v>
      </c>
      <c r="JW6" s="83">
        <v>124.22732600000001</v>
      </c>
      <c r="JX6" s="83">
        <v>124.633837</v>
      </c>
      <c r="JY6" s="83">
        <v>120.473483</v>
      </c>
      <c r="JZ6" s="83">
        <v>123.729342</v>
      </c>
      <c r="KA6" s="83">
        <v>125.26815499999999</v>
      </c>
      <c r="KB6" s="83">
        <v>128.53477699999999</v>
      </c>
      <c r="KC6" s="83">
        <v>130.318555</v>
      </c>
      <c r="KD6" s="83">
        <v>132.41870800000001</v>
      </c>
      <c r="KE6" s="83">
        <v>133.39424500000001</v>
      </c>
      <c r="KF6" s="83">
        <v>128.17310800000001</v>
      </c>
      <c r="KG6" s="83">
        <v>132.371251</v>
      </c>
      <c r="KH6" s="83">
        <v>133.59589099999999</v>
      </c>
      <c r="KI6" s="83">
        <v>125.900746</v>
      </c>
      <c r="KJ6" s="83">
        <v>127.17725799999999</v>
      </c>
      <c r="KK6" s="83">
        <v>128.221205</v>
      </c>
      <c r="KL6" s="83">
        <v>128.70971399999999</v>
      </c>
      <c r="KM6" s="83">
        <v>124.082767</v>
      </c>
      <c r="KN6" s="83">
        <v>127.712538</v>
      </c>
      <c r="KO6" s="83">
        <v>129.36868999999999</v>
      </c>
      <c r="KP6" s="83">
        <v>127.780452</v>
      </c>
      <c r="KQ6" s="83">
        <v>129.537846</v>
      </c>
      <c r="KR6" s="83">
        <v>130.847523</v>
      </c>
      <c r="KS6" s="83">
        <v>131.805476</v>
      </c>
      <c r="KT6" s="83">
        <v>126.66582</v>
      </c>
      <c r="KU6" s="83">
        <v>130.797867</v>
      </c>
      <c r="KV6" s="83">
        <v>132.00700399999999</v>
      </c>
      <c r="KW6" s="83">
        <v>128.42484200000001</v>
      </c>
      <c r="KX6" s="83">
        <v>129.72780900000001</v>
      </c>
      <c r="KY6" s="83">
        <v>131.56553500000001</v>
      </c>
      <c r="KZ6" s="83">
        <v>132.05675299999999</v>
      </c>
      <c r="LA6" s="83">
        <v>127.312217</v>
      </c>
      <c r="LB6" s="83">
        <v>131.03187800000001</v>
      </c>
      <c r="LC6" s="83">
        <v>132.744857</v>
      </c>
      <c r="LD6" s="83">
        <v>124.53250199999999</v>
      </c>
      <c r="LE6" s="83">
        <v>126.18824499999999</v>
      </c>
      <c r="LF6" s="83">
        <v>127.375381</v>
      </c>
      <c r="LG6" s="83">
        <v>128.28568899999999</v>
      </c>
      <c r="LH6" s="83">
        <v>123.469134</v>
      </c>
      <c r="LI6" s="83">
        <v>127.344461</v>
      </c>
      <c r="LJ6" s="83">
        <v>128.45848000000001</v>
      </c>
      <c r="LK6" s="83">
        <v>122.441023</v>
      </c>
      <c r="LL6" s="83">
        <v>123.85284900000001</v>
      </c>
      <c r="LM6" s="83">
        <v>125.714415</v>
      </c>
      <c r="LN6" s="83">
        <v>126.27302299999999</v>
      </c>
      <c r="LO6" s="83">
        <v>121.251386</v>
      </c>
      <c r="LP6" s="83">
        <v>125.19764000000001</v>
      </c>
      <c r="LQ6" s="83">
        <v>126.951891</v>
      </c>
      <c r="LR6" s="83">
        <v>123.25813599999999</v>
      </c>
      <c r="LS6" s="83">
        <v>125.046047</v>
      </c>
      <c r="LT6" s="83">
        <v>130.79768799999999</v>
      </c>
      <c r="LU6" s="83">
        <v>131.78789900000001</v>
      </c>
      <c r="LV6" s="83">
        <v>126.485747</v>
      </c>
      <c r="LW6" s="83">
        <v>130.74891099999999</v>
      </c>
      <c r="LX6" s="83">
        <v>131.99326099999999</v>
      </c>
      <c r="LY6" s="83">
        <v>122.63845999999999</v>
      </c>
      <c r="LZ6" s="83">
        <v>123.752179</v>
      </c>
      <c r="MA6" s="83">
        <v>120.73287000000001</v>
      </c>
      <c r="MB6" s="83">
        <v>121.149511</v>
      </c>
      <c r="MC6" s="83">
        <v>116.938181</v>
      </c>
      <c r="MD6" s="83">
        <v>120.235142</v>
      </c>
      <c r="ME6" s="83">
        <v>121.785022</v>
      </c>
      <c r="MF6" s="83">
        <v>127.52961000000001</v>
      </c>
      <c r="MG6" s="83">
        <v>129.21353199999999</v>
      </c>
      <c r="MH6" s="83">
        <v>130.42385100000001</v>
      </c>
      <c r="MI6" s="83">
        <v>131.353386</v>
      </c>
      <c r="MJ6" s="83">
        <v>126.47775300000001</v>
      </c>
      <c r="MK6" s="83">
        <v>130.402548</v>
      </c>
      <c r="ML6" s="83">
        <v>131.518</v>
      </c>
      <c r="MM6" s="83">
        <v>118.26894900000001</v>
      </c>
      <c r="MN6" s="83">
        <v>119.43371399999999</v>
      </c>
      <c r="MO6" s="83">
        <v>126.71288800000001</v>
      </c>
      <c r="MP6" s="83">
        <v>127.11955500000001</v>
      </c>
      <c r="MQ6" s="83">
        <v>122.929407</v>
      </c>
      <c r="MR6" s="83">
        <v>126.207904</v>
      </c>
      <c r="MS6" s="83">
        <v>127.761922</v>
      </c>
      <c r="MT6" s="83">
        <v>118.690978</v>
      </c>
      <c r="MU6" s="83">
        <v>120.40846000000001</v>
      </c>
      <c r="MV6" s="83">
        <v>116.43513799999999</v>
      </c>
      <c r="MW6" s="83">
        <v>117.336243</v>
      </c>
      <c r="MX6" s="83">
        <v>112.33453799999999</v>
      </c>
      <c r="MY6" s="83">
        <v>116.34815999999999</v>
      </c>
      <c r="MZ6" s="83">
        <v>117.572149</v>
      </c>
      <c r="NA6" s="83">
        <v>115.635183</v>
      </c>
      <c r="NB6" s="83">
        <v>116.790295</v>
      </c>
      <c r="NC6" s="83">
        <v>118.405327</v>
      </c>
      <c r="ND6" s="83">
        <v>118.83837800000001</v>
      </c>
      <c r="NE6" s="83">
        <v>114.628438</v>
      </c>
      <c r="NF6" s="83">
        <v>117.92832300000001</v>
      </c>
      <c r="NG6" s="83">
        <v>119.452541</v>
      </c>
      <c r="NH6" s="83">
        <v>123.432345</v>
      </c>
      <c r="NI6" s="83">
        <v>125.07916899999999</v>
      </c>
      <c r="NJ6" s="83">
        <v>125.19914900000001</v>
      </c>
      <c r="NK6" s="83">
        <v>126.099503</v>
      </c>
      <c r="NL6" s="83">
        <v>121.338112</v>
      </c>
      <c r="NM6" s="83">
        <v>125.169155</v>
      </c>
      <c r="NN6" s="83">
        <v>126.269707</v>
      </c>
      <c r="NO6" s="83">
        <v>127.005613</v>
      </c>
      <c r="NP6" s="83">
        <v>128.210452</v>
      </c>
      <c r="NQ6" s="83">
        <v>131.097081</v>
      </c>
      <c r="NR6" s="83">
        <v>131.52584899999999</v>
      </c>
      <c r="NS6" s="83">
        <v>127.084301</v>
      </c>
      <c r="NT6" s="83">
        <v>130.55895200000001</v>
      </c>
      <c r="NU6" s="83">
        <v>132.20970800000001</v>
      </c>
      <c r="NV6" s="83">
        <v>124.08697100000001</v>
      </c>
      <c r="NW6" s="83">
        <v>125.70074200000001</v>
      </c>
      <c r="NX6" s="83">
        <v>126.822317</v>
      </c>
      <c r="NY6" s="83">
        <v>127.723101</v>
      </c>
      <c r="NZ6" s="83">
        <v>123.092868</v>
      </c>
      <c r="OA6" s="83">
        <v>126.82447000000001</v>
      </c>
      <c r="OB6" s="83">
        <v>127.85636700000001</v>
      </c>
      <c r="OC6" s="83">
        <v>122.125753</v>
      </c>
      <c r="OD6" s="83">
        <v>123.32588</v>
      </c>
      <c r="OE6" s="83">
        <v>131.056915</v>
      </c>
      <c r="OF6" s="83">
        <v>131.46511100000001</v>
      </c>
      <c r="OG6" s="83">
        <v>127.107592</v>
      </c>
      <c r="OH6" s="83">
        <v>130.51348400000001</v>
      </c>
      <c r="OI6" s="83">
        <v>132.15195399999999</v>
      </c>
      <c r="OJ6" s="83">
        <v>125.432203</v>
      </c>
      <c r="OK6" s="83">
        <v>127.248171</v>
      </c>
      <c r="OL6" s="83">
        <v>122.83317599999999</v>
      </c>
      <c r="OM6" s="83">
        <v>123.794602</v>
      </c>
      <c r="ON6" s="83">
        <v>118.54817199999999</v>
      </c>
      <c r="OO6" s="83">
        <v>122.76213199999999</v>
      </c>
      <c r="OP6" s="83">
        <v>124.021303</v>
      </c>
      <c r="OQ6" s="83">
        <v>111.740882</v>
      </c>
      <c r="OR6" s="83">
        <v>112.74035499999999</v>
      </c>
      <c r="OS6" s="83">
        <v>114.16956399999999</v>
      </c>
      <c r="OT6" s="83">
        <v>114.53600299999999</v>
      </c>
      <c r="OU6" s="83">
        <v>110.858228</v>
      </c>
      <c r="OV6" s="83">
        <v>113.738119</v>
      </c>
      <c r="OW6" s="83">
        <v>115.087709</v>
      </c>
      <c r="OX6" s="83">
        <v>127.622508</v>
      </c>
      <c r="OY6" s="83">
        <v>129.28577899999999</v>
      </c>
      <c r="OZ6" s="83">
        <v>128.59646000000001</v>
      </c>
      <c r="PA6" s="83">
        <v>129.50143499999999</v>
      </c>
      <c r="PB6" s="83">
        <v>124.701127</v>
      </c>
      <c r="PC6" s="83">
        <v>128.562836</v>
      </c>
      <c r="PD6" s="83">
        <v>129.67650499999999</v>
      </c>
      <c r="PE6" s="83">
        <v>126.365967</v>
      </c>
      <c r="PF6" s="83">
        <v>127.642196</v>
      </c>
      <c r="PG6" s="83">
        <v>131.71918400000001</v>
      </c>
      <c r="PH6" s="83">
        <v>132.162969</v>
      </c>
      <c r="PI6" s="83">
        <v>127.44828</v>
      </c>
      <c r="PJ6" s="83">
        <v>131.13388399999999</v>
      </c>
      <c r="PK6" s="83">
        <v>132.90336600000001</v>
      </c>
      <c r="PL6" s="83">
        <v>124.22269900000001</v>
      </c>
      <c r="PM6" s="83">
        <v>125.89194000000001</v>
      </c>
      <c r="PN6" s="83">
        <v>127.06586299999999</v>
      </c>
      <c r="PO6" s="83">
        <v>127.99404</v>
      </c>
      <c r="PP6" s="83">
        <v>123.189441</v>
      </c>
      <c r="PQ6" s="83">
        <v>127.059994</v>
      </c>
      <c r="PR6" s="83">
        <v>128.14068499999999</v>
      </c>
      <c r="PS6" s="83">
        <v>128.61994999999999</v>
      </c>
      <c r="PT6" s="83">
        <v>129.74470400000001</v>
      </c>
      <c r="PU6" s="83">
        <v>131.37262200000001</v>
      </c>
      <c r="PV6" s="83">
        <v>131.77988199999999</v>
      </c>
      <c r="PW6" s="83">
        <v>127.619569</v>
      </c>
      <c r="PX6" s="83">
        <v>130.87554600000001</v>
      </c>
      <c r="PY6" s="83">
        <v>132.41324399999999</v>
      </c>
      <c r="PZ6" s="83">
        <v>128.09518399999999</v>
      </c>
      <c r="QA6" s="83">
        <v>129.79196999999999</v>
      </c>
      <c r="QB6" s="83">
        <v>131.015095</v>
      </c>
      <c r="QC6" s="83">
        <v>131.95079999999999</v>
      </c>
      <c r="QD6" s="83">
        <v>127.03401100000001</v>
      </c>
      <c r="QE6" s="83">
        <v>130.99152000000001</v>
      </c>
      <c r="QF6" s="83">
        <v>132.11894799999999</v>
      </c>
      <c r="QG6" s="83">
        <v>126.795045</v>
      </c>
      <c r="QH6" s="83">
        <v>128.19208900000001</v>
      </c>
      <c r="QI6" s="83">
        <v>130.07338100000001</v>
      </c>
      <c r="QJ6" s="83">
        <v>130.61592300000001</v>
      </c>
      <c r="QK6" s="83">
        <v>125.603615</v>
      </c>
      <c r="QL6" s="83">
        <v>129.53890100000001</v>
      </c>
      <c r="QM6" s="83">
        <v>131.31272799999999</v>
      </c>
      <c r="QN6" s="83">
        <v>120.718818</v>
      </c>
      <c r="QO6" s="83">
        <v>122.143827</v>
      </c>
      <c r="QP6" s="83">
        <v>123.146513</v>
      </c>
      <c r="QQ6" s="83">
        <v>123.938729</v>
      </c>
      <c r="QR6" s="83">
        <v>119.836535</v>
      </c>
      <c r="QS6" s="83">
        <v>123.141176</v>
      </c>
    </row>
    <row r="7" spans="1:461" x14ac:dyDescent="0.25">
      <c r="F7" s="82" t="str">
        <f xml:space="preserve"> _xll.EPMOlapMemberO("[PRDDESCR].[].[HELGAS GFREE MIXED GRAIN 500G]","","HELGAS GFREE MIXED GRAIN 500G","","000")</f>
        <v>HELGAS GFREE MIXED GRAIN 500G</v>
      </c>
      <c r="G7" s="82" t="str">
        <f xml:space="preserve"> _xll.EPMOlapMemberO("[PRDID].[].[168847]","","168847","","000")</f>
        <v>168847</v>
      </c>
      <c r="H7" s="82" t="str">
        <f xml:space="preserve"> _xll.EPMOlapMemberO("[LOCID].[].[6104]","","6104","","000")</f>
        <v>6104</v>
      </c>
      <c r="I7" s="82" t="str">
        <f xml:space="preserve"> _xll.EPMOlapMemberO("[LOCDESCR].[].[QBA-Moorebank]","","QBA-Moorebank","","000")</f>
        <v>QBA-Moorebank</v>
      </c>
      <c r="J7" s="82" t="str">
        <f xml:space="preserve"> _xll.EPMOlapMemberO("[KEY_FIGURES].[].[ZGFAPPROVEDFCSTQTY]","","Approved Forecast","","000")</f>
        <v>Approved Forecast</v>
      </c>
      <c r="K7" s="83">
        <v>393.538343</v>
      </c>
      <c r="L7" s="83">
        <v>511.31990999999999</v>
      </c>
      <c r="M7" s="83">
        <v>312.20148699999999</v>
      </c>
      <c r="N7" s="83">
        <v>299.53942899999998</v>
      </c>
      <c r="O7" s="83">
        <v>923.59470199999998</v>
      </c>
      <c r="P7" s="83">
        <v>409.76342599999998</v>
      </c>
      <c r="Q7" s="83">
        <v>527.71422700000005</v>
      </c>
      <c r="R7" s="83">
        <v>394.61949700000002</v>
      </c>
      <c r="S7" s="83">
        <v>525.02055399999995</v>
      </c>
      <c r="T7" s="83">
        <v>306.94570700000003</v>
      </c>
      <c r="U7" s="83">
        <v>295.66791599999999</v>
      </c>
      <c r="V7" s="83">
        <v>840.56141500000001</v>
      </c>
      <c r="W7" s="83">
        <v>361.33664499999998</v>
      </c>
      <c r="X7" s="83">
        <v>475.61052999999998</v>
      </c>
      <c r="Y7" s="83">
        <v>363.42713900000001</v>
      </c>
      <c r="Z7" s="83">
        <v>484.32586400000002</v>
      </c>
      <c r="AA7" s="83">
        <v>273.18711400000001</v>
      </c>
      <c r="AB7" s="83">
        <v>260.903505</v>
      </c>
      <c r="AC7" s="83">
        <v>964.75061100000005</v>
      </c>
      <c r="AD7" s="83">
        <v>385.29048999999998</v>
      </c>
      <c r="AE7" s="83">
        <v>476.31354399999998</v>
      </c>
      <c r="AF7" s="83">
        <v>379.80543999999998</v>
      </c>
      <c r="AG7" s="83">
        <v>489.76010100000002</v>
      </c>
      <c r="AH7" s="83">
        <v>277.37213100000002</v>
      </c>
      <c r="AI7" s="83">
        <v>260.86396999999999</v>
      </c>
      <c r="AJ7" s="83">
        <v>914.39441199999999</v>
      </c>
      <c r="AK7" s="83">
        <v>379.416427</v>
      </c>
      <c r="AL7" s="83">
        <v>468.08877100000001</v>
      </c>
      <c r="AM7" s="83">
        <v>372.96014100000002</v>
      </c>
      <c r="AN7" s="83">
        <v>493.76958400000001</v>
      </c>
      <c r="AO7" s="83">
        <v>279.68805300000002</v>
      </c>
      <c r="AP7" s="83">
        <v>257.91877299999999</v>
      </c>
      <c r="AQ7" s="83">
        <v>869.28516300000001</v>
      </c>
      <c r="AR7" s="83">
        <v>371.34279400000003</v>
      </c>
      <c r="AS7" s="83">
        <v>474.05922299999997</v>
      </c>
      <c r="AT7" s="83">
        <v>365.332223</v>
      </c>
      <c r="AU7" s="83">
        <v>484.09103099999999</v>
      </c>
      <c r="AV7" s="83">
        <v>271.693985</v>
      </c>
      <c r="AW7" s="83">
        <v>255.527185</v>
      </c>
      <c r="AX7" s="83">
        <v>921.51659900000004</v>
      </c>
      <c r="AY7" s="83">
        <v>382.640129</v>
      </c>
      <c r="AZ7" s="83">
        <v>478.17015400000003</v>
      </c>
      <c r="BA7" s="83">
        <v>365.36386099999999</v>
      </c>
      <c r="BB7" s="83">
        <v>489.79718300000002</v>
      </c>
      <c r="BC7" s="83">
        <v>277.19854299999997</v>
      </c>
      <c r="BD7" s="83">
        <v>261.64795299999997</v>
      </c>
      <c r="BE7" s="83">
        <v>869.53598799999997</v>
      </c>
      <c r="BF7" s="83">
        <v>379.17537399999998</v>
      </c>
      <c r="BG7" s="83">
        <v>473.42179199999998</v>
      </c>
      <c r="BH7" s="83">
        <v>374.47363000000001</v>
      </c>
      <c r="BI7" s="83">
        <v>481.06022400000001</v>
      </c>
      <c r="BJ7" s="83">
        <v>279.38069899999999</v>
      </c>
      <c r="BK7" s="83">
        <v>262.234531</v>
      </c>
      <c r="BL7" s="83">
        <v>853.73091899999997</v>
      </c>
      <c r="BM7" s="83">
        <v>368.27232600000002</v>
      </c>
      <c r="BN7" s="83">
        <v>475.933199</v>
      </c>
      <c r="BO7" s="83">
        <v>373.27165000000002</v>
      </c>
      <c r="BP7" s="83">
        <v>490.05035199999998</v>
      </c>
      <c r="BQ7" s="83">
        <v>291.90384499999999</v>
      </c>
      <c r="BR7" s="83">
        <v>263.74242500000003</v>
      </c>
      <c r="BS7" s="83">
        <v>844.11831700000005</v>
      </c>
      <c r="BT7" s="83">
        <v>373.30011200000001</v>
      </c>
      <c r="BU7" s="83">
        <v>479.00383199999999</v>
      </c>
      <c r="BV7" s="83">
        <v>364.95682399999998</v>
      </c>
      <c r="BW7" s="83">
        <v>479.61351400000001</v>
      </c>
      <c r="BX7" s="83">
        <v>277.82972100000001</v>
      </c>
      <c r="BY7" s="83">
        <v>259.395398</v>
      </c>
      <c r="BZ7" s="83">
        <v>880.098117</v>
      </c>
      <c r="CA7" s="83">
        <v>368.98205999999999</v>
      </c>
      <c r="CB7" s="83">
        <v>483.67824300000001</v>
      </c>
      <c r="CC7" s="83">
        <v>360.75449700000001</v>
      </c>
      <c r="CD7" s="83">
        <v>483.30241799999999</v>
      </c>
      <c r="CE7" s="83">
        <v>283.60003799999998</v>
      </c>
      <c r="CF7" s="83">
        <v>265.34142400000002</v>
      </c>
      <c r="CG7" s="83">
        <v>838.25458000000003</v>
      </c>
      <c r="CH7" s="83">
        <v>371.82530300000002</v>
      </c>
      <c r="CI7" s="83">
        <v>473.14843000000002</v>
      </c>
      <c r="CJ7" s="83">
        <v>367.88632100000001</v>
      </c>
      <c r="CK7" s="83">
        <v>473.261279</v>
      </c>
      <c r="CL7" s="83">
        <v>279.369709</v>
      </c>
      <c r="CM7" s="83">
        <v>263.29805099999999</v>
      </c>
      <c r="CN7" s="83">
        <v>910.51263400000005</v>
      </c>
      <c r="CO7" s="83">
        <v>381.64727499999998</v>
      </c>
      <c r="CP7" s="83">
        <v>474.79055699999998</v>
      </c>
      <c r="CQ7" s="83">
        <v>371.11756500000001</v>
      </c>
      <c r="CR7" s="83">
        <v>488.20844799999998</v>
      </c>
      <c r="CS7" s="83">
        <v>286.69666599999999</v>
      </c>
      <c r="CT7" s="83">
        <v>262.67257000000001</v>
      </c>
      <c r="CU7" s="83">
        <v>864.85196299999996</v>
      </c>
      <c r="CV7" s="83">
        <v>376.20962600000001</v>
      </c>
      <c r="CW7" s="83">
        <v>508.27506199999999</v>
      </c>
      <c r="CX7" s="83">
        <v>375.86496699999998</v>
      </c>
      <c r="CY7" s="83">
        <v>499.60724499999998</v>
      </c>
      <c r="CZ7" s="83">
        <v>294.217602</v>
      </c>
      <c r="DA7" s="83">
        <v>275.65460999999999</v>
      </c>
      <c r="DB7" s="83">
        <v>926.82806800000003</v>
      </c>
      <c r="DC7" s="83">
        <v>383.43969499999997</v>
      </c>
      <c r="DD7" s="83">
        <v>483.32788699999998</v>
      </c>
      <c r="DE7" s="83">
        <v>364.03183100000001</v>
      </c>
      <c r="DF7" s="83">
        <v>482.91800799999999</v>
      </c>
      <c r="DG7" s="83">
        <v>287.75660800000003</v>
      </c>
      <c r="DH7" s="83">
        <v>263.83774099999999</v>
      </c>
      <c r="DI7" s="83">
        <v>844.90510200000006</v>
      </c>
      <c r="DJ7" s="83">
        <v>373.25156700000002</v>
      </c>
      <c r="DK7" s="83">
        <v>473.749505</v>
      </c>
      <c r="DL7" s="83">
        <v>368.77993300000003</v>
      </c>
      <c r="DM7" s="83">
        <v>475.10119300000002</v>
      </c>
      <c r="DN7" s="83">
        <v>275.84823</v>
      </c>
      <c r="DO7" s="83">
        <v>264.30067700000001</v>
      </c>
      <c r="DP7" s="83">
        <v>832.57843600000001</v>
      </c>
      <c r="DQ7" s="83">
        <v>380.38111700000002</v>
      </c>
      <c r="DR7" s="83">
        <v>465.16362600000002</v>
      </c>
      <c r="DS7" s="83">
        <v>363.81839100000002</v>
      </c>
      <c r="DT7" s="83">
        <v>481.127636</v>
      </c>
      <c r="DU7" s="83">
        <v>280.86273999999997</v>
      </c>
      <c r="DV7" s="83">
        <v>258.84375299999999</v>
      </c>
      <c r="DW7" s="83">
        <v>846.06770200000005</v>
      </c>
      <c r="DX7" s="83">
        <v>366.94634100000002</v>
      </c>
      <c r="DY7" s="83">
        <v>496.43097599999999</v>
      </c>
      <c r="DZ7" s="83">
        <v>368.15508399999999</v>
      </c>
      <c r="EA7" s="83">
        <v>486.79454299999998</v>
      </c>
      <c r="EB7" s="83">
        <v>289.90047299999998</v>
      </c>
      <c r="EC7" s="83">
        <v>269.31190900000001</v>
      </c>
      <c r="ED7" s="83">
        <v>891.83243300000004</v>
      </c>
      <c r="EE7" s="83">
        <v>382.24925100000002</v>
      </c>
      <c r="EF7" s="83">
        <v>493.40919100000002</v>
      </c>
      <c r="EG7" s="83">
        <v>375.925026</v>
      </c>
      <c r="EH7" s="83">
        <v>500.310453</v>
      </c>
      <c r="EI7" s="83">
        <v>290.33675699999998</v>
      </c>
      <c r="EJ7" s="83">
        <v>271.74281300000001</v>
      </c>
      <c r="EK7" s="83">
        <v>872.96475499999997</v>
      </c>
      <c r="EL7" s="83">
        <v>382.26079099999998</v>
      </c>
      <c r="EM7" s="83">
        <v>483.851516</v>
      </c>
      <c r="EN7" s="83">
        <v>379.78356200000002</v>
      </c>
      <c r="EO7" s="83">
        <v>489.27364399999999</v>
      </c>
      <c r="EP7" s="83">
        <v>285.14871900000003</v>
      </c>
      <c r="EQ7" s="83">
        <v>268.57605999999998</v>
      </c>
      <c r="ER7" s="83">
        <v>887.16968399999996</v>
      </c>
      <c r="ES7" s="83">
        <v>384.42784999999998</v>
      </c>
      <c r="ET7" s="83">
        <v>467.30180999999999</v>
      </c>
      <c r="EU7" s="83">
        <v>358.420727</v>
      </c>
      <c r="EV7" s="83">
        <v>473.09187600000001</v>
      </c>
      <c r="EW7" s="83">
        <v>282.962513</v>
      </c>
      <c r="EX7" s="83">
        <v>259.03734700000001</v>
      </c>
      <c r="EY7" s="83">
        <v>849.86662000000001</v>
      </c>
      <c r="EZ7" s="83">
        <v>375.827989</v>
      </c>
      <c r="FA7" s="83">
        <v>509.38420000000002</v>
      </c>
      <c r="FB7" s="83">
        <v>383.341431</v>
      </c>
      <c r="FC7" s="83">
        <v>506.787283</v>
      </c>
      <c r="FD7" s="83">
        <v>295.134458</v>
      </c>
      <c r="FE7" s="83">
        <v>277.34428500000001</v>
      </c>
      <c r="FF7" s="83">
        <v>844.53630699999997</v>
      </c>
      <c r="FG7" s="83">
        <v>365.19688300000001</v>
      </c>
      <c r="FH7" s="83">
        <v>488.977124</v>
      </c>
      <c r="FI7" s="83">
        <v>381.068243</v>
      </c>
      <c r="FJ7" s="83">
        <v>504.78378600000002</v>
      </c>
      <c r="FK7" s="83">
        <v>292.28850999999997</v>
      </c>
      <c r="FL7" s="83">
        <v>267.184349</v>
      </c>
      <c r="FM7" s="83">
        <v>882.18587500000001</v>
      </c>
      <c r="FN7" s="83">
        <v>391.57425699999999</v>
      </c>
      <c r="FO7" s="83">
        <v>475.36212499999999</v>
      </c>
      <c r="FP7" s="83">
        <v>369.52656200000001</v>
      </c>
      <c r="FQ7" s="83">
        <v>475.43519300000003</v>
      </c>
      <c r="FR7" s="83">
        <v>280.70215000000002</v>
      </c>
      <c r="FS7" s="83">
        <v>264.66342600000002</v>
      </c>
      <c r="FT7" s="83">
        <v>904.51316199999997</v>
      </c>
      <c r="FU7" s="83">
        <v>380.29861299999999</v>
      </c>
      <c r="FV7" s="83">
        <v>491.49901399999999</v>
      </c>
      <c r="FW7" s="83">
        <v>383.55645900000002</v>
      </c>
      <c r="FX7" s="83">
        <v>505.69570099999999</v>
      </c>
      <c r="FY7" s="83">
        <v>297.587965</v>
      </c>
      <c r="FZ7" s="83">
        <v>273.18616400000002</v>
      </c>
      <c r="GA7" s="83">
        <v>891.19924600000002</v>
      </c>
      <c r="GB7" s="83">
        <v>387.08043199999997</v>
      </c>
      <c r="GC7" s="83">
        <v>490.67793899999998</v>
      </c>
      <c r="GD7" s="83">
        <v>362.52255700000001</v>
      </c>
      <c r="GE7" s="83">
        <v>481.444953</v>
      </c>
      <c r="GF7" s="83">
        <v>283.59416499999998</v>
      </c>
      <c r="GG7" s="83">
        <v>265.37253600000003</v>
      </c>
      <c r="GH7" s="83">
        <v>875.91211999999996</v>
      </c>
      <c r="GI7" s="83">
        <v>380.16185300000001</v>
      </c>
      <c r="GJ7" s="83">
        <v>499.54375099999999</v>
      </c>
      <c r="GK7" s="83">
        <v>373.36915900000002</v>
      </c>
      <c r="GL7" s="83">
        <v>499.28713800000003</v>
      </c>
      <c r="GM7" s="83">
        <v>295.87622499999998</v>
      </c>
      <c r="GN7" s="83">
        <v>275.99378000000002</v>
      </c>
      <c r="GO7" s="83">
        <v>876.14983400000006</v>
      </c>
      <c r="GP7" s="83">
        <v>389.46162800000002</v>
      </c>
      <c r="GQ7" s="83">
        <v>483.19989900000002</v>
      </c>
      <c r="GR7" s="83">
        <v>381.38946299999998</v>
      </c>
      <c r="GS7" s="83">
        <v>489.01452899999998</v>
      </c>
      <c r="GT7" s="83">
        <v>283.25281100000001</v>
      </c>
      <c r="GU7" s="83">
        <v>269.45571000000001</v>
      </c>
      <c r="GV7" s="83">
        <v>876.92406500000004</v>
      </c>
      <c r="GW7" s="83">
        <v>369.02904699999999</v>
      </c>
      <c r="GX7" s="83">
        <v>475.26704599999999</v>
      </c>
      <c r="GY7" s="83">
        <v>363.66013099999998</v>
      </c>
      <c r="GZ7" s="83">
        <v>482.82639699999999</v>
      </c>
      <c r="HA7" s="83">
        <v>285.957335</v>
      </c>
      <c r="HB7" s="83">
        <v>263.531475</v>
      </c>
      <c r="HC7" s="83">
        <v>890.22036200000002</v>
      </c>
      <c r="HD7" s="83">
        <v>388.514994</v>
      </c>
      <c r="HE7" s="83">
        <v>513.48457399999995</v>
      </c>
      <c r="HF7" s="83">
        <v>393.06172299999997</v>
      </c>
      <c r="HG7" s="83">
        <v>515.003827</v>
      </c>
      <c r="HH7" s="83">
        <v>306.87741299999999</v>
      </c>
      <c r="HI7" s="83">
        <v>277.372231</v>
      </c>
      <c r="HJ7" s="83">
        <v>945.95962099999997</v>
      </c>
      <c r="HK7" s="83">
        <v>396.62006500000001</v>
      </c>
      <c r="HL7" s="83">
        <v>486.01458200000002</v>
      </c>
      <c r="HM7" s="83">
        <v>369.066532</v>
      </c>
      <c r="HN7" s="83">
        <v>491.467038</v>
      </c>
      <c r="HO7" s="83">
        <v>286.54884099999998</v>
      </c>
      <c r="HP7" s="83">
        <v>267.08199100000002</v>
      </c>
      <c r="HQ7" s="83">
        <v>880.13574000000006</v>
      </c>
      <c r="HR7" s="83">
        <v>411.75745899999998</v>
      </c>
      <c r="HS7" s="83">
        <v>516.79863999999998</v>
      </c>
      <c r="HT7" s="83">
        <v>414.54323399999998</v>
      </c>
      <c r="HU7" s="83">
        <v>532.32981800000005</v>
      </c>
      <c r="HV7" s="83">
        <v>307.70040799999998</v>
      </c>
      <c r="HW7" s="83">
        <v>289.82696800000002</v>
      </c>
      <c r="HX7" s="83">
        <v>950.80064000000004</v>
      </c>
      <c r="HY7" s="83">
        <v>400.80943000000002</v>
      </c>
      <c r="HZ7" s="83">
        <v>513.469515</v>
      </c>
      <c r="IA7" s="83">
        <v>398.68544500000002</v>
      </c>
      <c r="IB7" s="83">
        <v>526.05769399999997</v>
      </c>
      <c r="IC7" s="83">
        <v>316.19844399999999</v>
      </c>
      <c r="ID7" s="83">
        <v>285.71473300000002</v>
      </c>
      <c r="IE7" s="83">
        <v>933.70404099999996</v>
      </c>
      <c r="IF7" s="83">
        <v>415.791358</v>
      </c>
      <c r="IG7" s="83">
        <v>543.88187700000003</v>
      </c>
      <c r="IH7" s="83">
        <v>427.27471600000001</v>
      </c>
      <c r="II7" s="83">
        <v>558.24547299999995</v>
      </c>
      <c r="IJ7" s="83">
        <v>322.39625000000001</v>
      </c>
      <c r="IK7" s="83">
        <v>294.65219999999999</v>
      </c>
      <c r="IL7" s="83">
        <v>891.07576700000004</v>
      </c>
      <c r="IM7" s="83">
        <v>400.66591799999998</v>
      </c>
      <c r="IN7" s="83">
        <v>491.84405800000002</v>
      </c>
      <c r="IO7" s="83">
        <v>376.67448400000001</v>
      </c>
      <c r="IP7" s="83">
        <v>502.68274200000002</v>
      </c>
      <c r="IQ7" s="83">
        <v>291.147221</v>
      </c>
      <c r="IR7" s="83">
        <v>271.22110199999997</v>
      </c>
      <c r="IS7" s="83">
        <v>895.11242500000003</v>
      </c>
      <c r="IT7" s="83">
        <v>400.00400200000001</v>
      </c>
      <c r="IU7" s="83">
        <v>517.42920300000003</v>
      </c>
      <c r="IV7" s="83">
        <v>407.80703899999997</v>
      </c>
      <c r="IW7" s="83">
        <v>523.27293999999995</v>
      </c>
      <c r="IX7" s="83">
        <v>309.36021699999998</v>
      </c>
      <c r="IY7" s="83">
        <v>289.67563699999999</v>
      </c>
      <c r="IZ7" s="83">
        <v>988.29704500000003</v>
      </c>
      <c r="JA7" s="83">
        <v>397.70647500000001</v>
      </c>
      <c r="JB7" s="83">
        <v>486.22159699999997</v>
      </c>
      <c r="JC7" s="83">
        <v>386.27785699999998</v>
      </c>
      <c r="JD7" s="83">
        <v>504.296761</v>
      </c>
      <c r="JE7" s="83">
        <v>296.84850799999998</v>
      </c>
      <c r="JF7" s="83">
        <v>266.60847799999999</v>
      </c>
      <c r="JG7" s="83">
        <v>905.97912799999995</v>
      </c>
      <c r="JH7" s="83">
        <v>388.89173699999998</v>
      </c>
      <c r="JI7" s="83">
        <v>515.45118500000001</v>
      </c>
      <c r="JJ7" s="83">
        <v>414.776051</v>
      </c>
      <c r="JK7" s="83">
        <v>538.318715</v>
      </c>
      <c r="JL7" s="83">
        <v>311.53983599999998</v>
      </c>
      <c r="JM7" s="83">
        <v>274.671111</v>
      </c>
      <c r="JN7" s="83">
        <v>575.80519800000002</v>
      </c>
      <c r="JO7" s="83">
        <v>408.54223500000001</v>
      </c>
      <c r="JP7" s="83">
        <v>421.65095200000002</v>
      </c>
      <c r="JQ7" s="83">
        <v>323.22797100000003</v>
      </c>
      <c r="JR7" s="83">
        <v>402.03650299999998</v>
      </c>
      <c r="JS7" s="83">
        <v>593.64867800000002</v>
      </c>
      <c r="JT7" s="83">
        <v>587.16218500000002</v>
      </c>
      <c r="JU7" s="83">
        <v>442.125585</v>
      </c>
      <c r="JV7" s="83">
        <v>466.02017699999999</v>
      </c>
      <c r="JW7" s="83">
        <v>461.10592000000003</v>
      </c>
      <c r="JX7" s="83">
        <v>491.97948000000002</v>
      </c>
      <c r="JY7" s="83">
        <v>452.30382800000001</v>
      </c>
      <c r="JZ7" s="83">
        <v>468.98215499999998</v>
      </c>
      <c r="KA7" s="83">
        <v>464.282758</v>
      </c>
      <c r="KB7" s="83">
        <v>461.20499699999999</v>
      </c>
      <c r="KC7" s="83">
        <v>476.43806699999999</v>
      </c>
      <c r="KD7" s="83">
        <v>471.46156100000002</v>
      </c>
      <c r="KE7" s="83">
        <v>491.76268800000003</v>
      </c>
      <c r="KF7" s="83">
        <v>466.036158</v>
      </c>
      <c r="KG7" s="83">
        <v>490.43819000000002</v>
      </c>
      <c r="KH7" s="83">
        <v>473.665414</v>
      </c>
      <c r="KI7" s="83">
        <v>434.45030300000002</v>
      </c>
      <c r="KJ7" s="83">
        <v>451.93143900000001</v>
      </c>
      <c r="KK7" s="83">
        <v>470.77281099999999</v>
      </c>
      <c r="KL7" s="83">
        <v>468.25319999999999</v>
      </c>
      <c r="KM7" s="83">
        <v>443.14386100000002</v>
      </c>
      <c r="KN7" s="83">
        <v>473.80891500000001</v>
      </c>
      <c r="KO7" s="83">
        <v>467.35469999999998</v>
      </c>
      <c r="KP7" s="83">
        <v>445.93082099999998</v>
      </c>
      <c r="KQ7" s="83">
        <v>460.65040699999997</v>
      </c>
      <c r="KR7" s="83">
        <v>466.32863900000001</v>
      </c>
      <c r="KS7" s="83">
        <v>478.60205100000002</v>
      </c>
      <c r="KT7" s="83">
        <v>456.64622000000003</v>
      </c>
      <c r="KU7" s="83">
        <v>474.507586</v>
      </c>
      <c r="KV7" s="83">
        <v>465.52552400000002</v>
      </c>
      <c r="KW7" s="83">
        <v>449.94731899999999</v>
      </c>
      <c r="KX7" s="83">
        <v>471.52315499999997</v>
      </c>
      <c r="KY7" s="83">
        <v>465.29144100000002</v>
      </c>
      <c r="KZ7" s="83">
        <v>489.50215600000001</v>
      </c>
      <c r="LA7" s="83">
        <v>451.39342299999998</v>
      </c>
      <c r="LB7" s="83">
        <v>472.59269399999999</v>
      </c>
      <c r="LC7" s="83">
        <v>467.46025800000001</v>
      </c>
      <c r="LD7" s="83">
        <v>446.29713500000003</v>
      </c>
      <c r="LE7" s="83">
        <v>463.00043899999997</v>
      </c>
      <c r="LF7" s="83">
        <v>470.80561399999999</v>
      </c>
      <c r="LG7" s="83">
        <v>485.10343699999999</v>
      </c>
      <c r="LH7" s="83">
        <v>459.444321</v>
      </c>
      <c r="LI7" s="83">
        <v>491.061441</v>
      </c>
      <c r="LJ7" s="83">
        <v>478.875902</v>
      </c>
      <c r="LK7" s="83">
        <v>425.62099699999999</v>
      </c>
      <c r="LL7" s="83">
        <v>443.06462699999997</v>
      </c>
      <c r="LM7" s="83">
        <v>447.43536</v>
      </c>
      <c r="LN7" s="83">
        <v>456.260424</v>
      </c>
      <c r="LO7" s="83">
        <v>431.42245800000001</v>
      </c>
      <c r="LP7" s="83">
        <v>449.37683299999998</v>
      </c>
      <c r="LQ7" s="83">
        <v>440.32908099999997</v>
      </c>
      <c r="LR7" s="83">
        <v>426.26739900000001</v>
      </c>
      <c r="LS7" s="83">
        <v>437.87545799999998</v>
      </c>
      <c r="LT7" s="83">
        <v>462.763623</v>
      </c>
      <c r="LU7" s="83">
        <v>469.23745300000002</v>
      </c>
      <c r="LV7" s="83">
        <v>449.27619700000002</v>
      </c>
      <c r="LW7" s="83">
        <v>469.23965900000002</v>
      </c>
      <c r="LX7" s="83">
        <v>460.52774199999999</v>
      </c>
      <c r="LY7" s="83">
        <v>456.40894600000001</v>
      </c>
      <c r="LZ7" s="83">
        <v>479.835756</v>
      </c>
      <c r="MA7" s="83">
        <v>469.018666</v>
      </c>
      <c r="MB7" s="83">
        <v>487.78276099999999</v>
      </c>
      <c r="MC7" s="83">
        <v>450.41682400000002</v>
      </c>
      <c r="MD7" s="83">
        <v>478.14560899999998</v>
      </c>
      <c r="ME7" s="83">
        <v>476.706141</v>
      </c>
      <c r="MF7" s="83">
        <v>476.05300799999998</v>
      </c>
      <c r="MG7" s="83">
        <v>493.73596700000002</v>
      </c>
      <c r="MH7" s="83">
        <v>484.09537</v>
      </c>
      <c r="MI7" s="83">
        <v>511.68026600000002</v>
      </c>
      <c r="MJ7" s="83">
        <v>483.82333699999998</v>
      </c>
      <c r="MK7" s="83">
        <v>504.48205200000001</v>
      </c>
      <c r="ML7" s="83">
        <v>487.64032400000002</v>
      </c>
      <c r="MM7" s="83">
        <v>431.16271499999999</v>
      </c>
      <c r="MN7" s="83">
        <v>446.52605299999999</v>
      </c>
      <c r="MO7" s="83">
        <v>479.16992399999998</v>
      </c>
      <c r="MP7" s="83">
        <v>480.90726000000001</v>
      </c>
      <c r="MQ7" s="83">
        <v>456.20442400000002</v>
      </c>
      <c r="MR7" s="83">
        <v>479.62822199999999</v>
      </c>
      <c r="MS7" s="83">
        <v>469.424058</v>
      </c>
      <c r="MT7" s="83">
        <v>434.53106400000001</v>
      </c>
      <c r="MU7" s="83">
        <v>447.68394000000001</v>
      </c>
      <c r="MV7" s="83">
        <v>443.51729899999998</v>
      </c>
      <c r="MW7" s="83">
        <v>445.850101</v>
      </c>
      <c r="MX7" s="83">
        <v>425.45536700000002</v>
      </c>
      <c r="MY7" s="83">
        <v>451.927885</v>
      </c>
      <c r="MZ7" s="83">
        <v>446.90004499999998</v>
      </c>
      <c r="NA7" s="83">
        <v>409.19206100000002</v>
      </c>
      <c r="NB7" s="83">
        <v>430.26728600000001</v>
      </c>
      <c r="NC7" s="83">
        <v>423.174488</v>
      </c>
      <c r="ND7" s="83">
        <v>451.39845400000002</v>
      </c>
      <c r="NE7" s="83">
        <v>416.130357</v>
      </c>
      <c r="NF7" s="83">
        <v>429.716655</v>
      </c>
      <c r="NG7" s="83">
        <v>425.79319900000002</v>
      </c>
      <c r="NH7" s="83">
        <v>434.33328599999999</v>
      </c>
      <c r="NI7" s="83">
        <v>449.21815199999998</v>
      </c>
      <c r="NJ7" s="83">
        <v>439.29456599999997</v>
      </c>
      <c r="NK7" s="83">
        <v>456.118788</v>
      </c>
      <c r="NL7" s="83">
        <v>432.43764399999998</v>
      </c>
      <c r="NM7" s="83">
        <v>456.19839400000001</v>
      </c>
      <c r="NN7" s="83">
        <v>441.34348</v>
      </c>
      <c r="NO7" s="83">
        <v>433.467445</v>
      </c>
      <c r="NP7" s="83">
        <v>451.43419399999999</v>
      </c>
      <c r="NQ7" s="83">
        <v>479.21362599999998</v>
      </c>
      <c r="NR7" s="83">
        <v>475.097553</v>
      </c>
      <c r="NS7" s="83">
        <v>449.612392</v>
      </c>
      <c r="NT7" s="83">
        <v>483.29110800000001</v>
      </c>
      <c r="NU7" s="83">
        <v>476.59499099999999</v>
      </c>
      <c r="NV7" s="83">
        <v>426.29940599999998</v>
      </c>
      <c r="NW7" s="83">
        <v>440.81773500000003</v>
      </c>
      <c r="NX7" s="83">
        <v>446.074163</v>
      </c>
      <c r="NY7" s="83">
        <v>458.402086</v>
      </c>
      <c r="NZ7" s="83">
        <v>436.77645000000001</v>
      </c>
      <c r="OA7" s="83">
        <v>454.02454799999998</v>
      </c>
      <c r="OB7" s="83">
        <v>445.33700099999999</v>
      </c>
      <c r="OC7" s="83">
        <v>439.49659000000003</v>
      </c>
      <c r="OD7" s="83">
        <v>459.33871499999998</v>
      </c>
      <c r="OE7" s="83">
        <v>477.252566</v>
      </c>
      <c r="OF7" s="83">
        <v>502.50957099999999</v>
      </c>
      <c r="OG7" s="83">
        <v>464.50637899999998</v>
      </c>
      <c r="OH7" s="83">
        <v>483.846926</v>
      </c>
      <c r="OI7" s="83">
        <v>479.29919000000001</v>
      </c>
      <c r="OJ7" s="83">
        <v>456.06358499999999</v>
      </c>
      <c r="OK7" s="83">
        <v>473.74135899999999</v>
      </c>
      <c r="OL7" s="83">
        <v>459.20163500000001</v>
      </c>
      <c r="OM7" s="83">
        <v>470.912935</v>
      </c>
      <c r="ON7" s="83">
        <v>445.51957499999997</v>
      </c>
      <c r="OO7" s="83">
        <v>479.79877699999997</v>
      </c>
      <c r="OP7" s="83">
        <v>468.03351300000003</v>
      </c>
      <c r="OQ7" s="83">
        <v>425.52220599999998</v>
      </c>
      <c r="OR7" s="83">
        <v>443.36377199999998</v>
      </c>
      <c r="OS7" s="83">
        <v>447.51228200000003</v>
      </c>
      <c r="OT7" s="83">
        <v>456.22343100000001</v>
      </c>
      <c r="OU7" s="83">
        <v>431.30892699999998</v>
      </c>
      <c r="OV7" s="83">
        <v>450.18932000000001</v>
      </c>
      <c r="OW7" s="83">
        <v>440.836636</v>
      </c>
      <c r="OX7" s="83">
        <v>446.42854999999997</v>
      </c>
      <c r="OY7" s="83">
        <v>458.12547599999999</v>
      </c>
      <c r="OZ7" s="83">
        <v>457.44606099999999</v>
      </c>
      <c r="PA7" s="83">
        <v>463.69813399999998</v>
      </c>
      <c r="PB7" s="83">
        <v>443.88586700000002</v>
      </c>
      <c r="PC7" s="83">
        <v>464.07467200000002</v>
      </c>
      <c r="PD7" s="83">
        <v>455.36444599999999</v>
      </c>
      <c r="PE7" s="83">
        <v>429.52491099999997</v>
      </c>
      <c r="PF7" s="83">
        <v>452.34795500000001</v>
      </c>
      <c r="PG7" s="83">
        <v>470.66006900000002</v>
      </c>
      <c r="PH7" s="83">
        <v>488.58657399999998</v>
      </c>
      <c r="PI7" s="83">
        <v>450.080355</v>
      </c>
      <c r="PJ7" s="83">
        <v>480.77417100000002</v>
      </c>
      <c r="PK7" s="83">
        <v>479.14298500000001</v>
      </c>
      <c r="PL7" s="83">
        <v>436.44397800000002</v>
      </c>
      <c r="PM7" s="83">
        <v>454.08709199999998</v>
      </c>
      <c r="PN7" s="83">
        <v>445.50845500000003</v>
      </c>
      <c r="PO7" s="83">
        <v>469.94098400000001</v>
      </c>
      <c r="PP7" s="83">
        <v>443.74620800000002</v>
      </c>
      <c r="PQ7" s="83">
        <v>464.268013</v>
      </c>
      <c r="PR7" s="83">
        <v>449.01110999999997</v>
      </c>
      <c r="PS7" s="83">
        <v>426.64738299999999</v>
      </c>
      <c r="PT7" s="83">
        <v>442.269428</v>
      </c>
      <c r="PU7" s="83">
        <v>454.657983</v>
      </c>
      <c r="PV7" s="83">
        <v>456.28716100000003</v>
      </c>
      <c r="PW7" s="83">
        <v>432.896233</v>
      </c>
      <c r="PX7" s="83">
        <v>456.595687</v>
      </c>
      <c r="PY7" s="83">
        <v>446.64956999999998</v>
      </c>
      <c r="PZ7" s="83">
        <v>432.92032699999999</v>
      </c>
      <c r="QA7" s="83">
        <v>446.05308300000002</v>
      </c>
      <c r="QB7" s="83">
        <v>461.639228</v>
      </c>
      <c r="QC7" s="83">
        <v>464.09598599999998</v>
      </c>
      <c r="QD7" s="83">
        <v>443.44260300000002</v>
      </c>
      <c r="QE7" s="83">
        <v>469.98309999999998</v>
      </c>
      <c r="QF7" s="83">
        <v>464.79411199999998</v>
      </c>
      <c r="QG7" s="83">
        <v>422.33443699999998</v>
      </c>
      <c r="QH7" s="83">
        <v>444.07827600000002</v>
      </c>
      <c r="QI7" s="83">
        <v>436.818625</v>
      </c>
      <c r="QJ7" s="83">
        <v>465.83009099999998</v>
      </c>
      <c r="QK7" s="83">
        <v>429.36804599999999</v>
      </c>
      <c r="QL7" s="83">
        <v>443.63310200000001</v>
      </c>
      <c r="QM7" s="83">
        <v>439.56384000000003</v>
      </c>
      <c r="QN7" s="83">
        <v>442.56046300000003</v>
      </c>
      <c r="QO7" s="83">
        <v>457.42157900000001</v>
      </c>
      <c r="QP7" s="83">
        <v>456.13334400000002</v>
      </c>
      <c r="QQ7" s="83">
        <v>474.693805</v>
      </c>
      <c r="QR7" s="83">
        <v>450.33436399999999</v>
      </c>
      <c r="QS7" s="83">
        <v>473.86945500000002</v>
      </c>
    </row>
    <row r="8" spans="1:461" x14ac:dyDescent="0.25">
      <c r="F8" s="82" t="str">
        <f xml:space="preserve"> _xll.EPMOlapMemberO("[PRDDESCR].[].[HELGAS GFREE MIXED GRAIN 500G]","","HELGAS GFREE MIXED GRAIN 500G","","000")</f>
        <v>HELGAS GFREE MIXED GRAIN 500G</v>
      </c>
      <c r="G8" s="82" t="str">
        <f xml:space="preserve"> _xll.EPMOlapMemberO("[PRDID].[].[168847]","","168847","","000")</f>
        <v>168847</v>
      </c>
      <c r="H8" s="82" t="str">
        <f xml:space="preserve"> _xll.EPMOlapMemberO("[LOCID].[].[6105]","","6105","","000")</f>
        <v>6105</v>
      </c>
      <c r="I8" s="82" t="str">
        <f xml:space="preserve"> _xll.EPMOlapMemberO("[LOCDESCR].[].[QBA-Rydalmere]","","QBA-Rydalmere","","000")</f>
        <v>QBA-Rydalmere</v>
      </c>
      <c r="J8" s="82" t="str">
        <f xml:space="preserve"> _xll.EPMOlapMemberO("[KEY_FIGURES].[].[ZGFAPPROVEDFCSTQTY]","","Approved Forecast","","000")</f>
        <v>Approved Forecast</v>
      </c>
      <c r="K8" s="83">
        <v>305.43712799999997</v>
      </c>
      <c r="L8" s="83">
        <v>252.231694</v>
      </c>
      <c r="M8" s="83">
        <v>363.22984200000002</v>
      </c>
      <c r="N8" s="83">
        <v>228.60651100000001</v>
      </c>
      <c r="O8" s="83">
        <v>385.699951</v>
      </c>
      <c r="P8" s="83">
        <v>351.814302</v>
      </c>
      <c r="Q8" s="83">
        <v>221.185742</v>
      </c>
      <c r="R8" s="83">
        <v>284.80444599999998</v>
      </c>
      <c r="S8" s="83">
        <v>245.01302100000001</v>
      </c>
      <c r="T8" s="83">
        <v>356.24791599999998</v>
      </c>
      <c r="U8" s="83">
        <v>219.481987</v>
      </c>
      <c r="V8" s="83">
        <v>381.94757900000002</v>
      </c>
      <c r="W8" s="83">
        <v>351.66974800000003</v>
      </c>
      <c r="X8" s="83">
        <v>224.598761</v>
      </c>
      <c r="Y8" s="83">
        <v>290.78886299999999</v>
      </c>
      <c r="Z8" s="83">
        <v>249.44924700000001</v>
      </c>
      <c r="AA8" s="83">
        <v>349.93595199999999</v>
      </c>
      <c r="AB8" s="83">
        <v>222.356843</v>
      </c>
      <c r="AC8" s="83">
        <v>399.03618399999999</v>
      </c>
      <c r="AD8" s="83">
        <v>377.170613</v>
      </c>
      <c r="AE8" s="83">
        <v>228.056881</v>
      </c>
      <c r="AF8" s="83">
        <v>292.78272399999997</v>
      </c>
      <c r="AG8" s="83">
        <v>245.748107</v>
      </c>
      <c r="AH8" s="83">
        <v>359.18221799999998</v>
      </c>
      <c r="AI8" s="83">
        <v>219.42511300000001</v>
      </c>
      <c r="AJ8" s="83">
        <v>413.345439</v>
      </c>
      <c r="AK8" s="83">
        <v>352.80154199999998</v>
      </c>
      <c r="AL8" s="83">
        <v>216.216454</v>
      </c>
      <c r="AM8" s="83">
        <v>287.65240299999999</v>
      </c>
      <c r="AN8" s="83">
        <v>236.70318900000001</v>
      </c>
      <c r="AO8" s="83">
        <v>358.27420899999998</v>
      </c>
      <c r="AP8" s="83">
        <v>216.24659299999999</v>
      </c>
      <c r="AQ8" s="83">
        <v>412.14269899999999</v>
      </c>
      <c r="AR8" s="83">
        <v>348.639071</v>
      </c>
      <c r="AS8" s="83">
        <v>216.402593</v>
      </c>
      <c r="AT8" s="83">
        <v>285.59372999999999</v>
      </c>
      <c r="AU8" s="83">
        <v>234.61037200000001</v>
      </c>
      <c r="AV8" s="83">
        <v>353.24787900000001</v>
      </c>
      <c r="AW8" s="83">
        <v>212.36584999999999</v>
      </c>
      <c r="AX8" s="83">
        <v>400.53657600000003</v>
      </c>
      <c r="AY8" s="83">
        <v>364.457381</v>
      </c>
      <c r="AZ8" s="83">
        <v>223.54385400000001</v>
      </c>
      <c r="BA8" s="83">
        <v>289.35079899999999</v>
      </c>
      <c r="BB8" s="83">
        <v>243.794161</v>
      </c>
      <c r="BC8" s="83">
        <v>349.942812</v>
      </c>
      <c r="BD8" s="83">
        <v>217.23741699999999</v>
      </c>
      <c r="BE8" s="83">
        <v>407.30961600000001</v>
      </c>
      <c r="BF8" s="83">
        <v>368.21603900000002</v>
      </c>
      <c r="BG8" s="83">
        <v>232.99183300000001</v>
      </c>
      <c r="BH8" s="83">
        <v>295.76694900000001</v>
      </c>
      <c r="BI8" s="83">
        <v>247.79289299999999</v>
      </c>
      <c r="BJ8" s="83">
        <v>363.087354</v>
      </c>
      <c r="BK8" s="83">
        <v>230.56804199999999</v>
      </c>
      <c r="BL8" s="83">
        <v>408.627456</v>
      </c>
      <c r="BM8" s="83">
        <v>358.72476999999998</v>
      </c>
      <c r="BN8" s="83">
        <v>231.728274</v>
      </c>
      <c r="BO8" s="83">
        <v>294.37518299999999</v>
      </c>
      <c r="BP8" s="83">
        <v>250.670525</v>
      </c>
      <c r="BQ8" s="83">
        <v>356.75958200000002</v>
      </c>
      <c r="BR8" s="83">
        <v>243.599616</v>
      </c>
      <c r="BS8" s="83">
        <v>400.937116</v>
      </c>
      <c r="BT8" s="83">
        <v>365.25613800000002</v>
      </c>
      <c r="BU8" s="83">
        <v>234.481426</v>
      </c>
      <c r="BV8" s="83">
        <v>293.93368199999998</v>
      </c>
      <c r="BW8" s="83">
        <v>256.87453900000003</v>
      </c>
      <c r="BX8" s="83">
        <v>357.65679999999998</v>
      </c>
      <c r="BY8" s="83">
        <v>248.364183</v>
      </c>
      <c r="BZ8" s="83">
        <v>356.42942199999999</v>
      </c>
      <c r="CA8" s="83">
        <v>317.85007000000002</v>
      </c>
      <c r="CB8" s="83">
        <v>207.75852699999999</v>
      </c>
      <c r="CC8" s="83">
        <v>258.25008800000001</v>
      </c>
      <c r="CD8" s="83">
        <v>224.30184700000001</v>
      </c>
      <c r="CE8" s="83">
        <v>305.15867200000002</v>
      </c>
      <c r="CF8" s="83">
        <v>201.39621700000001</v>
      </c>
      <c r="CG8" s="83">
        <v>354.39908500000001</v>
      </c>
      <c r="CH8" s="83">
        <v>320.09220099999999</v>
      </c>
      <c r="CI8" s="83">
        <v>203.20010400000001</v>
      </c>
      <c r="CJ8" s="83">
        <v>261.08160700000002</v>
      </c>
      <c r="CK8" s="83">
        <v>220.945581</v>
      </c>
      <c r="CL8" s="83">
        <v>312.338055</v>
      </c>
      <c r="CM8" s="83">
        <v>200.95384899999999</v>
      </c>
      <c r="CN8" s="83">
        <v>360.72594800000002</v>
      </c>
      <c r="CO8" s="83">
        <v>330.71964700000001</v>
      </c>
      <c r="CP8" s="83">
        <v>207.93870000000001</v>
      </c>
      <c r="CQ8" s="83">
        <v>264.37749300000002</v>
      </c>
      <c r="CR8" s="83">
        <v>228.86928399999999</v>
      </c>
      <c r="CS8" s="83">
        <v>319.90407199999999</v>
      </c>
      <c r="CT8" s="83">
        <v>212.11699999999999</v>
      </c>
      <c r="CU8" s="83">
        <v>372.65402599999999</v>
      </c>
      <c r="CV8" s="83">
        <v>358.93941599999999</v>
      </c>
      <c r="CW8" s="83">
        <v>216.933774</v>
      </c>
      <c r="CX8" s="83">
        <v>278.75038899999998</v>
      </c>
      <c r="CY8" s="83">
        <v>235.03320600000001</v>
      </c>
      <c r="CZ8" s="83">
        <v>347.09607399999999</v>
      </c>
      <c r="DA8" s="83">
        <v>211.655328</v>
      </c>
      <c r="DB8" s="83">
        <v>366.60969299999999</v>
      </c>
      <c r="DC8" s="83">
        <v>333.83864799999998</v>
      </c>
      <c r="DD8" s="83">
        <v>200.06225699999999</v>
      </c>
      <c r="DE8" s="83">
        <v>266.78965099999999</v>
      </c>
      <c r="DF8" s="83">
        <v>223.03026199999999</v>
      </c>
      <c r="DG8" s="83">
        <v>337.02742899999998</v>
      </c>
      <c r="DH8" s="83">
        <v>198.003818</v>
      </c>
      <c r="DI8" s="83">
        <v>365.67713600000002</v>
      </c>
      <c r="DJ8" s="83">
        <v>332.35896000000002</v>
      </c>
      <c r="DK8" s="83">
        <v>205.92305300000001</v>
      </c>
      <c r="DL8" s="83">
        <v>273.29293899999999</v>
      </c>
      <c r="DM8" s="83">
        <v>226.94578100000001</v>
      </c>
      <c r="DN8" s="83">
        <v>319.40784200000002</v>
      </c>
      <c r="DO8" s="83">
        <v>203.37172200000001</v>
      </c>
      <c r="DP8" s="83">
        <v>387.407803</v>
      </c>
      <c r="DQ8" s="83">
        <v>343.18654900000001</v>
      </c>
      <c r="DR8" s="83">
        <v>214.61675700000001</v>
      </c>
      <c r="DS8" s="83">
        <v>277.19946800000002</v>
      </c>
      <c r="DT8" s="83">
        <v>231.177877</v>
      </c>
      <c r="DU8" s="83">
        <v>336.06699600000002</v>
      </c>
      <c r="DV8" s="83">
        <v>211.95796999999999</v>
      </c>
      <c r="DW8" s="83">
        <v>393.576255</v>
      </c>
      <c r="DX8" s="83">
        <v>347.59656100000001</v>
      </c>
      <c r="DY8" s="83">
        <v>226.80094800000001</v>
      </c>
      <c r="DZ8" s="83">
        <v>294.44541700000002</v>
      </c>
      <c r="EA8" s="83">
        <v>250.82302100000001</v>
      </c>
      <c r="EB8" s="83">
        <v>360.03663399999999</v>
      </c>
      <c r="EC8" s="83">
        <v>229.22690800000001</v>
      </c>
      <c r="ED8" s="83">
        <v>421.18110999999999</v>
      </c>
      <c r="EE8" s="83">
        <v>374.32902300000001</v>
      </c>
      <c r="EF8" s="83">
        <v>241.03168700000001</v>
      </c>
      <c r="EG8" s="83">
        <v>306.89876199999998</v>
      </c>
      <c r="EH8" s="83">
        <v>279.21103799999997</v>
      </c>
      <c r="EI8" s="83">
        <v>365.50515200000001</v>
      </c>
      <c r="EJ8" s="83">
        <v>232.19697500000001</v>
      </c>
      <c r="EK8" s="83">
        <v>385.42521699999998</v>
      </c>
      <c r="EL8" s="83">
        <v>335.34993200000002</v>
      </c>
      <c r="EM8" s="83">
        <v>222.39775</v>
      </c>
      <c r="EN8" s="83">
        <v>283.471341</v>
      </c>
      <c r="EO8" s="83">
        <v>255.01993999999999</v>
      </c>
      <c r="EP8" s="83">
        <v>335.32577099999997</v>
      </c>
      <c r="EQ8" s="83">
        <v>214.13212100000001</v>
      </c>
      <c r="ER8" s="83">
        <v>411.33111500000001</v>
      </c>
      <c r="ES8" s="83">
        <v>360.76842900000003</v>
      </c>
      <c r="ET8" s="83">
        <v>228.56610699999999</v>
      </c>
      <c r="EU8" s="83">
        <v>291.04939999999999</v>
      </c>
      <c r="EV8" s="83">
        <v>239.16871599999999</v>
      </c>
      <c r="EW8" s="83">
        <v>343.618649</v>
      </c>
      <c r="EX8" s="83">
        <v>219.60703799999999</v>
      </c>
      <c r="EY8" s="83">
        <v>405.28044899999998</v>
      </c>
      <c r="EZ8" s="83">
        <v>360.85478999999998</v>
      </c>
      <c r="FA8" s="83">
        <v>240.68555599999999</v>
      </c>
      <c r="FB8" s="83">
        <v>304.03777300000002</v>
      </c>
      <c r="FC8" s="83">
        <v>261.22058399999997</v>
      </c>
      <c r="FD8" s="83">
        <v>366.99241000000001</v>
      </c>
      <c r="FE8" s="83">
        <v>240.814797</v>
      </c>
      <c r="FF8" s="83">
        <v>401.16601400000002</v>
      </c>
      <c r="FG8" s="83">
        <v>353.86961200000002</v>
      </c>
      <c r="FH8" s="83">
        <v>237.65553499999999</v>
      </c>
      <c r="FI8" s="83">
        <v>308.40738199999998</v>
      </c>
      <c r="FJ8" s="83">
        <v>264.82449500000001</v>
      </c>
      <c r="FK8" s="83">
        <v>382.99551300000002</v>
      </c>
      <c r="FL8" s="83">
        <v>228.770533</v>
      </c>
      <c r="FM8" s="83">
        <v>382.81011599999999</v>
      </c>
      <c r="FN8" s="83">
        <v>349.01540999999997</v>
      </c>
      <c r="FO8" s="83">
        <v>211.497568</v>
      </c>
      <c r="FP8" s="83">
        <v>287.034942</v>
      </c>
      <c r="FQ8" s="83">
        <v>224.13598999999999</v>
      </c>
      <c r="FR8" s="83">
        <v>324.89710200000002</v>
      </c>
      <c r="FS8" s="83">
        <v>208.59381200000001</v>
      </c>
      <c r="FT8" s="83">
        <v>373.90302100000002</v>
      </c>
      <c r="FU8" s="83">
        <v>344.80898400000001</v>
      </c>
      <c r="FV8" s="83">
        <v>232.56621899999999</v>
      </c>
      <c r="FW8" s="83">
        <v>311.17208299999999</v>
      </c>
      <c r="FX8" s="83">
        <v>245.77877699999999</v>
      </c>
      <c r="FY8" s="83">
        <v>344.11972500000002</v>
      </c>
      <c r="FZ8" s="83">
        <v>229.895195</v>
      </c>
      <c r="GA8" s="83">
        <v>408.517338</v>
      </c>
      <c r="GB8" s="83">
        <v>370.44837699999999</v>
      </c>
      <c r="GC8" s="83">
        <v>226.00502900000001</v>
      </c>
      <c r="GD8" s="83">
        <v>285.43231100000003</v>
      </c>
      <c r="GE8" s="83">
        <v>239.81295600000001</v>
      </c>
      <c r="GF8" s="83">
        <v>344.016167</v>
      </c>
      <c r="GG8" s="83">
        <v>218.86077499999999</v>
      </c>
      <c r="GH8" s="83">
        <v>362.75166999999999</v>
      </c>
      <c r="GI8" s="83">
        <v>323.769409</v>
      </c>
      <c r="GJ8" s="83">
        <v>206.22902300000001</v>
      </c>
      <c r="GK8" s="83">
        <v>267.42784999999998</v>
      </c>
      <c r="GL8" s="83">
        <v>225.04419200000001</v>
      </c>
      <c r="GM8" s="83">
        <v>322.31112400000001</v>
      </c>
      <c r="GN8" s="83">
        <v>207.49410800000001</v>
      </c>
      <c r="GO8" s="83">
        <v>370.99835000000002</v>
      </c>
      <c r="GP8" s="83">
        <v>337.06045699999999</v>
      </c>
      <c r="GQ8" s="83">
        <v>219.21663699999999</v>
      </c>
      <c r="GR8" s="83">
        <v>282.54788400000001</v>
      </c>
      <c r="GS8" s="83">
        <v>235.04027600000001</v>
      </c>
      <c r="GT8" s="83">
        <v>325.36864100000003</v>
      </c>
      <c r="GU8" s="83">
        <v>212.054215</v>
      </c>
      <c r="GV8" s="83">
        <v>406.20192700000001</v>
      </c>
      <c r="GW8" s="83">
        <v>354.26463200000001</v>
      </c>
      <c r="GX8" s="83">
        <v>248.338167</v>
      </c>
      <c r="GY8" s="83">
        <v>290.12794700000001</v>
      </c>
      <c r="GZ8" s="83">
        <v>247.104761</v>
      </c>
      <c r="HA8" s="83">
        <v>349.65259200000003</v>
      </c>
      <c r="HB8" s="83">
        <v>223.59392700000001</v>
      </c>
      <c r="HC8" s="83">
        <v>416.20114599999999</v>
      </c>
      <c r="HD8" s="83">
        <v>364.90334200000001</v>
      </c>
      <c r="HE8" s="83">
        <v>254.568747</v>
      </c>
      <c r="HF8" s="83">
        <v>299.23909800000001</v>
      </c>
      <c r="HG8" s="83">
        <v>253.06670600000001</v>
      </c>
      <c r="HH8" s="83">
        <v>377.62305600000002</v>
      </c>
      <c r="HI8" s="83">
        <v>224.53457499999999</v>
      </c>
      <c r="HJ8" s="83">
        <v>415.54807799999998</v>
      </c>
      <c r="HK8" s="83">
        <v>372.175499</v>
      </c>
      <c r="HL8" s="83">
        <v>222.77714800000001</v>
      </c>
      <c r="HM8" s="83">
        <v>287.87361099999998</v>
      </c>
      <c r="HN8" s="83">
        <v>242.559811</v>
      </c>
      <c r="HO8" s="83">
        <v>346.979646</v>
      </c>
      <c r="HP8" s="83">
        <v>219.810553</v>
      </c>
      <c r="HQ8" s="83">
        <v>415.63813800000003</v>
      </c>
      <c r="HR8" s="83">
        <v>373.52670999999998</v>
      </c>
      <c r="HS8" s="83">
        <v>237.69320400000001</v>
      </c>
      <c r="HT8" s="83">
        <v>306.89649700000001</v>
      </c>
      <c r="HU8" s="83">
        <v>265.92839199999997</v>
      </c>
      <c r="HV8" s="83">
        <v>389.85418900000002</v>
      </c>
      <c r="HW8" s="83">
        <v>229.11918499999999</v>
      </c>
      <c r="HX8" s="83">
        <v>460.75256300000001</v>
      </c>
      <c r="HY8" s="83">
        <v>409.88568900000001</v>
      </c>
      <c r="HZ8" s="83">
        <v>269.08792299999999</v>
      </c>
      <c r="IA8" s="83">
        <v>332.89500900000002</v>
      </c>
      <c r="IB8" s="83">
        <v>284.28593599999999</v>
      </c>
      <c r="IC8" s="83">
        <v>411.99302699999998</v>
      </c>
      <c r="ID8" s="83">
        <v>250.97942499999999</v>
      </c>
      <c r="IE8" s="83">
        <v>436.683943</v>
      </c>
      <c r="IF8" s="83">
        <v>418.93409300000002</v>
      </c>
      <c r="IG8" s="83">
        <v>250.974478</v>
      </c>
      <c r="IH8" s="83">
        <v>324.24079799999998</v>
      </c>
      <c r="II8" s="83">
        <v>280.51790999999997</v>
      </c>
      <c r="IJ8" s="83">
        <v>407.75430599999999</v>
      </c>
      <c r="IK8" s="83">
        <v>249.08610100000001</v>
      </c>
      <c r="IL8" s="83">
        <v>444.74580900000001</v>
      </c>
      <c r="IM8" s="83">
        <v>426.31586399999998</v>
      </c>
      <c r="IN8" s="83">
        <v>239.67873399999999</v>
      </c>
      <c r="IO8" s="83">
        <v>310.51950399999998</v>
      </c>
      <c r="IP8" s="83">
        <v>268.55220100000003</v>
      </c>
      <c r="IQ8" s="83">
        <v>379.32144199999999</v>
      </c>
      <c r="IR8" s="83">
        <v>239.03404900000001</v>
      </c>
      <c r="IS8" s="83">
        <v>443.36473599999999</v>
      </c>
      <c r="IT8" s="83">
        <v>399.50936000000002</v>
      </c>
      <c r="IU8" s="83">
        <v>251.66387800000001</v>
      </c>
      <c r="IV8" s="83">
        <v>321.75983000000002</v>
      </c>
      <c r="IW8" s="83">
        <v>275.40752500000002</v>
      </c>
      <c r="IX8" s="83">
        <v>402.06371999999999</v>
      </c>
      <c r="IY8" s="83">
        <v>244.473083</v>
      </c>
      <c r="IZ8" s="83">
        <v>424.44271300000003</v>
      </c>
      <c r="JA8" s="83">
        <v>398.20368000000002</v>
      </c>
      <c r="JB8" s="83">
        <v>249.613698</v>
      </c>
      <c r="JC8" s="83">
        <v>322.62659000000002</v>
      </c>
      <c r="JD8" s="83">
        <v>274.10341899999997</v>
      </c>
      <c r="JE8" s="83">
        <v>395.487527</v>
      </c>
      <c r="JF8" s="83">
        <v>247.635051</v>
      </c>
      <c r="JG8" s="83">
        <v>434.83898900000003</v>
      </c>
      <c r="JH8" s="83">
        <v>404.64856800000001</v>
      </c>
      <c r="JI8" s="83">
        <v>253.93171899999999</v>
      </c>
      <c r="JJ8" s="83">
        <v>324.777355</v>
      </c>
      <c r="JK8" s="83">
        <v>273.90788900000001</v>
      </c>
      <c r="JL8" s="83">
        <v>417.365363</v>
      </c>
      <c r="JM8" s="83">
        <v>238.963179</v>
      </c>
      <c r="JN8" s="83">
        <v>354.70504699999998</v>
      </c>
      <c r="JO8" s="83">
        <v>509.52810399999998</v>
      </c>
      <c r="JP8" s="83">
        <v>212.876014</v>
      </c>
      <c r="JQ8" s="83">
        <v>278.89380699999998</v>
      </c>
      <c r="JR8" s="83">
        <v>223.19066000000001</v>
      </c>
      <c r="JS8" s="83">
        <v>325.91743000000002</v>
      </c>
      <c r="JT8" s="83">
        <v>330.41272600000002</v>
      </c>
      <c r="JU8" s="83">
        <v>341.07644900000003</v>
      </c>
      <c r="JV8" s="83">
        <v>313.52383099999997</v>
      </c>
      <c r="JW8" s="83">
        <v>319.85607800000002</v>
      </c>
      <c r="JX8" s="83">
        <v>331.19288899999998</v>
      </c>
      <c r="JY8" s="83">
        <v>305.47211499999997</v>
      </c>
      <c r="JZ8" s="83">
        <v>316.90571399999999</v>
      </c>
      <c r="KA8" s="83">
        <v>321.28463599999998</v>
      </c>
      <c r="KB8" s="83">
        <v>314.19674099999997</v>
      </c>
      <c r="KC8" s="83">
        <v>310.357213</v>
      </c>
      <c r="KD8" s="83">
        <v>316.99634300000002</v>
      </c>
      <c r="KE8" s="83">
        <v>323.49177600000002</v>
      </c>
      <c r="KF8" s="83">
        <v>310.37717500000002</v>
      </c>
      <c r="KG8" s="83">
        <v>312.80611499999998</v>
      </c>
      <c r="KH8" s="83">
        <v>318.63844699999999</v>
      </c>
      <c r="KI8" s="83">
        <v>306.20552099999998</v>
      </c>
      <c r="KJ8" s="83">
        <v>304.57957499999998</v>
      </c>
      <c r="KK8" s="83">
        <v>313.56426299999998</v>
      </c>
      <c r="KL8" s="83">
        <v>320.14405499999998</v>
      </c>
      <c r="KM8" s="83">
        <v>299.29373900000002</v>
      </c>
      <c r="KN8" s="83">
        <v>308.62712599999998</v>
      </c>
      <c r="KO8" s="83">
        <v>315.18428699999998</v>
      </c>
      <c r="KP8" s="83">
        <v>321.81108399999999</v>
      </c>
      <c r="KQ8" s="83">
        <v>315.07287100000002</v>
      </c>
      <c r="KR8" s="83">
        <v>317.36156399999999</v>
      </c>
      <c r="KS8" s="83">
        <v>322.25404600000002</v>
      </c>
      <c r="KT8" s="83">
        <v>307.05923799999999</v>
      </c>
      <c r="KU8" s="83">
        <v>307.978657</v>
      </c>
      <c r="KV8" s="83">
        <v>335.191372</v>
      </c>
      <c r="KW8" s="83">
        <v>315.63626699999998</v>
      </c>
      <c r="KX8" s="83">
        <v>313.73109899999997</v>
      </c>
      <c r="KY8" s="83">
        <v>321.52900199999999</v>
      </c>
      <c r="KZ8" s="83">
        <v>319.34739200000001</v>
      </c>
      <c r="LA8" s="83">
        <v>321.39576799999998</v>
      </c>
      <c r="LB8" s="83">
        <v>320.47271799999999</v>
      </c>
      <c r="LC8" s="83">
        <v>347.93296800000002</v>
      </c>
      <c r="LD8" s="83">
        <v>320.24167799999998</v>
      </c>
      <c r="LE8" s="83">
        <v>320.18999600000001</v>
      </c>
      <c r="LF8" s="83">
        <v>332.11304000000001</v>
      </c>
      <c r="LG8" s="83">
        <v>323.77369199999998</v>
      </c>
      <c r="LH8" s="83">
        <v>325.40078399999999</v>
      </c>
      <c r="LI8" s="83">
        <v>322.395689</v>
      </c>
      <c r="LJ8" s="83">
        <v>324.11877800000002</v>
      </c>
      <c r="LK8" s="83">
        <v>294.71952399999998</v>
      </c>
      <c r="LL8" s="83">
        <v>294.50569200000001</v>
      </c>
      <c r="LM8" s="83">
        <v>299.73097300000001</v>
      </c>
      <c r="LN8" s="83">
        <v>305.866873</v>
      </c>
      <c r="LO8" s="83">
        <v>293.15370999999999</v>
      </c>
      <c r="LP8" s="83">
        <v>290.25432899999998</v>
      </c>
      <c r="LQ8" s="83">
        <v>300.50558599999999</v>
      </c>
      <c r="LR8" s="83">
        <v>297.50661700000001</v>
      </c>
      <c r="LS8" s="83">
        <v>302.75945200000001</v>
      </c>
      <c r="LT8" s="83">
        <v>311.081185</v>
      </c>
      <c r="LU8" s="83">
        <v>313.95956699999999</v>
      </c>
      <c r="LV8" s="83">
        <v>311.43247600000001</v>
      </c>
      <c r="LW8" s="83">
        <v>310.21790399999998</v>
      </c>
      <c r="LX8" s="83">
        <v>326.58697000000001</v>
      </c>
      <c r="LY8" s="83">
        <v>297.48176899999999</v>
      </c>
      <c r="LZ8" s="83">
        <v>292.377723</v>
      </c>
      <c r="MA8" s="83">
        <v>286.20039000000003</v>
      </c>
      <c r="MB8" s="83">
        <v>287.89568200000002</v>
      </c>
      <c r="MC8" s="83">
        <v>278.05732399999999</v>
      </c>
      <c r="MD8" s="83">
        <v>297.07791800000001</v>
      </c>
      <c r="ME8" s="83">
        <v>282.69013100000001</v>
      </c>
      <c r="MF8" s="83">
        <v>308.67461600000001</v>
      </c>
      <c r="MG8" s="83">
        <v>310.65149100000002</v>
      </c>
      <c r="MH8" s="83">
        <v>311.03659499999998</v>
      </c>
      <c r="MI8" s="83">
        <v>327.23562199999998</v>
      </c>
      <c r="MJ8" s="83">
        <v>311.69563399999998</v>
      </c>
      <c r="MK8" s="83">
        <v>331.98480000000001</v>
      </c>
      <c r="ML8" s="83">
        <v>313.64984600000003</v>
      </c>
      <c r="MM8" s="83">
        <v>303.170053</v>
      </c>
      <c r="MN8" s="83">
        <v>302.83325400000001</v>
      </c>
      <c r="MO8" s="83">
        <v>316.73652499999997</v>
      </c>
      <c r="MP8" s="83">
        <v>333.68460599999997</v>
      </c>
      <c r="MQ8" s="83">
        <v>318.70632499999999</v>
      </c>
      <c r="MR8" s="83">
        <v>312.60713900000002</v>
      </c>
      <c r="MS8" s="83">
        <v>320.60833600000001</v>
      </c>
      <c r="MT8" s="83">
        <v>282.260852</v>
      </c>
      <c r="MU8" s="83">
        <v>279.81149499999998</v>
      </c>
      <c r="MV8" s="83">
        <v>273.60916400000002</v>
      </c>
      <c r="MW8" s="83">
        <v>272.87463400000001</v>
      </c>
      <c r="MX8" s="83">
        <v>262.27747499999998</v>
      </c>
      <c r="MY8" s="83">
        <v>267.00793900000002</v>
      </c>
      <c r="MZ8" s="83">
        <v>280.18728700000003</v>
      </c>
      <c r="NA8" s="83">
        <v>285.80575700000003</v>
      </c>
      <c r="NB8" s="83">
        <v>281.442745</v>
      </c>
      <c r="NC8" s="83">
        <v>286.25553500000001</v>
      </c>
      <c r="ND8" s="83">
        <v>297.075152</v>
      </c>
      <c r="NE8" s="83">
        <v>283.98929900000002</v>
      </c>
      <c r="NF8" s="83">
        <v>290.89169399999997</v>
      </c>
      <c r="NG8" s="83">
        <v>291.87225799999999</v>
      </c>
      <c r="NH8" s="83">
        <v>303.61703399999999</v>
      </c>
      <c r="NI8" s="83">
        <v>297.72696000000002</v>
      </c>
      <c r="NJ8" s="83">
        <v>299.593008</v>
      </c>
      <c r="NK8" s="83">
        <v>303.78118899999998</v>
      </c>
      <c r="NL8" s="83">
        <v>313.97589900000003</v>
      </c>
      <c r="NM8" s="83">
        <v>289.57300300000003</v>
      </c>
      <c r="NN8" s="83">
        <v>298.94414899999998</v>
      </c>
      <c r="NO8" s="83">
        <v>302.69692500000002</v>
      </c>
      <c r="NP8" s="83">
        <v>293.51282900000001</v>
      </c>
      <c r="NQ8" s="83">
        <v>316.40636599999999</v>
      </c>
      <c r="NR8" s="83">
        <v>313.50867199999999</v>
      </c>
      <c r="NS8" s="83">
        <v>324.86472500000002</v>
      </c>
      <c r="NT8" s="83">
        <v>299.82502299999999</v>
      </c>
      <c r="NU8" s="83">
        <v>308.311307</v>
      </c>
      <c r="NV8" s="83">
        <v>301.11002999999999</v>
      </c>
      <c r="NW8" s="83">
        <v>289.14474899999999</v>
      </c>
      <c r="NX8" s="83">
        <v>306.03975000000003</v>
      </c>
      <c r="NY8" s="83">
        <v>305.37156800000002</v>
      </c>
      <c r="NZ8" s="83">
        <v>288.97591499999999</v>
      </c>
      <c r="OA8" s="83">
        <v>289.88117</v>
      </c>
      <c r="OB8" s="83">
        <v>297.54346600000002</v>
      </c>
      <c r="OC8" s="83">
        <v>296.43431099999998</v>
      </c>
      <c r="OD8" s="83">
        <v>290.51649300000003</v>
      </c>
      <c r="OE8" s="83">
        <v>311.37696699999998</v>
      </c>
      <c r="OF8" s="83">
        <v>312.56188100000003</v>
      </c>
      <c r="OG8" s="83">
        <v>313.83241900000002</v>
      </c>
      <c r="OH8" s="83">
        <v>308.52207800000002</v>
      </c>
      <c r="OI8" s="83">
        <v>319.56162</v>
      </c>
      <c r="OJ8" s="83">
        <v>309.647673</v>
      </c>
      <c r="OK8" s="83">
        <v>303.21223700000002</v>
      </c>
      <c r="OL8" s="83">
        <v>303.53282400000001</v>
      </c>
      <c r="OM8" s="83">
        <v>301.127972</v>
      </c>
      <c r="ON8" s="83">
        <v>299.02255700000001</v>
      </c>
      <c r="OO8" s="83">
        <v>295.60135400000001</v>
      </c>
      <c r="OP8" s="83">
        <v>299.43866000000003</v>
      </c>
      <c r="OQ8" s="83">
        <v>291.04388899999998</v>
      </c>
      <c r="OR8" s="83">
        <v>289.26340399999998</v>
      </c>
      <c r="OS8" s="83">
        <v>296.49208299999998</v>
      </c>
      <c r="OT8" s="83">
        <v>317.15297199999998</v>
      </c>
      <c r="OU8" s="83">
        <v>282.241467</v>
      </c>
      <c r="OV8" s="83">
        <v>286.62684999999999</v>
      </c>
      <c r="OW8" s="83">
        <v>297.61689200000001</v>
      </c>
      <c r="OX8" s="83">
        <v>301.05051700000001</v>
      </c>
      <c r="OY8" s="83">
        <v>308.21640100000002</v>
      </c>
      <c r="OZ8" s="83">
        <v>303.96229199999999</v>
      </c>
      <c r="PA8" s="83">
        <v>325.54326400000002</v>
      </c>
      <c r="PB8" s="83">
        <v>292.84155199999998</v>
      </c>
      <c r="PC8" s="83">
        <v>296.66536300000001</v>
      </c>
      <c r="PD8" s="83">
        <v>306.79517800000002</v>
      </c>
      <c r="PE8" s="83">
        <v>301.46732600000001</v>
      </c>
      <c r="PF8" s="83">
        <v>309.12674900000002</v>
      </c>
      <c r="PG8" s="83">
        <v>318.95185800000002</v>
      </c>
      <c r="PH8" s="83">
        <v>311.68057399999998</v>
      </c>
      <c r="PI8" s="83">
        <v>304.69037200000002</v>
      </c>
      <c r="PJ8" s="83">
        <v>309.65769699999998</v>
      </c>
      <c r="PK8" s="83">
        <v>313.41889700000002</v>
      </c>
      <c r="PL8" s="83">
        <v>300.97228200000001</v>
      </c>
      <c r="PM8" s="83">
        <v>299.71826399999998</v>
      </c>
      <c r="PN8" s="83">
        <v>309.93332700000002</v>
      </c>
      <c r="PO8" s="83">
        <v>310.55790500000001</v>
      </c>
      <c r="PP8" s="83">
        <v>298.81375800000001</v>
      </c>
      <c r="PQ8" s="83">
        <v>305.94792799999999</v>
      </c>
      <c r="PR8" s="83">
        <v>308.77113000000003</v>
      </c>
      <c r="PS8" s="83">
        <v>305.36993699999999</v>
      </c>
      <c r="PT8" s="83">
        <v>308.39479499999999</v>
      </c>
      <c r="PU8" s="83">
        <v>311.16072800000001</v>
      </c>
      <c r="PV8" s="83">
        <v>321.71974499999999</v>
      </c>
      <c r="PW8" s="83">
        <v>307.75876499999998</v>
      </c>
      <c r="PX8" s="83">
        <v>305.34080899999998</v>
      </c>
      <c r="PY8" s="83">
        <v>310.437297</v>
      </c>
      <c r="PZ8" s="83">
        <v>269.15934099999998</v>
      </c>
      <c r="QA8" s="83">
        <v>266.54809899999998</v>
      </c>
      <c r="QB8" s="83">
        <v>288.43837200000002</v>
      </c>
      <c r="QC8" s="83">
        <v>266.30668200000002</v>
      </c>
      <c r="QD8" s="83">
        <v>263.85482000000002</v>
      </c>
      <c r="QE8" s="83">
        <v>268.58321799999999</v>
      </c>
      <c r="QF8" s="83">
        <v>266.028367</v>
      </c>
      <c r="QG8" s="83">
        <v>276.57859999999999</v>
      </c>
      <c r="QH8" s="83">
        <v>272.77729099999999</v>
      </c>
      <c r="QI8" s="83">
        <v>293.848862</v>
      </c>
      <c r="QJ8" s="83">
        <v>277.54177800000002</v>
      </c>
      <c r="QK8" s="83">
        <v>267.38716699999998</v>
      </c>
      <c r="QL8" s="83">
        <v>273.49205499999999</v>
      </c>
      <c r="QM8" s="83">
        <v>270.812231</v>
      </c>
      <c r="QN8" s="83">
        <v>279.04434099999997</v>
      </c>
      <c r="QO8" s="83">
        <v>271.70378299999999</v>
      </c>
      <c r="QP8" s="83">
        <v>270.62201700000003</v>
      </c>
      <c r="QQ8" s="83">
        <v>276.39153199999998</v>
      </c>
      <c r="QR8" s="83">
        <v>267.61693300000002</v>
      </c>
      <c r="QS8" s="83">
        <v>267.97786200000002</v>
      </c>
    </row>
    <row r="9" spans="1:461" x14ac:dyDescent="0.25">
      <c r="F9" s="82" t="str">
        <f xml:space="preserve"> _xll.EPMOlapMemberO("[PRDDESCR].[].[HELGAS GFREE MIXED GRAIN 500G]","","HELGAS GFREE MIXED GRAIN 500G","","000")</f>
        <v>HELGAS GFREE MIXED GRAIN 500G</v>
      </c>
      <c r="G9" s="82" t="str">
        <f xml:space="preserve"> _xll.EPMOlapMemberO("[PRDID].[].[168847]","","168847","","000")</f>
        <v>168847</v>
      </c>
      <c r="H9" s="82" t="str">
        <f xml:space="preserve"> _xll.EPMOlapMemberO("[LOCID].[].[6110]","","6110","","000")</f>
        <v>6110</v>
      </c>
      <c r="I9" s="82" t="str">
        <f xml:space="preserve"> _xll.EPMOlapMemberO("[LOCDESCR].[].[QBA-Burleigh Heads]","","QBA-Burleigh Heads","","000")</f>
        <v>QBA-Burleigh Heads</v>
      </c>
      <c r="J9" s="82" t="str">
        <f xml:space="preserve"> _xll.EPMOlapMemberO("[KEY_FIGURES].[].[ZGFAPPROVEDFCSTQTY]","","Approved Forecast","","000")</f>
        <v>Approved Forecast</v>
      </c>
      <c r="K9" s="83">
        <v>812.99473899999998</v>
      </c>
      <c r="L9" s="83">
        <v>545.77914999999996</v>
      </c>
      <c r="M9" s="83">
        <v>831.78510300000005</v>
      </c>
      <c r="N9" s="83">
        <v>613.98347000000001</v>
      </c>
      <c r="O9" s="83">
        <v>0</v>
      </c>
      <c r="P9" s="83">
        <v>1010.962924</v>
      </c>
      <c r="Q9" s="83">
        <v>508.44127900000001</v>
      </c>
      <c r="R9" s="83">
        <v>806.01214100000004</v>
      </c>
      <c r="S9" s="83">
        <v>551.34340899999995</v>
      </c>
      <c r="T9" s="83">
        <v>835.59351400000003</v>
      </c>
      <c r="U9" s="83">
        <v>613.78860899999995</v>
      </c>
      <c r="V9" s="83">
        <v>0</v>
      </c>
      <c r="W9" s="83">
        <v>931.16840200000001</v>
      </c>
      <c r="X9" s="83">
        <v>482.41589499999998</v>
      </c>
      <c r="Y9" s="83">
        <v>761.47679800000003</v>
      </c>
      <c r="Z9" s="83">
        <v>534.62546499999996</v>
      </c>
      <c r="AA9" s="83">
        <v>785.99426300000005</v>
      </c>
      <c r="AB9" s="83">
        <v>560.40687700000001</v>
      </c>
      <c r="AC9" s="83">
        <v>0</v>
      </c>
      <c r="AD9" s="83">
        <v>944.38902800000005</v>
      </c>
      <c r="AE9" s="83">
        <v>477.11244900000003</v>
      </c>
      <c r="AF9" s="83">
        <v>748.44997999999998</v>
      </c>
      <c r="AG9" s="83">
        <v>532.47082</v>
      </c>
      <c r="AH9" s="83">
        <v>774.71251600000005</v>
      </c>
      <c r="AI9" s="83">
        <v>552.63376200000005</v>
      </c>
      <c r="AJ9" s="83">
        <v>0</v>
      </c>
      <c r="AK9" s="83">
        <v>926.82710999999995</v>
      </c>
      <c r="AL9" s="83">
        <v>430.99613399999998</v>
      </c>
      <c r="AM9" s="83">
        <v>702.29297699999995</v>
      </c>
      <c r="AN9" s="83">
        <v>478.79728899999998</v>
      </c>
      <c r="AO9" s="83">
        <v>723.61427700000002</v>
      </c>
      <c r="AP9" s="83">
        <v>530.79520100000002</v>
      </c>
      <c r="AQ9" s="83">
        <v>0</v>
      </c>
      <c r="AR9" s="83">
        <v>916.66134</v>
      </c>
      <c r="AS9" s="83">
        <v>455.33886200000001</v>
      </c>
      <c r="AT9" s="83">
        <v>727.92909899999995</v>
      </c>
      <c r="AU9" s="83">
        <v>506.282892</v>
      </c>
      <c r="AV9" s="83">
        <v>750.69530699999996</v>
      </c>
      <c r="AW9" s="83">
        <v>543.38763900000004</v>
      </c>
      <c r="AX9" s="83">
        <v>0</v>
      </c>
      <c r="AY9" s="83">
        <v>1036.9300800000001</v>
      </c>
      <c r="AZ9" s="83">
        <v>497.79618900000003</v>
      </c>
      <c r="BA9" s="83">
        <v>787.831095</v>
      </c>
      <c r="BB9" s="83">
        <v>557.61741400000005</v>
      </c>
      <c r="BC9" s="83">
        <v>813.41902200000004</v>
      </c>
      <c r="BD9" s="83">
        <v>587.83485099999996</v>
      </c>
      <c r="BE9" s="83">
        <v>0</v>
      </c>
      <c r="BF9" s="83">
        <v>1009.779206</v>
      </c>
      <c r="BG9" s="83">
        <v>505.33598699999999</v>
      </c>
      <c r="BH9" s="83">
        <v>802.10258799999997</v>
      </c>
      <c r="BI9" s="83">
        <v>543.85154599999998</v>
      </c>
      <c r="BJ9" s="83">
        <v>819.03481199999999</v>
      </c>
      <c r="BK9" s="83">
        <v>602.34300900000005</v>
      </c>
      <c r="BL9" s="83">
        <v>0</v>
      </c>
      <c r="BM9" s="83">
        <v>926.54149399999994</v>
      </c>
      <c r="BN9" s="83">
        <v>489.02485899999999</v>
      </c>
      <c r="BO9" s="83">
        <v>779.02604599999995</v>
      </c>
      <c r="BP9" s="83">
        <v>525.94222000000002</v>
      </c>
      <c r="BQ9" s="83">
        <v>796.41357400000004</v>
      </c>
      <c r="BR9" s="83">
        <v>585.627567</v>
      </c>
      <c r="BS9" s="83">
        <v>0</v>
      </c>
      <c r="BT9" s="83">
        <v>927.68463699999995</v>
      </c>
      <c r="BU9" s="83">
        <v>465.53719599999999</v>
      </c>
      <c r="BV9" s="83">
        <v>746.82480099999998</v>
      </c>
      <c r="BW9" s="83">
        <v>500.04659199999998</v>
      </c>
      <c r="BX9" s="83">
        <v>763.36165000000005</v>
      </c>
      <c r="BY9" s="83">
        <v>562.51576499999999</v>
      </c>
      <c r="BZ9" s="83">
        <v>0</v>
      </c>
      <c r="CA9" s="83">
        <v>946.89353700000004</v>
      </c>
      <c r="CB9" s="83">
        <v>482.35900900000001</v>
      </c>
      <c r="CC9" s="83">
        <v>761.23348699999997</v>
      </c>
      <c r="CD9" s="83">
        <v>516.75009599999998</v>
      </c>
      <c r="CE9" s="83">
        <v>778.07744500000001</v>
      </c>
      <c r="CF9" s="83">
        <v>566.32133699999997</v>
      </c>
      <c r="CG9" s="83">
        <v>0</v>
      </c>
      <c r="CH9" s="83">
        <v>1017.403857</v>
      </c>
      <c r="CI9" s="83">
        <v>511.66952500000002</v>
      </c>
      <c r="CJ9" s="83">
        <v>820.59119199999998</v>
      </c>
      <c r="CK9" s="83">
        <v>552.92488700000001</v>
      </c>
      <c r="CL9" s="83">
        <v>838.59065999999996</v>
      </c>
      <c r="CM9" s="83">
        <v>622.48778300000004</v>
      </c>
      <c r="CN9" s="83">
        <v>0</v>
      </c>
      <c r="CO9" s="83">
        <v>1009.015116</v>
      </c>
      <c r="CP9" s="83">
        <v>514.22821599999997</v>
      </c>
      <c r="CQ9" s="83">
        <v>811.49635499999999</v>
      </c>
      <c r="CR9" s="83">
        <v>552.82730400000003</v>
      </c>
      <c r="CS9" s="83">
        <v>830.00988900000004</v>
      </c>
      <c r="CT9" s="83">
        <v>607.95131500000002</v>
      </c>
      <c r="CU9" s="83">
        <v>0</v>
      </c>
      <c r="CV9" s="83">
        <v>941.65440999999998</v>
      </c>
      <c r="CW9" s="83">
        <v>493.32810799999999</v>
      </c>
      <c r="CX9" s="83">
        <v>786.47661800000003</v>
      </c>
      <c r="CY9" s="83">
        <v>531.09858899999995</v>
      </c>
      <c r="CZ9" s="83">
        <v>803.96834100000001</v>
      </c>
      <c r="DA9" s="83">
        <v>591.96452099999999</v>
      </c>
      <c r="DB9" s="83">
        <v>0</v>
      </c>
      <c r="DC9" s="83">
        <v>909.02141099999994</v>
      </c>
      <c r="DD9" s="83">
        <v>439.20468199999999</v>
      </c>
      <c r="DE9" s="83">
        <v>706.34710700000005</v>
      </c>
      <c r="DF9" s="83">
        <v>471.84658400000001</v>
      </c>
      <c r="DG9" s="83">
        <v>722.262202</v>
      </c>
      <c r="DH9" s="83">
        <v>529.38823400000001</v>
      </c>
      <c r="DI9" s="83">
        <v>0</v>
      </c>
      <c r="DJ9" s="83">
        <v>937.39746600000001</v>
      </c>
      <c r="DK9" s="83">
        <v>472.190742</v>
      </c>
      <c r="DL9" s="83">
        <v>754.74297799999999</v>
      </c>
      <c r="DM9" s="83">
        <v>507.74653499999999</v>
      </c>
      <c r="DN9" s="83">
        <v>771.09522400000003</v>
      </c>
      <c r="DO9" s="83">
        <v>566.19919500000003</v>
      </c>
      <c r="DP9" s="83">
        <v>0</v>
      </c>
      <c r="DQ9" s="83">
        <v>1026.522465</v>
      </c>
      <c r="DR9" s="83">
        <v>504.597601</v>
      </c>
      <c r="DS9" s="83">
        <v>807.22482500000001</v>
      </c>
      <c r="DT9" s="83">
        <v>544.04567899999995</v>
      </c>
      <c r="DU9" s="83">
        <v>825.12603000000001</v>
      </c>
      <c r="DV9" s="83">
        <v>610.74050799999998</v>
      </c>
      <c r="DW9" s="83">
        <v>0</v>
      </c>
      <c r="DX9" s="83">
        <v>929.66531699999996</v>
      </c>
      <c r="DY9" s="83">
        <v>476.18490100000002</v>
      </c>
      <c r="DZ9" s="83">
        <v>765.72135400000002</v>
      </c>
      <c r="EA9" s="83">
        <v>513.15437999999995</v>
      </c>
      <c r="EB9" s="83">
        <v>782.760626</v>
      </c>
      <c r="EC9" s="83">
        <v>578.59118799999999</v>
      </c>
      <c r="ED9" s="83">
        <v>0</v>
      </c>
      <c r="EE9" s="83">
        <v>924.51837499999999</v>
      </c>
      <c r="EF9" s="83">
        <v>467.37250499999999</v>
      </c>
      <c r="EG9" s="83">
        <v>743.03553599999998</v>
      </c>
      <c r="EH9" s="83">
        <v>501.27164699999997</v>
      </c>
      <c r="EI9" s="83">
        <v>759.91067199999998</v>
      </c>
      <c r="EJ9" s="83">
        <v>555.35622699999999</v>
      </c>
      <c r="EK9" s="83">
        <v>0</v>
      </c>
      <c r="EL9" s="83">
        <v>915.17247099999997</v>
      </c>
      <c r="EM9" s="83">
        <v>459.22310199999998</v>
      </c>
      <c r="EN9" s="83">
        <v>736.54325900000003</v>
      </c>
      <c r="EO9" s="83">
        <v>492.668543</v>
      </c>
      <c r="EP9" s="83">
        <v>752.89628900000002</v>
      </c>
      <c r="EQ9" s="83">
        <v>554.16924600000004</v>
      </c>
      <c r="ER9" s="83">
        <v>0</v>
      </c>
      <c r="ES9" s="83">
        <v>1057.5547140000001</v>
      </c>
      <c r="ET9" s="83">
        <v>521.92515400000002</v>
      </c>
      <c r="EU9" s="83">
        <v>823.29629899999998</v>
      </c>
      <c r="EV9" s="83">
        <v>560.84617700000001</v>
      </c>
      <c r="EW9" s="83">
        <v>841.12308399999995</v>
      </c>
      <c r="EX9" s="83">
        <v>616.76717599999995</v>
      </c>
      <c r="EY9" s="83">
        <v>0</v>
      </c>
      <c r="EZ9" s="83">
        <v>1016.572261</v>
      </c>
      <c r="FA9" s="83">
        <v>538.73612200000002</v>
      </c>
      <c r="FB9" s="83">
        <v>845.76648899999998</v>
      </c>
      <c r="FC9" s="83">
        <v>577.67905399999995</v>
      </c>
      <c r="FD9" s="83">
        <v>865.11539000000005</v>
      </c>
      <c r="FE9" s="83">
        <v>634.65599199999997</v>
      </c>
      <c r="FF9" s="83">
        <v>0</v>
      </c>
      <c r="FG9" s="83">
        <v>969.800118</v>
      </c>
      <c r="FH9" s="83">
        <v>553.65217299999995</v>
      </c>
      <c r="FI9" s="83">
        <v>820.31361500000003</v>
      </c>
      <c r="FJ9" s="83">
        <v>584.31113200000004</v>
      </c>
      <c r="FK9" s="83">
        <v>841.69503799999995</v>
      </c>
      <c r="FL9" s="83">
        <v>586.62005899999997</v>
      </c>
      <c r="FM9" s="83">
        <v>0</v>
      </c>
      <c r="FN9" s="83">
        <v>996.75241200000005</v>
      </c>
      <c r="FO9" s="83">
        <v>479.70339000000001</v>
      </c>
      <c r="FP9" s="83">
        <v>756.75079400000004</v>
      </c>
      <c r="FQ9" s="83">
        <v>514.23140999999998</v>
      </c>
      <c r="FR9" s="83">
        <v>774.18802100000005</v>
      </c>
      <c r="FS9" s="83">
        <v>563.10789999999997</v>
      </c>
      <c r="FT9" s="83">
        <v>0</v>
      </c>
      <c r="FU9" s="83">
        <v>905.49543900000003</v>
      </c>
      <c r="FV9" s="83">
        <v>475.08797900000002</v>
      </c>
      <c r="FW9" s="83">
        <v>762.82962699999996</v>
      </c>
      <c r="FX9" s="83">
        <v>510.15771599999999</v>
      </c>
      <c r="FY9" s="83">
        <v>779.49713699999995</v>
      </c>
      <c r="FZ9" s="83">
        <v>576.67863</v>
      </c>
      <c r="GA9" s="83">
        <v>0</v>
      </c>
      <c r="GB9" s="83">
        <v>982.06639099999995</v>
      </c>
      <c r="GC9" s="83">
        <v>475.49030399999998</v>
      </c>
      <c r="GD9" s="83">
        <v>754.71203800000001</v>
      </c>
      <c r="GE9" s="83">
        <v>509.81111399999998</v>
      </c>
      <c r="GF9" s="83">
        <v>771.13071500000001</v>
      </c>
      <c r="GG9" s="83">
        <v>563.42856500000005</v>
      </c>
      <c r="GH9" s="83">
        <v>0</v>
      </c>
      <c r="GI9" s="83">
        <v>890.65136500000006</v>
      </c>
      <c r="GJ9" s="83">
        <v>444.12984499999999</v>
      </c>
      <c r="GK9" s="83">
        <v>716.867254</v>
      </c>
      <c r="GL9" s="83">
        <v>477.34193399999998</v>
      </c>
      <c r="GM9" s="83">
        <v>733.01744599999995</v>
      </c>
      <c r="GN9" s="83">
        <v>539.92469100000005</v>
      </c>
      <c r="GO9" s="83">
        <v>0</v>
      </c>
      <c r="GP9" s="83">
        <v>979.08377199999995</v>
      </c>
      <c r="GQ9" s="83">
        <v>490.45277800000002</v>
      </c>
      <c r="GR9" s="83">
        <v>786.686106</v>
      </c>
      <c r="GS9" s="83">
        <v>527.76402800000005</v>
      </c>
      <c r="GT9" s="83">
        <v>804.17998399999999</v>
      </c>
      <c r="GU9" s="83">
        <v>595.57090000000005</v>
      </c>
      <c r="GV9" s="83">
        <v>0</v>
      </c>
      <c r="GW9" s="83">
        <v>1005.25204</v>
      </c>
      <c r="GX9" s="83">
        <v>514.79575999999997</v>
      </c>
      <c r="GY9" s="83">
        <v>810.722577</v>
      </c>
      <c r="GZ9" s="83">
        <v>551.71756700000003</v>
      </c>
      <c r="HA9" s="83">
        <v>828.97127</v>
      </c>
      <c r="HB9" s="83">
        <v>607.408683</v>
      </c>
      <c r="HC9" s="83">
        <v>0</v>
      </c>
      <c r="HD9" s="83">
        <v>947.07655799999998</v>
      </c>
      <c r="HE9" s="83">
        <v>521.90174500000001</v>
      </c>
      <c r="HF9" s="83">
        <v>785.22358899999995</v>
      </c>
      <c r="HG9" s="83">
        <v>552.40438200000006</v>
      </c>
      <c r="HH9" s="83">
        <v>804.72396600000002</v>
      </c>
      <c r="HI9" s="83">
        <v>568.030753</v>
      </c>
      <c r="HJ9" s="83">
        <v>0</v>
      </c>
      <c r="HK9" s="83">
        <v>960.663769</v>
      </c>
      <c r="HL9" s="83">
        <v>463.96615500000001</v>
      </c>
      <c r="HM9" s="83">
        <v>729.83429599999999</v>
      </c>
      <c r="HN9" s="83">
        <v>495.38656800000001</v>
      </c>
      <c r="HO9" s="83">
        <v>745.60451899999998</v>
      </c>
      <c r="HP9" s="83">
        <v>541.50334599999996</v>
      </c>
      <c r="HQ9" s="83">
        <v>0</v>
      </c>
      <c r="HR9" s="83">
        <v>958.85046899999998</v>
      </c>
      <c r="HS9" s="83">
        <v>489.31302299999999</v>
      </c>
      <c r="HT9" s="83">
        <v>779.73076700000001</v>
      </c>
      <c r="HU9" s="83">
        <v>525.96239600000001</v>
      </c>
      <c r="HV9" s="83">
        <v>797.35229500000003</v>
      </c>
      <c r="HW9" s="83">
        <v>586.64924099999996</v>
      </c>
      <c r="HX9" s="83">
        <v>0</v>
      </c>
      <c r="HY9" s="83">
        <v>1075.6154280000001</v>
      </c>
      <c r="HZ9" s="83">
        <v>546.629006</v>
      </c>
      <c r="IA9" s="83">
        <v>876.32167400000003</v>
      </c>
      <c r="IB9" s="83">
        <v>591.10929899999996</v>
      </c>
      <c r="IC9" s="83">
        <v>895.24509999999998</v>
      </c>
      <c r="ID9" s="83">
        <v>669.03267800000003</v>
      </c>
      <c r="IE9" s="83">
        <v>0</v>
      </c>
      <c r="IF9" s="83">
        <v>1060.0936799999999</v>
      </c>
      <c r="IG9" s="83">
        <v>571.10726999999997</v>
      </c>
      <c r="IH9" s="83">
        <v>882.57037000000003</v>
      </c>
      <c r="II9" s="83">
        <v>611.61460999999997</v>
      </c>
      <c r="IJ9" s="83">
        <v>902.93560400000001</v>
      </c>
      <c r="IK9" s="83">
        <v>656.27073199999995</v>
      </c>
      <c r="IL9" s="83">
        <v>0</v>
      </c>
      <c r="IM9" s="83">
        <v>1073.5291810000001</v>
      </c>
      <c r="IN9" s="83">
        <v>520.99508600000001</v>
      </c>
      <c r="IO9" s="83">
        <v>823.37450999999999</v>
      </c>
      <c r="IP9" s="83">
        <v>559.98213299999998</v>
      </c>
      <c r="IQ9" s="83">
        <v>841.75699199999997</v>
      </c>
      <c r="IR9" s="83">
        <v>618.80195600000002</v>
      </c>
      <c r="IS9" s="83">
        <v>0</v>
      </c>
      <c r="IT9" s="83">
        <v>974.21659699999998</v>
      </c>
      <c r="IU9" s="83">
        <v>501.53553799999997</v>
      </c>
      <c r="IV9" s="83">
        <v>791.93261900000005</v>
      </c>
      <c r="IW9" s="83">
        <v>537.76597700000002</v>
      </c>
      <c r="IX9" s="83">
        <v>809.01597000000004</v>
      </c>
      <c r="IY9" s="83">
        <v>591.732888</v>
      </c>
      <c r="IZ9" s="83">
        <v>0</v>
      </c>
      <c r="JA9" s="83">
        <v>1018.763372</v>
      </c>
      <c r="JB9" s="83">
        <v>531.91109700000004</v>
      </c>
      <c r="JC9" s="83">
        <v>829.415479</v>
      </c>
      <c r="JD9" s="83">
        <v>568.50656600000002</v>
      </c>
      <c r="JE9" s="83">
        <v>848.78351699999996</v>
      </c>
      <c r="JF9" s="83">
        <v>618.49144000000001</v>
      </c>
      <c r="JG9" s="83">
        <v>0</v>
      </c>
      <c r="JH9" s="83">
        <v>952.03959299999997</v>
      </c>
      <c r="JI9" s="83">
        <v>551.65408500000001</v>
      </c>
      <c r="JJ9" s="83">
        <v>803.91856499999994</v>
      </c>
      <c r="JK9" s="83">
        <v>577.63014799999996</v>
      </c>
      <c r="JL9" s="83">
        <v>825.74052900000004</v>
      </c>
      <c r="JM9" s="83">
        <v>567.10204499999998</v>
      </c>
      <c r="JN9" s="83">
        <v>0.35611799999999999</v>
      </c>
      <c r="JO9" s="83">
        <v>1669.3683550000001</v>
      </c>
      <c r="JP9" s="83">
        <v>778.18986299999995</v>
      </c>
      <c r="JQ9" s="83">
        <v>1281.720632</v>
      </c>
      <c r="JR9" s="83">
        <v>815.50485700000002</v>
      </c>
      <c r="JS9" s="83">
        <v>0.26797199999999999</v>
      </c>
      <c r="JT9" s="83">
        <v>0.34719800000000001</v>
      </c>
      <c r="JU9" s="83">
        <v>606.02090399999997</v>
      </c>
      <c r="JV9" s="83">
        <v>652.41182700000002</v>
      </c>
      <c r="JW9" s="83">
        <v>670.22073799999998</v>
      </c>
      <c r="JX9" s="83">
        <v>685.22919300000001</v>
      </c>
      <c r="JY9" s="83">
        <v>676.27260999999999</v>
      </c>
      <c r="JZ9" s="83">
        <v>628.45040400000005</v>
      </c>
      <c r="KA9" s="83">
        <v>666.363202</v>
      </c>
      <c r="KB9" s="83">
        <v>600.97778600000004</v>
      </c>
      <c r="KC9" s="83">
        <v>647.27385100000004</v>
      </c>
      <c r="KD9" s="83">
        <v>673.43494599999997</v>
      </c>
      <c r="KE9" s="83">
        <v>690.01910699999996</v>
      </c>
      <c r="KF9" s="83">
        <v>678.66970300000003</v>
      </c>
      <c r="KG9" s="83">
        <v>631.37682700000005</v>
      </c>
      <c r="KH9" s="83">
        <v>670.40531299999998</v>
      </c>
      <c r="KI9" s="83">
        <v>557.420703</v>
      </c>
      <c r="KJ9" s="83">
        <v>601.10671100000002</v>
      </c>
      <c r="KK9" s="83">
        <v>617.50680299999999</v>
      </c>
      <c r="KL9" s="83">
        <v>632.24757999999997</v>
      </c>
      <c r="KM9" s="83">
        <v>621.40736000000004</v>
      </c>
      <c r="KN9" s="83">
        <v>579.32487900000001</v>
      </c>
      <c r="KO9" s="83">
        <v>615.41103399999997</v>
      </c>
      <c r="KP9" s="83">
        <v>553.80903799999999</v>
      </c>
      <c r="KQ9" s="83">
        <v>597.70113600000002</v>
      </c>
      <c r="KR9" s="83">
        <v>616.79353600000002</v>
      </c>
      <c r="KS9" s="83">
        <v>631.51758199999995</v>
      </c>
      <c r="KT9" s="83">
        <v>620.81028600000002</v>
      </c>
      <c r="KU9" s="83">
        <v>578.71871799999997</v>
      </c>
      <c r="KV9" s="83">
        <v>614.54967599999998</v>
      </c>
      <c r="KW9" s="83">
        <v>564.07289300000002</v>
      </c>
      <c r="KX9" s="83">
        <v>607.44110000000001</v>
      </c>
      <c r="KY9" s="83">
        <v>624.93841399999997</v>
      </c>
      <c r="KZ9" s="83">
        <v>639.39942399999995</v>
      </c>
      <c r="LA9" s="83">
        <v>633.036022</v>
      </c>
      <c r="LB9" s="83">
        <v>586.03175399999998</v>
      </c>
      <c r="LC9" s="83">
        <v>618.04405299999996</v>
      </c>
      <c r="LD9" s="83">
        <v>564.49684999999999</v>
      </c>
      <c r="LE9" s="83">
        <v>608.73140799999999</v>
      </c>
      <c r="LF9" s="83">
        <v>630.40386599999999</v>
      </c>
      <c r="LG9" s="83">
        <v>645.27054399999997</v>
      </c>
      <c r="LH9" s="83">
        <v>634.07494299999996</v>
      </c>
      <c r="LI9" s="83">
        <v>591.03542100000004</v>
      </c>
      <c r="LJ9" s="83">
        <v>628.75825299999997</v>
      </c>
      <c r="LK9" s="83">
        <v>551.05536600000005</v>
      </c>
      <c r="LL9" s="83">
        <v>594.46954200000005</v>
      </c>
      <c r="LM9" s="83">
        <v>614.057323</v>
      </c>
      <c r="LN9" s="83">
        <v>629.78555900000003</v>
      </c>
      <c r="LO9" s="83">
        <v>617.42753700000003</v>
      </c>
      <c r="LP9" s="83">
        <v>575.62843799999996</v>
      </c>
      <c r="LQ9" s="83">
        <v>612.421648</v>
      </c>
      <c r="LR9" s="83">
        <v>552.38333999999998</v>
      </c>
      <c r="LS9" s="83">
        <v>595.94882399999995</v>
      </c>
      <c r="LT9" s="83">
        <v>643.34373300000004</v>
      </c>
      <c r="LU9" s="83">
        <v>658.26104199999997</v>
      </c>
      <c r="LV9" s="83">
        <v>647.716183</v>
      </c>
      <c r="LW9" s="83">
        <v>603.72129199999995</v>
      </c>
      <c r="LX9" s="83">
        <v>641.06155200000001</v>
      </c>
      <c r="LY9" s="83">
        <v>596.46946200000002</v>
      </c>
      <c r="LZ9" s="83">
        <v>642.91501400000004</v>
      </c>
      <c r="MA9" s="83">
        <v>634.35204399999998</v>
      </c>
      <c r="MB9" s="83">
        <v>649.24328200000002</v>
      </c>
      <c r="MC9" s="83">
        <v>638.12446999999997</v>
      </c>
      <c r="MD9" s="83">
        <v>595.22305800000004</v>
      </c>
      <c r="ME9" s="83">
        <v>632.64375900000005</v>
      </c>
      <c r="MF9" s="83">
        <v>561.03389200000004</v>
      </c>
      <c r="MG9" s="83">
        <v>604.96124799999996</v>
      </c>
      <c r="MH9" s="83">
        <v>624.68447000000003</v>
      </c>
      <c r="MI9" s="83">
        <v>639.43265599999995</v>
      </c>
      <c r="MJ9" s="83">
        <v>629.21975899999995</v>
      </c>
      <c r="MK9" s="83">
        <v>585.69555600000001</v>
      </c>
      <c r="ML9" s="83">
        <v>621.94742299999996</v>
      </c>
      <c r="MM9" s="83">
        <v>546.83207300000004</v>
      </c>
      <c r="MN9" s="83">
        <v>589.95310800000004</v>
      </c>
      <c r="MO9" s="83">
        <v>646.99825599999997</v>
      </c>
      <c r="MP9" s="83">
        <v>661.87107200000003</v>
      </c>
      <c r="MQ9" s="83">
        <v>652.30461100000002</v>
      </c>
      <c r="MR9" s="83">
        <v>606.651658</v>
      </c>
      <c r="MS9" s="83">
        <v>643.67851499999995</v>
      </c>
      <c r="MT9" s="83">
        <v>562.13159900000005</v>
      </c>
      <c r="MU9" s="83">
        <v>605.66851099999997</v>
      </c>
      <c r="MV9" s="83">
        <v>589.33181999999999</v>
      </c>
      <c r="MW9" s="83">
        <v>605.41205600000001</v>
      </c>
      <c r="MX9" s="83">
        <v>593.50434900000005</v>
      </c>
      <c r="MY9" s="83">
        <v>552.47437500000001</v>
      </c>
      <c r="MZ9" s="83">
        <v>586.32180300000005</v>
      </c>
      <c r="NA9" s="83">
        <v>533.066059</v>
      </c>
      <c r="NB9" s="83">
        <v>575.15178700000001</v>
      </c>
      <c r="NC9" s="83">
        <v>593.417869</v>
      </c>
      <c r="ND9" s="83">
        <v>607.94309499999997</v>
      </c>
      <c r="NE9" s="83">
        <v>597.44253700000002</v>
      </c>
      <c r="NF9" s="83">
        <v>556.83404299999995</v>
      </c>
      <c r="NG9" s="83">
        <v>590.82833300000004</v>
      </c>
      <c r="NH9" s="83">
        <v>572.930521</v>
      </c>
      <c r="NI9" s="83">
        <v>618.07473200000004</v>
      </c>
      <c r="NJ9" s="83">
        <v>629.79427199999998</v>
      </c>
      <c r="NK9" s="83">
        <v>644.677367</v>
      </c>
      <c r="NL9" s="83">
        <v>633.21717999999998</v>
      </c>
      <c r="NM9" s="83">
        <v>590.84869800000001</v>
      </c>
      <c r="NN9" s="83">
        <v>628.43220899999994</v>
      </c>
      <c r="NO9" s="83">
        <v>577.73015299999997</v>
      </c>
      <c r="NP9" s="83">
        <v>622.25655200000006</v>
      </c>
      <c r="NQ9" s="83">
        <v>651.93084999999996</v>
      </c>
      <c r="NR9" s="83">
        <v>666.67836799999998</v>
      </c>
      <c r="NS9" s="83">
        <v>659.31783900000005</v>
      </c>
      <c r="NT9" s="83">
        <v>611.32009800000003</v>
      </c>
      <c r="NU9" s="83">
        <v>646.25493100000006</v>
      </c>
      <c r="NV9" s="83">
        <v>521.41051900000002</v>
      </c>
      <c r="NW9" s="83">
        <v>562.63063499999998</v>
      </c>
      <c r="NX9" s="83">
        <v>580.05708800000002</v>
      </c>
      <c r="NY9" s="83">
        <v>594.42457100000001</v>
      </c>
      <c r="NZ9" s="83">
        <v>584.66188699999998</v>
      </c>
      <c r="OA9" s="83">
        <v>543.83124699999996</v>
      </c>
      <c r="OB9" s="83">
        <v>576.60214299999996</v>
      </c>
      <c r="OC9" s="83">
        <v>511.181423</v>
      </c>
      <c r="OD9" s="83">
        <v>551.71755299999995</v>
      </c>
      <c r="OE9" s="83">
        <v>600.63636099999997</v>
      </c>
      <c r="OF9" s="83">
        <v>615.75507900000002</v>
      </c>
      <c r="OG9" s="83">
        <v>607.04517999999996</v>
      </c>
      <c r="OH9" s="83">
        <v>563.12465799999995</v>
      </c>
      <c r="OI9" s="83">
        <v>595.29100400000004</v>
      </c>
      <c r="OJ9" s="83">
        <v>516.56116999999995</v>
      </c>
      <c r="OK9" s="83">
        <v>556.84288700000002</v>
      </c>
      <c r="OL9" s="83">
        <v>543.26591900000005</v>
      </c>
      <c r="OM9" s="83">
        <v>557.20448599999997</v>
      </c>
      <c r="ON9" s="83">
        <v>549.32917899999995</v>
      </c>
      <c r="OO9" s="83">
        <v>509.72980999999999</v>
      </c>
      <c r="OP9" s="83">
        <v>537.58032800000001</v>
      </c>
      <c r="OQ9" s="83">
        <v>508.22215699999998</v>
      </c>
      <c r="OR9" s="83">
        <v>549.02163399999995</v>
      </c>
      <c r="OS9" s="83">
        <v>565.37181199999998</v>
      </c>
      <c r="OT9" s="83">
        <v>579.64401899999996</v>
      </c>
      <c r="OU9" s="83">
        <v>569.62739299999998</v>
      </c>
      <c r="OV9" s="83">
        <v>530.41411200000005</v>
      </c>
      <c r="OW9" s="83">
        <v>562.11483199999998</v>
      </c>
      <c r="OX9" s="83">
        <v>577.45924400000001</v>
      </c>
      <c r="OY9" s="83">
        <v>622.27857500000005</v>
      </c>
      <c r="OZ9" s="83">
        <v>628.48191499999996</v>
      </c>
      <c r="PA9" s="83">
        <v>643.26182900000003</v>
      </c>
      <c r="PB9" s="83">
        <v>633.09463900000003</v>
      </c>
      <c r="PC9" s="83">
        <v>589.21501799999999</v>
      </c>
      <c r="PD9" s="83">
        <v>625.71898299999998</v>
      </c>
      <c r="PE9" s="83">
        <v>574.71920899999998</v>
      </c>
      <c r="PF9" s="83">
        <v>619.25265400000001</v>
      </c>
      <c r="PG9" s="83">
        <v>654.83150699999999</v>
      </c>
      <c r="PH9" s="83">
        <v>669.69355099999996</v>
      </c>
      <c r="PI9" s="83">
        <v>661.14440500000001</v>
      </c>
      <c r="PJ9" s="83">
        <v>613.98983799999996</v>
      </c>
      <c r="PK9" s="83">
        <v>650.45658300000002</v>
      </c>
      <c r="PL9" s="83">
        <v>543.28467999999998</v>
      </c>
      <c r="PM9" s="83">
        <v>585.95201899999995</v>
      </c>
      <c r="PN9" s="83">
        <v>604.75549699999999</v>
      </c>
      <c r="PO9" s="83">
        <v>620.05120399999998</v>
      </c>
      <c r="PP9" s="83">
        <v>609.36907099999996</v>
      </c>
      <c r="PQ9" s="83">
        <v>566.93612700000006</v>
      </c>
      <c r="PR9" s="83">
        <v>601.56704400000001</v>
      </c>
      <c r="PS9" s="83">
        <v>520.16162099999997</v>
      </c>
      <c r="PT9" s="83">
        <v>561.19916699999999</v>
      </c>
      <c r="PU9" s="83">
        <v>578.423675</v>
      </c>
      <c r="PV9" s="83">
        <v>592.73643300000003</v>
      </c>
      <c r="PW9" s="83">
        <v>583.54078600000003</v>
      </c>
      <c r="PX9" s="83">
        <v>542.659583</v>
      </c>
      <c r="PY9" s="83">
        <v>574.34796100000005</v>
      </c>
      <c r="PZ9" s="83">
        <v>530.74814000000003</v>
      </c>
      <c r="QA9" s="83">
        <v>573.17789200000004</v>
      </c>
      <c r="QB9" s="83">
        <v>591.376668</v>
      </c>
      <c r="QC9" s="83">
        <v>605.97461799999996</v>
      </c>
      <c r="QD9" s="83">
        <v>594.36957800000005</v>
      </c>
      <c r="QE9" s="83">
        <v>554.60809600000005</v>
      </c>
      <c r="QF9" s="83">
        <v>589.97346000000005</v>
      </c>
      <c r="QG9" s="83">
        <v>572.56608600000004</v>
      </c>
      <c r="QH9" s="83">
        <v>616.87340099999994</v>
      </c>
      <c r="QI9" s="83">
        <v>636.95607700000005</v>
      </c>
      <c r="QJ9" s="83">
        <v>651.67251599999997</v>
      </c>
      <c r="QK9" s="83">
        <v>643.23114499999997</v>
      </c>
      <c r="QL9" s="83">
        <v>597.20849499999997</v>
      </c>
      <c r="QM9" s="83">
        <v>632.37287600000002</v>
      </c>
      <c r="QN9" s="83">
        <v>566.950603</v>
      </c>
      <c r="QO9" s="83">
        <v>611.32795799999997</v>
      </c>
      <c r="QP9" s="83">
        <v>631.726088</v>
      </c>
      <c r="QQ9" s="83">
        <v>646.59013500000003</v>
      </c>
      <c r="QR9" s="83">
        <v>635.64288599999998</v>
      </c>
      <c r="QS9" s="83">
        <v>592.23679900000002</v>
      </c>
    </row>
    <row r="10" spans="1:461" x14ac:dyDescent="0.25">
      <c r="F10" s="82" t="str">
        <f xml:space="preserve"> _xll.EPMOlapMemberO("[PRDDESCR].[].[HELGAS GFREE MIXED GRAIN 500G]","","HELGAS GFREE MIXED GRAIN 500G","","000")</f>
        <v>HELGAS GFREE MIXED GRAIN 500G</v>
      </c>
      <c r="G10" s="82" t="str">
        <f xml:space="preserve"> _xll.EPMOlapMemberO("[PRDID].[].[168847]","","168847","","000")</f>
        <v>168847</v>
      </c>
      <c r="H10" s="82" t="str">
        <f xml:space="preserve"> _xll.EPMOlapMemberO("[LOCID].[].[6120]","","6120","","000")</f>
        <v>6120</v>
      </c>
      <c r="I10" s="82" t="str">
        <f xml:space="preserve"> _xll.EPMOlapMemberO("[LOCDESCR].[].[QBA-Hobart]","","QBA-Hobart","","000")</f>
        <v>QBA-Hobart</v>
      </c>
      <c r="J10" s="82" t="str">
        <f xml:space="preserve"> _xll.EPMOlapMemberO("[KEY_FIGURES].[].[ZGFAPPROVEDFCSTQTY]","","Approved Forecast","","000")</f>
        <v>Approved Forecast</v>
      </c>
      <c r="K10" s="83">
        <v>0.38028400000000001</v>
      </c>
      <c r="L10" s="83">
        <v>162.905665</v>
      </c>
      <c r="M10" s="83">
        <v>0</v>
      </c>
      <c r="N10" s="83">
        <v>0</v>
      </c>
      <c r="O10" s="83">
        <v>150.77931699999999</v>
      </c>
      <c r="P10" s="83">
        <v>0.22816800000000001</v>
      </c>
      <c r="Q10" s="83">
        <v>119.513142</v>
      </c>
      <c r="R10" s="83">
        <v>0.37707600000000002</v>
      </c>
      <c r="S10" s="83">
        <v>161.98961800000001</v>
      </c>
      <c r="T10" s="83">
        <v>0</v>
      </c>
      <c r="U10" s="83">
        <v>0</v>
      </c>
      <c r="V10" s="83">
        <v>173.534233</v>
      </c>
      <c r="W10" s="83">
        <v>0.226248</v>
      </c>
      <c r="X10" s="83">
        <v>177.16887199999999</v>
      </c>
      <c r="Y10" s="83">
        <v>0.36560599999999999</v>
      </c>
      <c r="Z10" s="83">
        <v>222.605796</v>
      </c>
      <c r="AA10" s="83">
        <v>0</v>
      </c>
      <c r="AB10" s="83">
        <v>0</v>
      </c>
      <c r="AC10" s="83">
        <v>193.784378</v>
      </c>
      <c r="AD10" s="83">
        <v>0.219365</v>
      </c>
      <c r="AE10" s="83">
        <v>171.41251099999999</v>
      </c>
      <c r="AF10" s="83">
        <v>0.37481100000000001</v>
      </c>
      <c r="AG10" s="83">
        <v>218.74144699999999</v>
      </c>
      <c r="AH10" s="83">
        <v>0</v>
      </c>
      <c r="AI10" s="83">
        <v>0</v>
      </c>
      <c r="AJ10" s="83">
        <v>184.22394</v>
      </c>
      <c r="AK10" s="83">
        <v>0.224888</v>
      </c>
      <c r="AL10" s="83">
        <v>193.86230599999999</v>
      </c>
      <c r="AM10" s="83">
        <v>0.52092499999999997</v>
      </c>
      <c r="AN10" s="83">
        <v>253.736209</v>
      </c>
      <c r="AO10" s="83">
        <v>0</v>
      </c>
      <c r="AP10" s="83">
        <v>0</v>
      </c>
      <c r="AQ10" s="83">
        <v>217.28766200000001</v>
      </c>
      <c r="AR10" s="83">
        <v>0.28195700000000001</v>
      </c>
      <c r="AS10" s="83">
        <v>183.106852</v>
      </c>
      <c r="AT10" s="83">
        <v>0.46992600000000001</v>
      </c>
      <c r="AU10" s="83">
        <v>239.59310600000001</v>
      </c>
      <c r="AV10" s="83">
        <v>0</v>
      </c>
      <c r="AW10" s="83">
        <v>0</v>
      </c>
      <c r="AX10" s="83">
        <v>217.79697100000001</v>
      </c>
      <c r="AY10" s="83">
        <v>0.28011799999999998</v>
      </c>
      <c r="AZ10" s="83">
        <v>185.582078</v>
      </c>
      <c r="BA10" s="83">
        <v>0.46686299999999997</v>
      </c>
      <c r="BB10" s="83">
        <v>239.81421700000001</v>
      </c>
      <c r="BC10" s="83">
        <v>0</v>
      </c>
      <c r="BD10" s="83">
        <v>0</v>
      </c>
      <c r="BE10" s="83">
        <v>202.59366700000001</v>
      </c>
      <c r="BF10" s="83">
        <v>0.24541499999999999</v>
      </c>
      <c r="BG10" s="83">
        <v>180.81200200000001</v>
      </c>
      <c r="BH10" s="83">
        <v>0.355016</v>
      </c>
      <c r="BI10" s="83">
        <v>205.10916599999999</v>
      </c>
      <c r="BJ10" s="83">
        <v>0</v>
      </c>
      <c r="BK10" s="83">
        <v>0</v>
      </c>
      <c r="BL10" s="83">
        <v>187.282228</v>
      </c>
      <c r="BM10" s="83">
        <v>0.23466300000000001</v>
      </c>
      <c r="BN10" s="83">
        <v>188.650901</v>
      </c>
      <c r="BO10" s="83">
        <v>0.39225700000000002</v>
      </c>
      <c r="BP10" s="83">
        <v>211.411068</v>
      </c>
      <c r="BQ10" s="83">
        <v>0</v>
      </c>
      <c r="BR10" s="83">
        <v>0</v>
      </c>
      <c r="BS10" s="83">
        <v>190.47696199999999</v>
      </c>
      <c r="BT10" s="83">
        <v>0.21407999999999999</v>
      </c>
      <c r="BU10" s="83">
        <v>179.14329900000001</v>
      </c>
      <c r="BV10" s="83">
        <v>0.35786000000000001</v>
      </c>
      <c r="BW10" s="83">
        <v>202.277672</v>
      </c>
      <c r="BX10" s="83">
        <v>0</v>
      </c>
      <c r="BY10" s="83">
        <v>0</v>
      </c>
      <c r="BZ10" s="83">
        <v>148.50030899999999</v>
      </c>
      <c r="CA10" s="83">
        <v>0.194635</v>
      </c>
      <c r="CB10" s="83">
        <v>141.42898</v>
      </c>
      <c r="CC10" s="83">
        <v>0.32535900000000001</v>
      </c>
      <c r="CD10" s="83">
        <v>159.25612899999999</v>
      </c>
      <c r="CE10" s="83">
        <v>0</v>
      </c>
      <c r="CF10" s="83">
        <v>0</v>
      </c>
      <c r="CG10" s="83">
        <v>251.05412200000001</v>
      </c>
      <c r="CH10" s="83">
        <v>0.27760899999999999</v>
      </c>
      <c r="CI10" s="83">
        <v>236.76852400000001</v>
      </c>
      <c r="CJ10" s="83">
        <v>0.46405400000000002</v>
      </c>
      <c r="CK10" s="83">
        <v>267.16852299999999</v>
      </c>
      <c r="CL10" s="83">
        <v>0</v>
      </c>
      <c r="CM10" s="83">
        <v>0</v>
      </c>
      <c r="CN10" s="83">
        <v>257.37050900000003</v>
      </c>
      <c r="CO10" s="83">
        <v>0.23531299999999999</v>
      </c>
      <c r="CP10" s="83">
        <v>265.22495199999997</v>
      </c>
      <c r="CQ10" s="83">
        <v>0.393349</v>
      </c>
      <c r="CR10" s="83">
        <v>293.13782400000002</v>
      </c>
      <c r="CS10" s="83">
        <v>0</v>
      </c>
      <c r="CT10" s="83">
        <v>0</v>
      </c>
      <c r="CU10" s="83">
        <v>277.21540900000002</v>
      </c>
      <c r="CV10" s="83">
        <v>0.20885899999999999</v>
      </c>
      <c r="CW10" s="83">
        <v>296.10419400000001</v>
      </c>
      <c r="CX10" s="83">
        <v>0.34912799999999999</v>
      </c>
      <c r="CY10" s="83">
        <v>329.55940500000003</v>
      </c>
      <c r="CZ10" s="83">
        <v>0</v>
      </c>
      <c r="DA10" s="83">
        <v>0</v>
      </c>
      <c r="DB10" s="83">
        <v>279.35526299999998</v>
      </c>
      <c r="DC10" s="83">
        <v>0.28125499999999998</v>
      </c>
      <c r="DD10" s="83">
        <v>266.047325</v>
      </c>
      <c r="DE10" s="83">
        <v>0.47014600000000001</v>
      </c>
      <c r="DF10" s="83">
        <v>296.11692799999997</v>
      </c>
      <c r="DG10" s="83">
        <v>0</v>
      </c>
      <c r="DH10" s="83">
        <v>0</v>
      </c>
      <c r="DI10" s="83">
        <v>250.600955</v>
      </c>
      <c r="DJ10" s="83">
        <v>0.227462</v>
      </c>
      <c r="DK10" s="83">
        <v>243.44927899999999</v>
      </c>
      <c r="DL10" s="83">
        <v>0.38022400000000001</v>
      </c>
      <c r="DM10" s="83">
        <v>272.79424299999999</v>
      </c>
      <c r="DN10" s="83">
        <v>0</v>
      </c>
      <c r="DO10" s="83">
        <v>0</v>
      </c>
      <c r="DP10" s="83">
        <v>245.63013599999999</v>
      </c>
      <c r="DQ10" s="83">
        <v>0.24051500000000001</v>
      </c>
      <c r="DR10" s="83">
        <v>240.497139</v>
      </c>
      <c r="DS10" s="83">
        <v>0.40204499999999999</v>
      </c>
      <c r="DT10" s="83">
        <v>267.11855100000002</v>
      </c>
      <c r="DU10" s="83">
        <v>0</v>
      </c>
      <c r="DV10" s="83">
        <v>0</v>
      </c>
      <c r="DW10" s="83">
        <v>242.86579499999999</v>
      </c>
      <c r="DX10" s="83">
        <v>0.227991</v>
      </c>
      <c r="DY10" s="83">
        <v>244.17252099999999</v>
      </c>
      <c r="DZ10" s="83">
        <v>0.38111200000000001</v>
      </c>
      <c r="EA10" s="83">
        <v>273.59988299999998</v>
      </c>
      <c r="EB10" s="83">
        <v>0</v>
      </c>
      <c r="EC10" s="83">
        <v>0</v>
      </c>
      <c r="ED10" s="83">
        <v>241.34926999999999</v>
      </c>
      <c r="EE10" s="83">
        <v>0.247532</v>
      </c>
      <c r="EF10" s="83">
        <v>243.41039599999999</v>
      </c>
      <c r="EG10" s="83">
        <v>0.41377799999999998</v>
      </c>
      <c r="EH10" s="83">
        <v>270.382653</v>
      </c>
      <c r="EI10" s="83">
        <v>0</v>
      </c>
      <c r="EJ10" s="83">
        <v>0</v>
      </c>
      <c r="EK10" s="83">
        <v>212.17397399999999</v>
      </c>
      <c r="EL10" s="83">
        <v>0.201595</v>
      </c>
      <c r="EM10" s="83">
        <v>204.828159</v>
      </c>
      <c r="EN10" s="83">
        <v>0.33699000000000001</v>
      </c>
      <c r="EO10" s="83">
        <v>229.85499999999999</v>
      </c>
      <c r="EP10" s="83">
        <v>0</v>
      </c>
      <c r="EQ10" s="83">
        <v>0</v>
      </c>
      <c r="ER10" s="83">
        <v>224.273976</v>
      </c>
      <c r="ES10" s="83">
        <v>0.21289</v>
      </c>
      <c r="ET10" s="83">
        <v>217.51156599999999</v>
      </c>
      <c r="EU10" s="83">
        <v>0.35587099999999999</v>
      </c>
      <c r="EV10" s="83">
        <v>241.39927700000001</v>
      </c>
      <c r="EW10" s="83">
        <v>0</v>
      </c>
      <c r="EX10" s="83">
        <v>0</v>
      </c>
      <c r="EY10" s="83">
        <v>240.75177299999999</v>
      </c>
      <c r="EZ10" s="83">
        <v>0.22726099999999999</v>
      </c>
      <c r="FA10" s="83">
        <v>245.52001300000001</v>
      </c>
      <c r="FB10" s="83">
        <v>0.37989400000000001</v>
      </c>
      <c r="FC10" s="83">
        <v>274.88647500000002</v>
      </c>
      <c r="FD10" s="83">
        <v>0</v>
      </c>
      <c r="FE10" s="83">
        <v>0</v>
      </c>
      <c r="FF10" s="83">
        <v>222.07111</v>
      </c>
      <c r="FG10" s="83">
        <v>0.214864</v>
      </c>
      <c r="FH10" s="83">
        <v>262.96202599999998</v>
      </c>
      <c r="FI10" s="83">
        <v>0.51398500000000003</v>
      </c>
      <c r="FJ10" s="83">
        <v>293.88669399999998</v>
      </c>
      <c r="FK10" s="83">
        <v>0</v>
      </c>
      <c r="FL10" s="83">
        <v>0</v>
      </c>
      <c r="FM10" s="83">
        <v>230.105042</v>
      </c>
      <c r="FN10" s="83">
        <v>0.288103</v>
      </c>
      <c r="FO10" s="83">
        <v>177.93548799999999</v>
      </c>
      <c r="FP10" s="83">
        <v>0.336536</v>
      </c>
      <c r="FQ10" s="83">
        <v>200.54068899999999</v>
      </c>
      <c r="FR10" s="83">
        <v>0</v>
      </c>
      <c r="FS10" s="83">
        <v>0</v>
      </c>
      <c r="FT10" s="83">
        <v>206.03322</v>
      </c>
      <c r="FU10" s="83">
        <v>0.203485</v>
      </c>
      <c r="FV10" s="83">
        <v>226.63498300000001</v>
      </c>
      <c r="FW10" s="83">
        <v>0.34014499999999998</v>
      </c>
      <c r="FX10" s="83">
        <v>250.776051</v>
      </c>
      <c r="FY10" s="83">
        <v>0</v>
      </c>
      <c r="FZ10" s="83">
        <v>0</v>
      </c>
      <c r="GA10" s="83">
        <v>249.959641</v>
      </c>
      <c r="GB10" s="83">
        <v>0.21573800000000001</v>
      </c>
      <c r="GC10" s="83">
        <v>225.605144</v>
      </c>
      <c r="GD10" s="83">
        <v>0.360628</v>
      </c>
      <c r="GE10" s="83">
        <v>252.82881800000001</v>
      </c>
      <c r="GF10" s="83">
        <v>0</v>
      </c>
      <c r="GG10" s="83">
        <v>0</v>
      </c>
      <c r="GH10" s="83">
        <v>170.256338</v>
      </c>
      <c r="GI10" s="83">
        <v>0.155387</v>
      </c>
      <c r="GJ10" s="83">
        <v>175.448519</v>
      </c>
      <c r="GK10" s="83">
        <v>0.259743</v>
      </c>
      <c r="GL10" s="83">
        <v>193.98589000000001</v>
      </c>
      <c r="GM10" s="83">
        <v>0</v>
      </c>
      <c r="GN10" s="83">
        <v>0</v>
      </c>
      <c r="GO10" s="83">
        <v>224.372961</v>
      </c>
      <c r="GP10" s="83">
        <v>0.201344</v>
      </c>
      <c r="GQ10" s="83">
        <v>217.33851999999999</v>
      </c>
      <c r="GR10" s="83">
        <v>0.33657100000000001</v>
      </c>
      <c r="GS10" s="83">
        <v>243.47946400000001</v>
      </c>
      <c r="GT10" s="83">
        <v>0</v>
      </c>
      <c r="GU10" s="83">
        <v>0</v>
      </c>
      <c r="GV10" s="83">
        <v>174.243112</v>
      </c>
      <c r="GW10" s="83">
        <v>0.15617600000000001</v>
      </c>
      <c r="GX10" s="83">
        <v>180.894913</v>
      </c>
      <c r="GY10" s="83">
        <v>0.26106099999999999</v>
      </c>
      <c r="GZ10" s="83">
        <v>199.90893399999999</v>
      </c>
      <c r="HA10" s="83">
        <v>0</v>
      </c>
      <c r="HB10" s="83">
        <v>0</v>
      </c>
      <c r="HC10" s="83">
        <v>227.16958700000001</v>
      </c>
      <c r="HD10" s="83">
        <v>0.20280699999999999</v>
      </c>
      <c r="HE10" s="83">
        <v>254.29952700000001</v>
      </c>
      <c r="HF10" s="83">
        <v>0.479292</v>
      </c>
      <c r="HG10" s="83">
        <v>286.57300500000002</v>
      </c>
      <c r="HH10" s="83">
        <v>0</v>
      </c>
      <c r="HI10" s="83">
        <v>0</v>
      </c>
      <c r="HJ10" s="83">
        <v>219.85148699999999</v>
      </c>
      <c r="HK10" s="83">
        <v>0.25449100000000002</v>
      </c>
      <c r="HL10" s="83">
        <v>186.56200699999999</v>
      </c>
      <c r="HM10" s="83">
        <v>0.30091000000000001</v>
      </c>
      <c r="HN10" s="83">
        <v>206.94515200000001</v>
      </c>
      <c r="HO10" s="83">
        <v>0</v>
      </c>
      <c r="HP10" s="83">
        <v>0</v>
      </c>
      <c r="HQ10" s="83">
        <v>250.394034</v>
      </c>
      <c r="HR10" s="83">
        <v>0.24723400000000001</v>
      </c>
      <c r="HS10" s="83">
        <v>237.482077</v>
      </c>
      <c r="HT10" s="83">
        <v>0.41327799999999998</v>
      </c>
      <c r="HU10" s="83">
        <v>266.881077</v>
      </c>
      <c r="HV10" s="83">
        <v>0</v>
      </c>
      <c r="HW10" s="83">
        <v>0</v>
      </c>
      <c r="HX10" s="83">
        <v>258.536295</v>
      </c>
      <c r="HY10" s="83">
        <v>0.22820499999999999</v>
      </c>
      <c r="HZ10" s="83">
        <v>271.66914600000001</v>
      </c>
      <c r="IA10" s="83">
        <v>0.38146999999999998</v>
      </c>
      <c r="IB10" s="83">
        <v>299.90556299999997</v>
      </c>
      <c r="IC10" s="83">
        <v>0</v>
      </c>
      <c r="ID10" s="83">
        <v>0</v>
      </c>
      <c r="IE10" s="83">
        <v>268.05103100000002</v>
      </c>
      <c r="IF10" s="83">
        <v>0.228991</v>
      </c>
      <c r="IG10" s="83">
        <v>289.57355999999999</v>
      </c>
      <c r="IH10" s="83">
        <v>0.49763400000000002</v>
      </c>
      <c r="II10" s="83">
        <v>325.37369899999999</v>
      </c>
      <c r="IJ10" s="83">
        <v>0</v>
      </c>
      <c r="IK10" s="83">
        <v>0</v>
      </c>
      <c r="IL10" s="83">
        <v>245.718583</v>
      </c>
      <c r="IM10" s="83">
        <v>0.24261199999999999</v>
      </c>
      <c r="IN10" s="83">
        <v>223.38549699999999</v>
      </c>
      <c r="IO10" s="83">
        <v>0.31195299999999998</v>
      </c>
      <c r="IP10" s="83">
        <v>246.61099999999999</v>
      </c>
      <c r="IQ10" s="83">
        <v>0</v>
      </c>
      <c r="IR10" s="83">
        <v>0</v>
      </c>
      <c r="IS10" s="83">
        <v>237.127894</v>
      </c>
      <c r="IT10" s="83">
        <v>0.20935200000000001</v>
      </c>
      <c r="IU10" s="83">
        <v>235.23826600000001</v>
      </c>
      <c r="IV10" s="83">
        <v>0.34995700000000002</v>
      </c>
      <c r="IW10" s="83">
        <v>263.24917699999997</v>
      </c>
      <c r="IX10" s="83">
        <v>0</v>
      </c>
      <c r="IY10" s="83">
        <v>0</v>
      </c>
      <c r="IZ10" s="83">
        <v>287.314955</v>
      </c>
      <c r="JA10" s="83">
        <v>0.27479300000000001</v>
      </c>
      <c r="JB10" s="83">
        <v>299.90583400000003</v>
      </c>
      <c r="JC10" s="83">
        <v>0.45934399999999997</v>
      </c>
      <c r="JD10" s="83">
        <v>332.07714399999998</v>
      </c>
      <c r="JE10" s="83">
        <v>0</v>
      </c>
      <c r="JF10" s="83">
        <v>0</v>
      </c>
      <c r="JG10" s="83">
        <v>211.60758000000001</v>
      </c>
      <c r="JH10" s="83">
        <v>0.183251</v>
      </c>
      <c r="JI10" s="83">
        <v>239.553787</v>
      </c>
      <c r="JJ10" s="83">
        <v>0.463611</v>
      </c>
      <c r="JK10" s="83">
        <v>270.13543399999998</v>
      </c>
      <c r="JL10" s="83">
        <v>0</v>
      </c>
      <c r="JM10" s="83">
        <v>0</v>
      </c>
      <c r="JN10" s="83">
        <v>145.40426099999999</v>
      </c>
      <c r="JO10" s="83">
        <v>0.22181300000000001</v>
      </c>
      <c r="JP10" s="83">
        <v>107.53045400000001</v>
      </c>
      <c r="JQ10" s="83">
        <v>0.24548300000000001</v>
      </c>
      <c r="JR10" s="83">
        <v>119.711992</v>
      </c>
      <c r="JS10" s="83">
        <v>99.512172000000007</v>
      </c>
      <c r="JT10" s="83">
        <v>99.459918999999999</v>
      </c>
      <c r="JU10" s="83">
        <v>74.360502999999994</v>
      </c>
      <c r="JV10" s="83">
        <v>68.687174999999996</v>
      </c>
      <c r="JW10" s="83">
        <v>81.433395000000004</v>
      </c>
      <c r="JX10" s="83">
        <v>68.548164</v>
      </c>
      <c r="JY10" s="83">
        <v>66.857577000000006</v>
      </c>
      <c r="JZ10" s="83">
        <v>67.015756999999994</v>
      </c>
      <c r="KA10" s="83">
        <v>66.898340000000005</v>
      </c>
      <c r="KB10" s="83">
        <v>66.703991000000002</v>
      </c>
      <c r="KC10" s="83">
        <v>63.086360999999997</v>
      </c>
      <c r="KD10" s="83">
        <v>76.037773999999999</v>
      </c>
      <c r="KE10" s="83">
        <v>63.527811999999997</v>
      </c>
      <c r="KF10" s="83">
        <v>62.617510000000003</v>
      </c>
      <c r="KG10" s="83">
        <v>62.204442999999998</v>
      </c>
      <c r="KH10" s="83">
        <v>62.177407000000002</v>
      </c>
      <c r="KI10" s="83">
        <v>68.966530000000006</v>
      </c>
      <c r="KJ10" s="83">
        <v>63.596823999999998</v>
      </c>
      <c r="KK10" s="83">
        <v>75.040137999999999</v>
      </c>
      <c r="KL10" s="83">
        <v>63.468983000000001</v>
      </c>
      <c r="KM10" s="83">
        <v>61.962125999999998</v>
      </c>
      <c r="KN10" s="83">
        <v>62.111257999999999</v>
      </c>
      <c r="KO10" s="83">
        <v>61.998235000000001</v>
      </c>
      <c r="KP10" s="83">
        <v>70.753371999999999</v>
      </c>
      <c r="KQ10" s="83">
        <v>66.927344000000005</v>
      </c>
      <c r="KR10" s="83">
        <v>80.822732999999999</v>
      </c>
      <c r="KS10" s="83">
        <v>67.012237999999996</v>
      </c>
      <c r="KT10" s="83">
        <v>65.851935999999995</v>
      </c>
      <c r="KU10" s="83">
        <v>65.485877000000002</v>
      </c>
      <c r="KV10" s="83">
        <v>65.454695000000001</v>
      </c>
      <c r="KW10" s="83">
        <v>78.619277999999994</v>
      </c>
      <c r="KX10" s="83">
        <v>72.428331999999997</v>
      </c>
      <c r="KY10" s="83">
        <v>85.486722</v>
      </c>
      <c r="KZ10" s="83">
        <v>72.527191999999999</v>
      </c>
      <c r="LA10" s="83">
        <v>70.848096999999996</v>
      </c>
      <c r="LB10" s="83">
        <v>71.020452000000006</v>
      </c>
      <c r="LC10" s="83">
        <v>70.888169000000005</v>
      </c>
      <c r="LD10" s="83">
        <v>65.285595000000001</v>
      </c>
      <c r="LE10" s="83">
        <v>61.752321000000002</v>
      </c>
      <c r="LF10" s="83">
        <v>74.567440000000005</v>
      </c>
      <c r="LG10" s="83">
        <v>61.961872999999997</v>
      </c>
      <c r="LH10" s="83">
        <v>60.942475000000002</v>
      </c>
      <c r="LI10" s="83">
        <v>60.585386999999997</v>
      </c>
      <c r="LJ10" s="83">
        <v>60.557267000000003</v>
      </c>
      <c r="LK10" s="83">
        <v>69.244491999999994</v>
      </c>
      <c r="LL10" s="83">
        <v>63.928077999999999</v>
      </c>
      <c r="LM10" s="83">
        <v>76.068218000000002</v>
      </c>
      <c r="LN10" s="83">
        <v>64.166190999999998</v>
      </c>
      <c r="LO10" s="83">
        <v>62.609622000000002</v>
      </c>
      <c r="LP10" s="83">
        <v>62.758881000000002</v>
      </c>
      <c r="LQ10" s="83">
        <v>62.647053</v>
      </c>
      <c r="LR10" s="83">
        <v>67.227917000000005</v>
      </c>
      <c r="LS10" s="83">
        <v>63.595996999999997</v>
      </c>
      <c r="LT10" s="83">
        <v>79.959371000000004</v>
      </c>
      <c r="LU10" s="83">
        <v>66.389525000000006</v>
      </c>
      <c r="LV10" s="83">
        <v>65.276587000000006</v>
      </c>
      <c r="LW10" s="83">
        <v>64.901188000000005</v>
      </c>
      <c r="LX10" s="83">
        <v>64.870771000000005</v>
      </c>
      <c r="LY10" s="83">
        <v>74.991739999999993</v>
      </c>
      <c r="LZ10" s="83">
        <v>69.111552000000003</v>
      </c>
      <c r="MA10" s="83">
        <v>78.393843000000004</v>
      </c>
      <c r="MB10" s="83">
        <v>66.216564000000005</v>
      </c>
      <c r="MC10" s="83">
        <v>64.625974999999997</v>
      </c>
      <c r="MD10" s="83">
        <v>64.779892000000004</v>
      </c>
      <c r="ME10" s="83">
        <v>64.664179000000004</v>
      </c>
      <c r="MF10" s="83">
        <v>67.925674000000001</v>
      </c>
      <c r="MG10" s="83">
        <v>64.240622000000002</v>
      </c>
      <c r="MH10" s="83">
        <v>76.946988000000005</v>
      </c>
      <c r="MI10" s="83">
        <v>64.305762999999999</v>
      </c>
      <c r="MJ10" s="83">
        <v>63.391458999999998</v>
      </c>
      <c r="MK10" s="83">
        <v>62.970840000000003</v>
      </c>
      <c r="ML10" s="83">
        <v>62.943564000000002</v>
      </c>
      <c r="MM10" s="83">
        <v>63.712311</v>
      </c>
      <c r="MN10" s="83">
        <v>58.879714</v>
      </c>
      <c r="MO10" s="83">
        <v>74.175638000000006</v>
      </c>
      <c r="MP10" s="83">
        <v>62.806961000000001</v>
      </c>
      <c r="MQ10" s="83">
        <v>61.329124</v>
      </c>
      <c r="MR10" s="83">
        <v>61.477311999999998</v>
      </c>
      <c r="MS10" s="83">
        <v>61.364488000000001</v>
      </c>
      <c r="MT10" s="83">
        <v>72.063267999999994</v>
      </c>
      <c r="MU10" s="83">
        <v>68.146930999999995</v>
      </c>
      <c r="MV10" s="83">
        <v>76.398021999999997</v>
      </c>
      <c r="MW10" s="83">
        <v>63.776457999999998</v>
      </c>
      <c r="MX10" s="83">
        <v>62.842193999999999</v>
      </c>
      <c r="MY10" s="83">
        <v>62.434612000000001</v>
      </c>
      <c r="MZ10" s="83">
        <v>62.407204999999998</v>
      </c>
      <c r="NA10" s="83">
        <v>93.489131999999998</v>
      </c>
      <c r="NB10" s="83">
        <v>85.550101999999995</v>
      </c>
      <c r="NC10" s="83">
        <v>99.285765999999995</v>
      </c>
      <c r="ND10" s="83">
        <v>85.891760000000005</v>
      </c>
      <c r="NE10" s="83">
        <v>84.221085000000002</v>
      </c>
      <c r="NF10" s="83">
        <v>84.439773000000002</v>
      </c>
      <c r="NG10" s="83">
        <v>84.259715999999997</v>
      </c>
      <c r="NH10" s="83">
        <v>96.071296000000004</v>
      </c>
      <c r="NI10" s="83">
        <v>90.842742999999999</v>
      </c>
      <c r="NJ10" s="83">
        <v>106.29317899999999</v>
      </c>
      <c r="NK10" s="83">
        <v>89.419013000000007</v>
      </c>
      <c r="NL10" s="83">
        <v>88.376857000000001</v>
      </c>
      <c r="NM10" s="83">
        <v>87.712159</v>
      </c>
      <c r="NN10" s="83">
        <v>87.677289999999999</v>
      </c>
      <c r="NO10" s="83">
        <v>104.520866</v>
      </c>
      <c r="NP10" s="83">
        <v>95.933474000000004</v>
      </c>
      <c r="NQ10" s="83">
        <v>114.041972</v>
      </c>
      <c r="NR10" s="83">
        <v>97.960145999999995</v>
      </c>
      <c r="NS10" s="83">
        <v>95.923619000000002</v>
      </c>
      <c r="NT10" s="83">
        <v>96.167028999999999</v>
      </c>
      <c r="NU10" s="83">
        <v>95.971311</v>
      </c>
      <c r="NV10" s="83">
        <v>94.090807999999996</v>
      </c>
      <c r="NW10" s="83">
        <v>88.968176999999997</v>
      </c>
      <c r="NX10" s="83">
        <v>105.607502</v>
      </c>
      <c r="NY10" s="83">
        <v>89.033592999999996</v>
      </c>
      <c r="NZ10" s="83">
        <v>88.070006000000006</v>
      </c>
      <c r="OA10" s="83">
        <v>87.382383000000004</v>
      </c>
      <c r="OB10" s="83">
        <v>87.348652000000001</v>
      </c>
      <c r="OC10" s="83">
        <v>95.556818000000007</v>
      </c>
      <c r="OD10" s="83">
        <v>87.793813999999998</v>
      </c>
      <c r="OE10" s="83">
        <v>109.95487199999999</v>
      </c>
      <c r="OF10" s="83">
        <v>94.659544999999994</v>
      </c>
      <c r="OG10" s="83">
        <v>92.731426999999996</v>
      </c>
      <c r="OH10" s="83">
        <v>92.968457999999998</v>
      </c>
      <c r="OI10" s="83">
        <v>92.776409999999998</v>
      </c>
      <c r="OJ10" s="83">
        <v>97.842588000000006</v>
      </c>
      <c r="OK10" s="83">
        <v>92.519676000000004</v>
      </c>
      <c r="OL10" s="83">
        <v>103.460213</v>
      </c>
      <c r="OM10" s="83">
        <v>86.610248999999996</v>
      </c>
      <c r="ON10" s="83">
        <v>85.436080000000004</v>
      </c>
      <c r="OO10" s="83">
        <v>84.849630000000005</v>
      </c>
      <c r="OP10" s="83">
        <v>84.813654999999997</v>
      </c>
      <c r="OQ10" s="83">
        <v>89.827601000000001</v>
      </c>
      <c r="OR10" s="83">
        <v>82.527585000000002</v>
      </c>
      <c r="OS10" s="83">
        <v>96.869688999999994</v>
      </c>
      <c r="OT10" s="83">
        <v>82.847160000000002</v>
      </c>
      <c r="OU10" s="83">
        <v>81.056195000000002</v>
      </c>
      <c r="OV10" s="83">
        <v>81.258916999999997</v>
      </c>
      <c r="OW10" s="83">
        <v>81.098445999999996</v>
      </c>
      <c r="OX10" s="83">
        <v>90.214123000000001</v>
      </c>
      <c r="OY10" s="83">
        <v>85.304327999999998</v>
      </c>
      <c r="OZ10" s="83">
        <v>98.718326000000005</v>
      </c>
      <c r="PA10" s="83">
        <v>83.08175</v>
      </c>
      <c r="PB10" s="83">
        <v>82.125015000000005</v>
      </c>
      <c r="PC10" s="83">
        <v>81.503883000000002</v>
      </c>
      <c r="PD10" s="83">
        <v>81.471632999999997</v>
      </c>
      <c r="PE10" s="83">
        <v>85.899122000000006</v>
      </c>
      <c r="PF10" s="83">
        <v>78.686716000000004</v>
      </c>
      <c r="PG10" s="83">
        <v>94.090656999999993</v>
      </c>
      <c r="PH10" s="83">
        <v>81.361812999999998</v>
      </c>
      <c r="PI10" s="83">
        <v>79.772531000000001</v>
      </c>
      <c r="PJ10" s="83">
        <v>79.979381000000004</v>
      </c>
      <c r="PK10" s="83">
        <v>79.809307000000004</v>
      </c>
      <c r="PL10" s="83">
        <v>84.327230999999998</v>
      </c>
      <c r="PM10" s="83">
        <v>79.740510999999998</v>
      </c>
      <c r="PN10" s="83">
        <v>94.884407999999993</v>
      </c>
      <c r="PO10" s="83">
        <v>79.805104</v>
      </c>
      <c r="PP10" s="83">
        <v>78.868691999999996</v>
      </c>
      <c r="PQ10" s="83">
        <v>78.277662000000007</v>
      </c>
      <c r="PR10" s="83">
        <v>78.246442999999999</v>
      </c>
      <c r="PS10" s="83">
        <v>83.687310999999994</v>
      </c>
      <c r="PT10" s="83">
        <v>76.739908999999997</v>
      </c>
      <c r="PU10" s="83">
        <v>89.591009</v>
      </c>
      <c r="PV10" s="83">
        <v>77.041523999999995</v>
      </c>
      <c r="PW10" s="83">
        <v>75.455871000000002</v>
      </c>
      <c r="PX10" s="83">
        <v>75.648022999999995</v>
      </c>
      <c r="PY10" s="83">
        <v>75.492930000000001</v>
      </c>
      <c r="PZ10" s="83">
        <v>63.692943</v>
      </c>
      <c r="QA10" s="83">
        <v>60.238909999999997</v>
      </c>
      <c r="QB10" s="83">
        <v>72.227377000000004</v>
      </c>
      <c r="QC10" s="83">
        <v>60.301901999999998</v>
      </c>
      <c r="QD10" s="83">
        <v>59.421315999999997</v>
      </c>
      <c r="QE10" s="83">
        <v>59.034961000000003</v>
      </c>
      <c r="QF10" s="83">
        <v>59.009070999999999</v>
      </c>
      <c r="QG10" s="83">
        <v>110.55728499999999</v>
      </c>
      <c r="QH10" s="83">
        <v>101.321628</v>
      </c>
      <c r="QI10" s="83">
        <v>118.09793000000001</v>
      </c>
      <c r="QJ10" s="83">
        <v>101.721614</v>
      </c>
      <c r="QK10" s="83">
        <v>99.659436999999997</v>
      </c>
      <c r="QL10" s="83">
        <v>99.914597000000001</v>
      </c>
      <c r="QM10" s="83">
        <v>99.707499999999996</v>
      </c>
      <c r="QN10" s="83">
        <v>116.109504</v>
      </c>
      <c r="QO10" s="83">
        <v>109.748142</v>
      </c>
      <c r="QP10" s="83">
        <v>127.81325</v>
      </c>
      <c r="QQ10" s="83">
        <v>109.76558799999999</v>
      </c>
      <c r="QR10" s="83">
        <v>109.34886400000001</v>
      </c>
      <c r="QS10" s="83">
        <v>108.233874</v>
      </c>
    </row>
    <row r="11" spans="1:461" x14ac:dyDescent="0.25">
      <c r="F11" s="82" t="str">
        <f xml:space="preserve"> _xll.EPMOlapMemberO("[PRDDESCR].[].[HELGAS GFREE MIXED GRAIN 500G]","","HELGAS GFREE MIXED GRAIN 500G","","000")</f>
        <v>HELGAS GFREE MIXED GRAIN 500G</v>
      </c>
      <c r="G11" s="82" t="str">
        <f xml:space="preserve"> _xll.EPMOlapMemberO("[PRDID].[].[168847]","","168847","","000")</f>
        <v>168847</v>
      </c>
      <c r="H11" s="82" t="str">
        <f xml:space="preserve"> _xll.EPMOlapMemberO("[LOCID].[].[6123]","","6123","","000")</f>
        <v>6123</v>
      </c>
      <c r="I11" s="82" t="str">
        <f xml:space="preserve"> _xll.EPMOlapMemberO("[LOCDESCR].[].[QBA-Clayton - Fairbank]","","QBA-Clayton - Fairbank","","000")</f>
        <v>QBA-Clayton - Fairbank</v>
      </c>
      <c r="J11" s="82" t="str">
        <f xml:space="preserve"> _xll.EPMOlapMemberO("[KEY_FIGURES].[].[ZGFAPPROVEDFCSTQTY]","","Approved Forecast","","000")</f>
        <v>Approved Forecast</v>
      </c>
      <c r="K11" s="83">
        <v>243.34882500000001</v>
      </c>
      <c r="L11" s="83">
        <v>568.74694199999999</v>
      </c>
      <c r="M11" s="83">
        <v>378.71099600000002</v>
      </c>
      <c r="N11" s="83">
        <v>845.84186699999998</v>
      </c>
      <c r="O11" s="83">
        <v>0</v>
      </c>
      <c r="P11" s="83">
        <v>0.405171</v>
      </c>
      <c r="Q11" s="83">
        <v>935.83007899999996</v>
      </c>
      <c r="R11" s="83">
        <v>227.07681099999999</v>
      </c>
      <c r="S11" s="83">
        <v>547.79665399999999</v>
      </c>
      <c r="T11" s="83">
        <v>364.84433899999999</v>
      </c>
      <c r="U11" s="83">
        <v>864.23700499999995</v>
      </c>
      <c r="V11" s="83">
        <v>0</v>
      </c>
      <c r="W11" s="83">
        <v>0.40803400000000001</v>
      </c>
      <c r="X11" s="83">
        <v>814.62796100000003</v>
      </c>
      <c r="Y11" s="83">
        <v>182.68596199999999</v>
      </c>
      <c r="Z11" s="83">
        <v>476.42974299999997</v>
      </c>
      <c r="AA11" s="83">
        <v>311.89819499999999</v>
      </c>
      <c r="AB11" s="83">
        <v>789.33796299999995</v>
      </c>
      <c r="AC11" s="83">
        <v>0</v>
      </c>
      <c r="AD11" s="83">
        <v>0.40401900000000002</v>
      </c>
      <c r="AE11" s="83">
        <v>834.40929500000004</v>
      </c>
      <c r="AF11" s="83">
        <v>182.64776599999999</v>
      </c>
      <c r="AG11" s="83">
        <v>483.58267999999998</v>
      </c>
      <c r="AH11" s="83">
        <v>317.68202500000001</v>
      </c>
      <c r="AI11" s="83">
        <v>809.27677600000004</v>
      </c>
      <c r="AJ11" s="83">
        <v>0</v>
      </c>
      <c r="AK11" s="83">
        <v>0.40401900000000002</v>
      </c>
      <c r="AL11" s="83">
        <v>817.25678600000003</v>
      </c>
      <c r="AM11" s="83">
        <v>184.35686999999999</v>
      </c>
      <c r="AN11" s="83">
        <v>477.41793699999999</v>
      </c>
      <c r="AO11" s="83">
        <v>315.39817199999999</v>
      </c>
      <c r="AP11" s="83">
        <v>803.78510900000003</v>
      </c>
      <c r="AQ11" s="83">
        <v>0</v>
      </c>
      <c r="AR11" s="83">
        <v>0.40401900000000002</v>
      </c>
      <c r="AS11" s="83">
        <v>812.24012800000003</v>
      </c>
      <c r="AT11" s="83">
        <v>179.636966</v>
      </c>
      <c r="AU11" s="83">
        <v>471.28043100000002</v>
      </c>
      <c r="AV11" s="83">
        <v>310.40221000000003</v>
      </c>
      <c r="AW11" s="83">
        <v>796.96888000000001</v>
      </c>
      <c r="AX11" s="83">
        <v>0</v>
      </c>
      <c r="AY11" s="83">
        <v>0.40401900000000002</v>
      </c>
      <c r="AZ11" s="83">
        <v>873.06888500000002</v>
      </c>
      <c r="BA11" s="83">
        <v>199.82429500000001</v>
      </c>
      <c r="BB11" s="83">
        <v>516.47199799999999</v>
      </c>
      <c r="BC11" s="83">
        <v>339.11458199999998</v>
      </c>
      <c r="BD11" s="83">
        <v>886.96166600000004</v>
      </c>
      <c r="BE11" s="83">
        <v>0</v>
      </c>
      <c r="BF11" s="83">
        <v>0.40401900000000002</v>
      </c>
      <c r="BG11" s="83">
        <v>891.55524500000001</v>
      </c>
      <c r="BH11" s="83">
        <v>202.39323300000001</v>
      </c>
      <c r="BI11" s="83">
        <v>512.99406599999998</v>
      </c>
      <c r="BJ11" s="83">
        <v>344.847622</v>
      </c>
      <c r="BK11" s="83">
        <v>882.43786599999999</v>
      </c>
      <c r="BL11" s="83">
        <v>0</v>
      </c>
      <c r="BM11" s="83">
        <v>0.40401900000000002</v>
      </c>
      <c r="BN11" s="83">
        <v>867.00836300000003</v>
      </c>
      <c r="BO11" s="83">
        <v>203.135346</v>
      </c>
      <c r="BP11" s="83">
        <v>506.54294099999998</v>
      </c>
      <c r="BQ11" s="83">
        <v>339.96490799999998</v>
      </c>
      <c r="BR11" s="83">
        <v>873.43387199999995</v>
      </c>
      <c r="BS11" s="83">
        <v>0</v>
      </c>
      <c r="BT11" s="83">
        <v>0.40401900000000002</v>
      </c>
      <c r="BU11" s="83">
        <v>874.71981200000005</v>
      </c>
      <c r="BV11" s="83">
        <v>198.90415899999999</v>
      </c>
      <c r="BW11" s="83">
        <v>505.24435</v>
      </c>
      <c r="BX11" s="83">
        <v>338.102936</v>
      </c>
      <c r="BY11" s="83">
        <v>867.66940599999998</v>
      </c>
      <c r="BZ11" s="83">
        <v>0</v>
      </c>
      <c r="CA11" s="83">
        <v>0.40401900000000002</v>
      </c>
      <c r="CB11" s="83">
        <v>851.33548199999996</v>
      </c>
      <c r="CC11" s="83">
        <v>196.746915</v>
      </c>
      <c r="CD11" s="83">
        <v>490.18167899999997</v>
      </c>
      <c r="CE11" s="83">
        <v>332.29631000000001</v>
      </c>
      <c r="CF11" s="83">
        <v>829.17828799999995</v>
      </c>
      <c r="CG11" s="83">
        <v>0</v>
      </c>
      <c r="CH11" s="83">
        <v>0.40401900000000002</v>
      </c>
      <c r="CI11" s="83">
        <v>876.10983599999997</v>
      </c>
      <c r="CJ11" s="83">
        <v>198.27932799999999</v>
      </c>
      <c r="CK11" s="83">
        <v>504.25849599999998</v>
      </c>
      <c r="CL11" s="83">
        <v>338.13259699999998</v>
      </c>
      <c r="CM11" s="83">
        <v>859.782689</v>
      </c>
      <c r="CN11" s="83">
        <v>0</v>
      </c>
      <c r="CO11" s="83">
        <v>0.40401900000000002</v>
      </c>
      <c r="CP11" s="83">
        <v>854.86845100000005</v>
      </c>
      <c r="CQ11" s="83">
        <v>199.59510900000001</v>
      </c>
      <c r="CR11" s="83">
        <v>497.38672100000002</v>
      </c>
      <c r="CS11" s="83">
        <v>334.52496400000001</v>
      </c>
      <c r="CT11" s="83">
        <v>852.508782</v>
      </c>
      <c r="CU11" s="83">
        <v>0</v>
      </c>
      <c r="CV11" s="83">
        <v>0.40401900000000002</v>
      </c>
      <c r="CW11" s="83">
        <v>891.16623800000002</v>
      </c>
      <c r="CX11" s="83">
        <v>203.26041799999999</v>
      </c>
      <c r="CY11" s="83">
        <v>516.96080600000005</v>
      </c>
      <c r="CZ11" s="83">
        <v>344.52348899999998</v>
      </c>
      <c r="DA11" s="83">
        <v>895.32229500000005</v>
      </c>
      <c r="DB11" s="83">
        <v>0</v>
      </c>
      <c r="DC11" s="83">
        <v>0.40402100000000002</v>
      </c>
      <c r="DD11" s="83">
        <v>816.52528600000005</v>
      </c>
      <c r="DE11" s="83">
        <v>191.70053999999999</v>
      </c>
      <c r="DF11" s="83">
        <v>476.49077699999998</v>
      </c>
      <c r="DG11" s="83">
        <v>318.76134200000001</v>
      </c>
      <c r="DH11" s="83">
        <v>817.33388000000002</v>
      </c>
      <c r="DI11" s="83">
        <v>0</v>
      </c>
      <c r="DJ11" s="83">
        <v>0.40402100000000002</v>
      </c>
      <c r="DK11" s="83">
        <v>851.23062600000003</v>
      </c>
      <c r="DL11" s="83">
        <v>194.86407399999999</v>
      </c>
      <c r="DM11" s="83">
        <v>492.63340899999997</v>
      </c>
      <c r="DN11" s="83">
        <v>329.161677</v>
      </c>
      <c r="DO11" s="83">
        <v>851.30874700000004</v>
      </c>
      <c r="DP11" s="83">
        <v>0</v>
      </c>
      <c r="DQ11" s="83">
        <v>0.40402100000000002</v>
      </c>
      <c r="DR11" s="83">
        <v>888.46094100000005</v>
      </c>
      <c r="DS11" s="83">
        <v>208.48190099999999</v>
      </c>
      <c r="DT11" s="83">
        <v>521.97666900000002</v>
      </c>
      <c r="DU11" s="83">
        <v>348.28102699999999</v>
      </c>
      <c r="DV11" s="83">
        <v>903.247837</v>
      </c>
      <c r="DW11" s="83">
        <v>0</v>
      </c>
      <c r="DX11" s="83">
        <v>0.40402100000000002</v>
      </c>
      <c r="DY11" s="83">
        <v>829.55229699999995</v>
      </c>
      <c r="DZ11" s="83">
        <v>189.46673999999999</v>
      </c>
      <c r="EA11" s="83">
        <v>478.00668200000001</v>
      </c>
      <c r="EB11" s="83">
        <v>320.62911600000001</v>
      </c>
      <c r="EC11" s="83">
        <v>818.71270400000003</v>
      </c>
      <c r="ED11" s="83">
        <v>0</v>
      </c>
      <c r="EE11" s="83">
        <v>0.40402100000000002</v>
      </c>
      <c r="EF11" s="83">
        <v>819.25256899999999</v>
      </c>
      <c r="EG11" s="83">
        <v>191.60073700000001</v>
      </c>
      <c r="EH11" s="83">
        <v>476.19658199999998</v>
      </c>
      <c r="EI11" s="83">
        <v>319.73228</v>
      </c>
      <c r="EJ11" s="83">
        <v>813.43877499999996</v>
      </c>
      <c r="EK11" s="83">
        <v>0</v>
      </c>
      <c r="EL11" s="83">
        <v>0.40402100000000002</v>
      </c>
      <c r="EM11" s="83">
        <v>831.55731200000002</v>
      </c>
      <c r="EN11" s="83">
        <v>189.26980699999999</v>
      </c>
      <c r="EO11" s="83">
        <v>478.22692599999999</v>
      </c>
      <c r="EP11" s="83">
        <v>320.83586000000003</v>
      </c>
      <c r="EQ11" s="83">
        <v>814.91819599999997</v>
      </c>
      <c r="ER11" s="83">
        <v>0</v>
      </c>
      <c r="ES11" s="83">
        <v>0.40402100000000002</v>
      </c>
      <c r="ET11" s="83">
        <v>877.92673100000002</v>
      </c>
      <c r="EU11" s="83">
        <v>204.64142699999999</v>
      </c>
      <c r="EV11" s="83">
        <v>512.23720200000002</v>
      </c>
      <c r="EW11" s="83">
        <v>343.577944</v>
      </c>
      <c r="EX11" s="83">
        <v>877.69162900000003</v>
      </c>
      <c r="EY11" s="83">
        <v>0</v>
      </c>
      <c r="EZ11" s="83">
        <v>0.40402100000000002</v>
      </c>
      <c r="FA11" s="83">
        <v>894.98183600000004</v>
      </c>
      <c r="FB11" s="83">
        <v>204.21020200000001</v>
      </c>
      <c r="FC11" s="83">
        <v>519.519001</v>
      </c>
      <c r="FD11" s="83">
        <v>346.20221800000002</v>
      </c>
      <c r="FE11" s="83">
        <v>900.88878499999998</v>
      </c>
      <c r="FF11" s="83">
        <v>0</v>
      </c>
      <c r="FG11" s="83">
        <v>0.40401900000000002</v>
      </c>
      <c r="FH11" s="83">
        <v>822.87018</v>
      </c>
      <c r="FI11" s="83">
        <v>187.102261</v>
      </c>
      <c r="FJ11" s="83">
        <v>463.62538799999999</v>
      </c>
      <c r="FK11" s="83">
        <v>320.96953999999999</v>
      </c>
      <c r="FL11" s="83">
        <v>765.21406400000001</v>
      </c>
      <c r="FM11" s="83">
        <v>0</v>
      </c>
      <c r="FN11" s="83">
        <v>0.40401900000000002</v>
      </c>
      <c r="FO11" s="83">
        <v>743.58564699999999</v>
      </c>
      <c r="FP11" s="83">
        <v>174.68473299999999</v>
      </c>
      <c r="FQ11" s="83">
        <v>436.35966999999999</v>
      </c>
      <c r="FR11" s="83">
        <v>287.19080400000001</v>
      </c>
      <c r="FS11" s="83">
        <v>762.31949599999996</v>
      </c>
      <c r="FT11" s="83">
        <v>0</v>
      </c>
      <c r="FU11" s="83">
        <v>0.40402100000000002</v>
      </c>
      <c r="FV11" s="83">
        <v>813.33532500000001</v>
      </c>
      <c r="FW11" s="83">
        <v>192.32807299999999</v>
      </c>
      <c r="FX11" s="83">
        <v>476.781249</v>
      </c>
      <c r="FY11" s="83">
        <v>318.41559999999998</v>
      </c>
      <c r="FZ11" s="83">
        <v>825.60808999999995</v>
      </c>
      <c r="GA11" s="83">
        <v>0</v>
      </c>
      <c r="GB11" s="83">
        <v>0.40401900000000002</v>
      </c>
      <c r="GC11" s="83">
        <v>770.67337799999996</v>
      </c>
      <c r="GD11" s="83">
        <v>178.54944</v>
      </c>
      <c r="GE11" s="83">
        <v>447.603566</v>
      </c>
      <c r="GF11" s="83">
        <v>297.32933600000001</v>
      </c>
      <c r="GG11" s="83">
        <v>771.72544400000004</v>
      </c>
      <c r="GH11" s="83">
        <v>0</v>
      </c>
      <c r="GI11" s="83">
        <v>0.40402100000000002</v>
      </c>
      <c r="GJ11" s="83">
        <v>828.23142600000006</v>
      </c>
      <c r="GK11" s="83">
        <v>192.79936699999999</v>
      </c>
      <c r="GL11" s="83">
        <v>478.16820100000001</v>
      </c>
      <c r="GM11" s="83">
        <v>323.93475000000001</v>
      </c>
      <c r="GN11" s="83">
        <v>814.31997100000001</v>
      </c>
      <c r="GO11" s="83">
        <v>0</v>
      </c>
      <c r="GP11" s="83">
        <v>0.40402100000000002</v>
      </c>
      <c r="GQ11" s="83">
        <v>878.63240299999995</v>
      </c>
      <c r="GR11" s="83">
        <v>203.159524</v>
      </c>
      <c r="GS11" s="83">
        <v>517.07273899999996</v>
      </c>
      <c r="GT11" s="83">
        <v>339.58615400000002</v>
      </c>
      <c r="GU11" s="83">
        <v>910.56494699999996</v>
      </c>
      <c r="GV11" s="83">
        <v>0</v>
      </c>
      <c r="GW11" s="83">
        <v>0.40402100000000002</v>
      </c>
      <c r="GX11" s="83">
        <v>830.82157800000004</v>
      </c>
      <c r="GY11" s="83">
        <v>195.52005399999999</v>
      </c>
      <c r="GZ11" s="83">
        <v>487.39962300000002</v>
      </c>
      <c r="HA11" s="83">
        <v>324.33849500000002</v>
      </c>
      <c r="HB11" s="83">
        <v>839.65988100000004</v>
      </c>
      <c r="HC11" s="83">
        <v>0</v>
      </c>
      <c r="HD11" s="83">
        <v>0.40402100000000002</v>
      </c>
      <c r="HE11" s="83">
        <v>874.00736400000005</v>
      </c>
      <c r="HF11" s="83">
        <v>193.65481199999999</v>
      </c>
      <c r="HG11" s="83">
        <v>491.21619299999998</v>
      </c>
      <c r="HH11" s="83">
        <v>338.04564699999997</v>
      </c>
      <c r="HI11" s="83">
        <v>816.44102899999996</v>
      </c>
      <c r="HJ11" s="83">
        <v>0</v>
      </c>
      <c r="HK11" s="83">
        <v>0.39162400000000003</v>
      </c>
      <c r="HL11" s="83">
        <v>764.55456400000003</v>
      </c>
      <c r="HM11" s="83">
        <v>180.63204300000001</v>
      </c>
      <c r="HN11" s="83">
        <v>446.52788199999998</v>
      </c>
      <c r="HO11" s="83">
        <v>299.77238</v>
      </c>
      <c r="HP11" s="83">
        <v>769.71022500000004</v>
      </c>
      <c r="HQ11" s="83">
        <v>0</v>
      </c>
      <c r="HR11" s="83">
        <v>0.38972499999999999</v>
      </c>
      <c r="HS11" s="83">
        <v>887.70085200000005</v>
      </c>
      <c r="HT11" s="83">
        <v>199.80206799999999</v>
      </c>
      <c r="HU11" s="83">
        <v>508.08156100000002</v>
      </c>
      <c r="HV11" s="83">
        <v>342.77201500000001</v>
      </c>
      <c r="HW11" s="83">
        <v>861.67518199999995</v>
      </c>
      <c r="HX11" s="83">
        <v>0</v>
      </c>
      <c r="HY11" s="83">
        <v>0.40402100000000002</v>
      </c>
      <c r="HZ11" s="83">
        <v>916.55302900000004</v>
      </c>
      <c r="IA11" s="83">
        <v>212.32281699999999</v>
      </c>
      <c r="IB11" s="83">
        <v>532.17976099999998</v>
      </c>
      <c r="IC11" s="83">
        <v>359.63161600000001</v>
      </c>
      <c r="ID11" s="83">
        <v>910.14309300000002</v>
      </c>
      <c r="IE11" s="83">
        <v>0</v>
      </c>
      <c r="IF11" s="83">
        <v>0.40402100000000002</v>
      </c>
      <c r="IG11" s="83">
        <v>982.42601300000001</v>
      </c>
      <c r="IH11" s="83">
        <v>216.75412600000001</v>
      </c>
      <c r="II11" s="83">
        <v>556.03536899999995</v>
      </c>
      <c r="IJ11" s="83">
        <v>379.61857099999997</v>
      </c>
      <c r="IK11" s="83">
        <v>931.41975200000002</v>
      </c>
      <c r="IL11" s="83">
        <v>0</v>
      </c>
      <c r="IM11" s="83">
        <v>0.40402100000000002</v>
      </c>
      <c r="IN11" s="83">
        <v>839.41217800000004</v>
      </c>
      <c r="IO11" s="83">
        <v>197.058977</v>
      </c>
      <c r="IP11" s="83">
        <v>490.39896399999998</v>
      </c>
      <c r="IQ11" s="83">
        <v>329.052999</v>
      </c>
      <c r="IR11" s="83">
        <v>843.95134199999995</v>
      </c>
      <c r="IS11" s="83">
        <v>0</v>
      </c>
      <c r="IT11" s="83">
        <v>0.40402100000000002</v>
      </c>
      <c r="IU11" s="83">
        <v>797.82350199999996</v>
      </c>
      <c r="IV11" s="83">
        <v>185.635313</v>
      </c>
      <c r="IW11" s="83">
        <v>467.56665400000003</v>
      </c>
      <c r="IX11" s="83">
        <v>308.661359</v>
      </c>
      <c r="IY11" s="83">
        <v>816.097532</v>
      </c>
      <c r="IZ11" s="83">
        <v>0</v>
      </c>
      <c r="JA11" s="83">
        <v>0.40402100000000002</v>
      </c>
      <c r="JB11" s="83">
        <v>852.15306799999996</v>
      </c>
      <c r="JC11" s="83">
        <v>200.05380400000001</v>
      </c>
      <c r="JD11" s="83">
        <v>500.49726099999998</v>
      </c>
      <c r="JE11" s="83">
        <v>333.488315</v>
      </c>
      <c r="JF11" s="83">
        <v>860.99598300000002</v>
      </c>
      <c r="JG11" s="83">
        <v>0</v>
      </c>
      <c r="JH11" s="83">
        <v>0.40402100000000002</v>
      </c>
      <c r="JI11" s="83">
        <v>861.157916</v>
      </c>
      <c r="JJ11" s="83">
        <v>192.38845800000001</v>
      </c>
      <c r="JK11" s="83">
        <v>485.90810199999999</v>
      </c>
      <c r="JL11" s="83">
        <v>333.04173700000001</v>
      </c>
      <c r="JM11" s="83">
        <v>810.800389</v>
      </c>
      <c r="JN11" s="83">
        <v>0.92506900000000003</v>
      </c>
      <c r="JO11" s="83">
        <v>1.6271370000000001</v>
      </c>
      <c r="JP11" s="83">
        <v>1512.020268</v>
      </c>
      <c r="JQ11" s="83">
        <v>405.56800900000002</v>
      </c>
      <c r="JR11" s="83">
        <v>878.07065899999998</v>
      </c>
      <c r="JS11" s="83">
        <v>0.74213899999999999</v>
      </c>
      <c r="JT11" s="83">
        <v>0.67870699999999995</v>
      </c>
      <c r="JU11" s="83">
        <v>370.61151000000001</v>
      </c>
      <c r="JV11" s="83">
        <v>515.39032399999996</v>
      </c>
      <c r="JW11" s="83">
        <v>399.37392199999999</v>
      </c>
      <c r="JX11" s="83">
        <v>437.18614400000001</v>
      </c>
      <c r="JY11" s="83">
        <v>387.11804699999999</v>
      </c>
      <c r="JZ11" s="83">
        <v>387.004929</v>
      </c>
      <c r="KA11" s="83">
        <v>376.54747099999997</v>
      </c>
      <c r="KB11" s="83">
        <v>358.30798499999997</v>
      </c>
      <c r="KC11" s="83">
        <v>503.08680500000003</v>
      </c>
      <c r="KD11" s="83">
        <v>387.70391499999999</v>
      </c>
      <c r="KE11" s="83">
        <v>433.310812</v>
      </c>
      <c r="KF11" s="83">
        <v>379.81210399999998</v>
      </c>
      <c r="KG11" s="83">
        <v>379.49032699999998</v>
      </c>
      <c r="KH11" s="83">
        <v>367.41639600000002</v>
      </c>
      <c r="KI11" s="83">
        <v>347.801514</v>
      </c>
      <c r="KJ11" s="83">
        <v>492.580307</v>
      </c>
      <c r="KK11" s="83">
        <v>374.56530800000002</v>
      </c>
      <c r="KL11" s="83">
        <v>407.60429799999997</v>
      </c>
      <c r="KM11" s="83">
        <v>363.67945900000001</v>
      </c>
      <c r="KN11" s="83">
        <v>361.92377599999998</v>
      </c>
      <c r="KO11" s="83">
        <v>352.903863</v>
      </c>
      <c r="KP11" s="83">
        <v>359.17912100000001</v>
      </c>
      <c r="KQ11" s="83">
        <v>503.95791500000001</v>
      </c>
      <c r="KR11" s="83">
        <v>386.28523999999999</v>
      </c>
      <c r="KS11" s="83">
        <v>431.60860600000001</v>
      </c>
      <c r="KT11" s="83">
        <v>378.43181900000002</v>
      </c>
      <c r="KU11" s="83">
        <v>378.11174</v>
      </c>
      <c r="KV11" s="83">
        <v>366.11016499999999</v>
      </c>
      <c r="KW11" s="83">
        <v>380.95946099999998</v>
      </c>
      <c r="KX11" s="83">
        <v>525.73826599999995</v>
      </c>
      <c r="KY11" s="83">
        <v>411.93446699999998</v>
      </c>
      <c r="KZ11" s="83">
        <v>448.85694999999998</v>
      </c>
      <c r="LA11" s="83">
        <v>399.45635800000002</v>
      </c>
      <c r="LB11" s="83">
        <v>398.07793600000002</v>
      </c>
      <c r="LC11" s="83">
        <v>387.95554399999997</v>
      </c>
      <c r="LD11" s="83">
        <v>365.13713899999999</v>
      </c>
      <c r="LE11" s="83">
        <v>509.91591499999998</v>
      </c>
      <c r="LF11" s="83">
        <v>393.70291900000001</v>
      </c>
      <c r="LG11" s="83">
        <v>440.42692899999997</v>
      </c>
      <c r="LH11" s="83">
        <v>385.583325</v>
      </c>
      <c r="LI11" s="83">
        <v>385.59161699999999</v>
      </c>
      <c r="LJ11" s="83">
        <v>373.19286899999997</v>
      </c>
      <c r="LK11" s="83">
        <v>337.23047800000001</v>
      </c>
      <c r="LL11" s="83">
        <v>482.00925899999999</v>
      </c>
      <c r="LM11" s="83">
        <v>365.10649999999998</v>
      </c>
      <c r="LN11" s="83">
        <v>396.62795399999999</v>
      </c>
      <c r="LO11" s="83">
        <v>354.709564</v>
      </c>
      <c r="LP11" s="83">
        <v>352.53884699999998</v>
      </c>
      <c r="LQ11" s="83">
        <v>343.96850699999999</v>
      </c>
      <c r="LR11" s="83">
        <v>354.99202500000001</v>
      </c>
      <c r="LS11" s="83">
        <v>499.77080799999999</v>
      </c>
      <c r="LT11" s="83">
        <v>400.17431299999998</v>
      </c>
      <c r="LU11" s="83">
        <v>448.03952099999998</v>
      </c>
      <c r="LV11" s="83">
        <v>391.82665600000001</v>
      </c>
      <c r="LW11" s="83">
        <v>392.15193399999998</v>
      </c>
      <c r="LX11" s="83">
        <v>379.42385899999999</v>
      </c>
      <c r="LY11" s="83">
        <v>363.36037499999998</v>
      </c>
      <c r="LZ11" s="83">
        <v>508.13917800000002</v>
      </c>
      <c r="MA11" s="83">
        <v>374.529675</v>
      </c>
      <c r="MB11" s="83">
        <v>406.07959599999998</v>
      </c>
      <c r="MC11" s="83">
        <v>363.87855000000002</v>
      </c>
      <c r="MD11" s="83">
        <v>361.22358100000002</v>
      </c>
      <c r="ME11" s="83">
        <v>352.67920199999998</v>
      </c>
      <c r="MF11" s="83">
        <v>379.91946999999999</v>
      </c>
      <c r="MG11" s="83">
        <v>524.69827299999997</v>
      </c>
      <c r="MH11" s="83">
        <v>408.79525699999999</v>
      </c>
      <c r="MI11" s="83">
        <v>458.44651800000003</v>
      </c>
      <c r="MJ11" s="83">
        <v>400.113876</v>
      </c>
      <c r="MK11" s="83">
        <v>400.833124</v>
      </c>
      <c r="ML11" s="83">
        <v>387.60160000000002</v>
      </c>
      <c r="MM11" s="83">
        <v>343.36342200000001</v>
      </c>
      <c r="MN11" s="83">
        <v>488.142223</v>
      </c>
      <c r="MO11" s="83">
        <v>395.48375499999997</v>
      </c>
      <c r="MP11" s="83">
        <v>432.01339200000001</v>
      </c>
      <c r="MQ11" s="83">
        <v>383.50612799999999</v>
      </c>
      <c r="MR11" s="83">
        <v>382.771051</v>
      </c>
      <c r="MS11" s="83">
        <v>372.71251699999999</v>
      </c>
      <c r="MT11" s="83">
        <v>359.16463299999998</v>
      </c>
      <c r="MU11" s="83">
        <v>503.943444</v>
      </c>
      <c r="MV11" s="83">
        <v>364.39754599999998</v>
      </c>
      <c r="MW11" s="83">
        <v>408.13872900000001</v>
      </c>
      <c r="MX11" s="83">
        <v>356.461097</v>
      </c>
      <c r="MY11" s="83">
        <v>357.46056800000002</v>
      </c>
      <c r="MZ11" s="83">
        <v>345.70870500000001</v>
      </c>
      <c r="NA11" s="83">
        <v>337.090529</v>
      </c>
      <c r="NB11" s="83">
        <v>481.86931499999997</v>
      </c>
      <c r="NC11" s="83">
        <v>365.07365800000002</v>
      </c>
      <c r="ND11" s="83">
        <v>398.40591799999999</v>
      </c>
      <c r="NE11" s="83">
        <v>354.42615799999999</v>
      </c>
      <c r="NF11" s="83">
        <v>353.41897899999998</v>
      </c>
      <c r="NG11" s="83">
        <v>344.26543900000001</v>
      </c>
      <c r="NH11" s="83">
        <v>397.30682200000001</v>
      </c>
      <c r="NI11" s="83">
        <v>542.085598</v>
      </c>
      <c r="NJ11" s="83">
        <v>420.79719399999999</v>
      </c>
      <c r="NK11" s="83">
        <v>472.05353600000001</v>
      </c>
      <c r="NL11" s="83">
        <v>411.91911900000002</v>
      </c>
      <c r="NM11" s="83">
        <v>412.53725800000001</v>
      </c>
      <c r="NN11" s="83">
        <v>398.90680600000002</v>
      </c>
      <c r="NO11" s="83">
        <v>388.63624099999998</v>
      </c>
      <c r="NP11" s="83">
        <v>533.41501500000004</v>
      </c>
      <c r="NQ11" s="83">
        <v>427.94778000000002</v>
      </c>
      <c r="NR11" s="83">
        <v>465.07061700000003</v>
      </c>
      <c r="NS11" s="83">
        <v>415.03735899999998</v>
      </c>
      <c r="NT11" s="83">
        <v>412.97540199999997</v>
      </c>
      <c r="NU11" s="83">
        <v>402.84533099999999</v>
      </c>
      <c r="NV11" s="83">
        <v>339.95318200000003</v>
      </c>
      <c r="NW11" s="83">
        <v>484.731967</v>
      </c>
      <c r="NX11" s="83">
        <v>366.01896199999999</v>
      </c>
      <c r="NY11" s="83">
        <v>410.274452</v>
      </c>
      <c r="NZ11" s="83">
        <v>357.98559499999999</v>
      </c>
      <c r="OA11" s="83">
        <v>359.10199</v>
      </c>
      <c r="OB11" s="83">
        <v>347.20474300000001</v>
      </c>
      <c r="OC11" s="83">
        <v>344.976223</v>
      </c>
      <c r="OD11" s="83">
        <v>489.75499300000001</v>
      </c>
      <c r="OE11" s="83">
        <v>396.326932</v>
      </c>
      <c r="OF11" s="83">
        <v>432.25028600000002</v>
      </c>
      <c r="OG11" s="83">
        <v>384.44932599999999</v>
      </c>
      <c r="OH11" s="83">
        <v>383.35712000000001</v>
      </c>
      <c r="OI11" s="83">
        <v>373.49152500000002</v>
      </c>
      <c r="OJ11" s="83">
        <v>367.730953</v>
      </c>
      <c r="OK11" s="83">
        <v>512.50973199999999</v>
      </c>
      <c r="OL11" s="83">
        <v>373.75746500000002</v>
      </c>
      <c r="OM11" s="83">
        <v>419.49798700000002</v>
      </c>
      <c r="ON11" s="83">
        <v>365.45940300000001</v>
      </c>
      <c r="OO11" s="83">
        <v>366.847261</v>
      </c>
      <c r="OP11" s="83">
        <v>354.53797600000001</v>
      </c>
      <c r="OQ11" s="83">
        <v>343.33147200000002</v>
      </c>
      <c r="OR11" s="83">
        <v>488.11024700000002</v>
      </c>
      <c r="OS11" s="83">
        <v>372.146705</v>
      </c>
      <c r="OT11" s="83">
        <v>407.79274099999998</v>
      </c>
      <c r="OU11" s="83">
        <v>360.93045499999999</v>
      </c>
      <c r="OV11" s="83">
        <v>360.91091899999998</v>
      </c>
      <c r="OW11" s="83">
        <v>351.04712599999999</v>
      </c>
      <c r="OX11" s="83">
        <v>390.93677000000002</v>
      </c>
      <c r="OY11" s="83">
        <v>535.715553</v>
      </c>
      <c r="OZ11" s="83">
        <v>409.96350799999999</v>
      </c>
      <c r="PA11" s="83">
        <v>459.19045899999998</v>
      </c>
      <c r="PB11" s="83">
        <v>401.47013099999998</v>
      </c>
      <c r="PC11" s="83">
        <v>401.616739</v>
      </c>
      <c r="PD11" s="83">
        <v>388.561173</v>
      </c>
      <c r="PE11" s="83">
        <v>387.82445899999999</v>
      </c>
      <c r="PF11" s="83">
        <v>532.60324700000001</v>
      </c>
      <c r="PG11" s="83">
        <v>431.15420699999999</v>
      </c>
      <c r="PH11" s="83">
        <v>470.82543600000002</v>
      </c>
      <c r="PI11" s="83">
        <v>417.76050900000001</v>
      </c>
      <c r="PJ11" s="83">
        <v>417.07355200000001</v>
      </c>
      <c r="PK11" s="83">
        <v>406.14113300000002</v>
      </c>
      <c r="PL11" s="83">
        <v>376.43576999999999</v>
      </c>
      <c r="PM11" s="83">
        <v>521.21455700000001</v>
      </c>
      <c r="PN11" s="83">
        <v>405.12944599999997</v>
      </c>
      <c r="PO11" s="83">
        <v>454.504886</v>
      </c>
      <c r="PP11" s="83">
        <v>396.45676300000002</v>
      </c>
      <c r="PQ11" s="83">
        <v>397.30392899999998</v>
      </c>
      <c r="PR11" s="83">
        <v>384.12793399999998</v>
      </c>
      <c r="PS11" s="83">
        <v>375.557635</v>
      </c>
      <c r="PT11" s="83">
        <v>520.33642099999997</v>
      </c>
      <c r="PU11" s="83">
        <v>407.15470199999999</v>
      </c>
      <c r="PV11" s="83">
        <v>445.13445899999999</v>
      </c>
      <c r="PW11" s="83">
        <v>394.67028399999998</v>
      </c>
      <c r="PX11" s="83">
        <v>394.25226900000001</v>
      </c>
      <c r="PY11" s="83">
        <v>383.769724</v>
      </c>
      <c r="PZ11" s="83">
        <v>363.66054300000002</v>
      </c>
      <c r="QA11" s="83">
        <v>508.43935099999999</v>
      </c>
      <c r="QB11" s="83">
        <v>391.75765200000001</v>
      </c>
      <c r="QC11" s="83">
        <v>440.93517400000002</v>
      </c>
      <c r="QD11" s="83">
        <v>382.79470800000001</v>
      </c>
      <c r="QE11" s="83">
        <v>385.04027300000001</v>
      </c>
      <c r="QF11" s="83">
        <v>371.75037900000001</v>
      </c>
      <c r="QG11" s="83">
        <v>374.29773499999999</v>
      </c>
      <c r="QH11" s="83">
        <v>519.07649900000001</v>
      </c>
      <c r="QI11" s="83">
        <v>405.819232</v>
      </c>
      <c r="QJ11" s="83">
        <v>444.446529</v>
      </c>
      <c r="QK11" s="83">
        <v>393.28589299999999</v>
      </c>
      <c r="QL11" s="83">
        <v>393.36577899999997</v>
      </c>
      <c r="QM11" s="83">
        <v>382.668947</v>
      </c>
      <c r="QN11" s="83">
        <v>369.37633</v>
      </c>
      <c r="QO11" s="83">
        <v>514.15510300000005</v>
      </c>
      <c r="QP11" s="83">
        <v>397.62542200000001</v>
      </c>
      <c r="QQ11" s="83">
        <v>446.360456</v>
      </c>
      <c r="QR11" s="83">
        <v>388.95898399999999</v>
      </c>
      <c r="QS11" s="83">
        <v>390.16471200000001</v>
      </c>
    </row>
    <row r="12" spans="1:461" x14ac:dyDescent="0.25">
      <c r="F12" s="82" t="str">
        <f xml:space="preserve"> _xll.EPMOlapMemberO("[PRDDESCR].[].[HELGAS GFREE MIXED GRAIN 500G]","","HELGAS GFREE MIXED GRAIN 500G","","000")</f>
        <v>HELGAS GFREE MIXED GRAIN 500G</v>
      </c>
      <c r="G12" s="82" t="str">
        <f xml:space="preserve"> _xll.EPMOlapMemberO("[PRDID].[].[168847]","","168847","","000")</f>
        <v>168847</v>
      </c>
      <c r="H12" s="82" t="str">
        <f xml:space="preserve"> _xll.EPMOlapMemberO("[LOCID].[].[6125]","","6125","","000")</f>
        <v>6125</v>
      </c>
      <c r="I12" s="82" t="str">
        <f xml:space="preserve"> _xll.EPMOlapMemberO("[LOCDESCR].[].[QBA -Keilor Park]","","QBA -Keilor Park","","000")</f>
        <v>QBA -Keilor Park</v>
      </c>
      <c r="J12" s="82" t="str">
        <f xml:space="preserve"> _xll.EPMOlapMemberO("[KEY_FIGURES].[].[ZGFAPPROVEDFCSTQTY]","","Approved Forecast","","000")</f>
        <v>Approved Forecast</v>
      </c>
      <c r="K12" s="83">
        <v>140.191453</v>
      </c>
      <c r="L12" s="83">
        <v>355.11316099999999</v>
      </c>
      <c r="M12" s="83">
        <v>522.89657099999999</v>
      </c>
      <c r="N12" s="83">
        <v>471.93067600000001</v>
      </c>
      <c r="O12" s="83">
        <v>0.102864</v>
      </c>
      <c r="P12" s="83">
        <v>2.6806E-2</v>
      </c>
      <c r="Q12" s="83">
        <v>816.366308</v>
      </c>
      <c r="R12" s="83">
        <v>143.00051199999999</v>
      </c>
      <c r="S12" s="83">
        <v>350.37239699999998</v>
      </c>
      <c r="T12" s="83">
        <v>515.54802199999995</v>
      </c>
      <c r="U12" s="83">
        <v>471.59272399999998</v>
      </c>
      <c r="V12" s="83">
        <v>9.6697000000000005E-2</v>
      </c>
      <c r="W12" s="83">
        <v>2.128E-2</v>
      </c>
      <c r="X12" s="83">
        <v>764.21065899999996</v>
      </c>
      <c r="Y12" s="83">
        <v>134.732133</v>
      </c>
      <c r="Z12" s="83">
        <v>328.87354399999998</v>
      </c>
      <c r="AA12" s="83">
        <v>487.974042</v>
      </c>
      <c r="AB12" s="83">
        <v>449.08171299999998</v>
      </c>
      <c r="AC12" s="83">
        <v>7.3122999999999994E-2</v>
      </c>
      <c r="AD12" s="83">
        <v>0</v>
      </c>
      <c r="AE12" s="83">
        <v>763.61948600000005</v>
      </c>
      <c r="AF12" s="83">
        <v>134.327147</v>
      </c>
      <c r="AG12" s="83">
        <v>330.98477700000001</v>
      </c>
      <c r="AH12" s="83">
        <v>487.98067200000003</v>
      </c>
      <c r="AI12" s="83">
        <v>446.68043</v>
      </c>
      <c r="AJ12" s="83">
        <v>7.4964000000000003E-2</v>
      </c>
      <c r="AK12" s="83">
        <v>0</v>
      </c>
      <c r="AL12" s="83">
        <v>782.98484800000006</v>
      </c>
      <c r="AM12" s="83">
        <v>132.10945599999999</v>
      </c>
      <c r="AN12" s="83">
        <v>338.820494</v>
      </c>
      <c r="AO12" s="83">
        <v>508.58750600000002</v>
      </c>
      <c r="AP12" s="83">
        <v>471.12607400000002</v>
      </c>
      <c r="AQ12" s="83">
        <v>5.6564000000000003E-2</v>
      </c>
      <c r="AR12" s="83">
        <v>0</v>
      </c>
      <c r="AS12" s="83">
        <v>683.31387099999995</v>
      </c>
      <c r="AT12" s="83">
        <v>114.006159</v>
      </c>
      <c r="AU12" s="83">
        <v>293.18269800000002</v>
      </c>
      <c r="AV12" s="83">
        <v>444.78047900000001</v>
      </c>
      <c r="AW12" s="83">
        <v>407.64292499999999</v>
      </c>
      <c r="AX12" s="83">
        <v>5.8148999999999999E-2</v>
      </c>
      <c r="AY12" s="83">
        <v>0</v>
      </c>
      <c r="AZ12" s="83">
        <v>785.09243800000002</v>
      </c>
      <c r="BA12" s="83">
        <v>129.59672599999999</v>
      </c>
      <c r="BB12" s="83">
        <v>337.82363600000002</v>
      </c>
      <c r="BC12" s="83">
        <v>512.81875300000002</v>
      </c>
      <c r="BD12" s="83">
        <v>476.5557</v>
      </c>
      <c r="BE12" s="83">
        <v>4.8584000000000002E-2</v>
      </c>
      <c r="BF12" s="83">
        <v>0</v>
      </c>
      <c r="BG12" s="83">
        <v>748.206276</v>
      </c>
      <c r="BH12" s="83">
        <v>125.685509</v>
      </c>
      <c r="BI12" s="83">
        <v>322.48615000000001</v>
      </c>
      <c r="BJ12" s="83">
        <v>495.85666099999997</v>
      </c>
      <c r="BK12" s="83">
        <v>459.59608300000002</v>
      </c>
      <c r="BL12" s="83">
        <v>4.5575999999999998E-2</v>
      </c>
      <c r="BM12" s="83">
        <v>0</v>
      </c>
      <c r="BN12" s="83">
        <v>752.48545200000001</v>
      </c>
      <c r="BO12" s="83">
        <v>126.092304</v>
      </c>
      <c r="BP12" s="83">
        <v>326.570043</v>
      </c>
      <c r="BQ12" s="83">
        <v>491.35992199999998</v>
      </c>
      <c r="BR12" s="83">
        <v>456.95318300000002</v>
      </c>
      <c r="BS12" s="83">
        <v>4.8288999999999999E-2</v>
      </c>
      <c r="BT12" s="83">
        <v>0</v>
      </c>
      <c r="BU12" s="83">
        <v>774.464428</v>
      </c>
      <c r="BV12" s="83">
        <v>133.107159</v>
      </c>
      <c r="BW12" s="83">
        <v>333.89225099999999</v>
      </c>
      <c r="BX12" s="83">
        <v>510.89684799999998</v>
      </c>
      <c r="BY12" s="83">
        <v>467.68979100000001</v>
      </c>
      <c r="BZ12" s="83">
        <v>3.5990000000000001E-2</v>
      </c>
      <c r="CA12" s="83">
        <v>0</v>
      </c>
      <c r="CB12" s="83">
        <v>644.10245199999997</v>
      </c>
      <c r="CC12" s="83">
        <v>103.36317099999999</v>
      </c>
      <c r="CD12" s="83">
        <v>275.85429299999998</v>
      </c>
      <c r="CE12" s="83">
        <v>426.00364100000002</v>
      </c>
      <c r="CF12" s="83">
        <v>392.79379399999999</v>
      </c>
      <c r="CG12" s="83">
        <v>4.2729000000000003E-2</v>
      </c>
      <c r="CH12" s="83">
        <v>0</v>
      </c>
      <c r="CI12" s="83">
        <v>711.68297800000005</v>
      </c>
      <c r="CJ12" s="83">
        <v>126.624494</v>
      </c>
      <c r="CK12" s="83">
        <v>311.91933899999998</v>
      </c>
      <c r="CL12" s="83">
        <v>465.95719800000001</v>
      </c>
      <c r="CM12" s="83">
        <v>429.236805</v>
      </c>
      <c r="CN12" s="83">
        <v>4.7114000000000003E-2</v>
      </c>
      <c r="CO12" s="83">
        <v>0</v>
      </c>
      <c r="CP12" s="83">
        <v>751.55237999999997</v>
      </c>
      <c r="CQ12" s="83">
        <v>128.55329599999999</v>
      </c>
      <c r="CR12" s="83">
        <v>328.21741700000001</v>
      </c>
      <c r="CS12" s="83">
        <v>488.12872900000002</v>
      </c>
      <c r="CT12" s="83">
        <v>454.11345799999998</v>
      </c>
      <c r="CU12" s="83">
        <v>5.2213000000000002E-2</v>
      </c>
      <c r="CV12" s="83">
        <v>0</v>
      </c>
      <c r="CW12" s="83">
        <v>778.18248200000005</v>
      </c>
      <c r="CX12" s="83">
        <v>135.57393200000001</v>
      </c>
      <c r="CY12" s="83">
        <v>335.66565700000001</v>
      </c>
      <c r="CZ12" s="83">
        <v>509.87401699999998</v>
      </c>
      <c r="DA12" s="83">
        <v>471.00434300000001</v>
      </c>
      <c r="DB12" s="83">
        <v>5.0429000000000002E-2</v>
      </c>
      <c r="DC12" s="83">
        <v>0</v>
      </c>
      <c r="DD12" s="83">
        <v>737.390038</v>
      </c>
      <c r="DE12" s="83">
        <v>125.92446099999999</v>
      </c>
      <c r="DF12" s="83">
        <v>320.17101000000002</v>
      </c>
      <c r="DG12" s="83">
        <v>478.724244</v>
      </c>
      <c r="DH12" s="83">
        <v>440.38260200000002</v>
      </c>
      <c r="DI12" s="83">
        <v>4.4016E-2</v>
      </c>
      <c r="DJ12" s="83">
        <v>0</v>
      </c>
      <c r="DK12" s="83">
        <v>722.02341699999999</v>
      </c>
      <c r="DL12" s="83">
        <v>122.72764599999999</v>
      </c>
      <c r="DM12" s="83">
        <v>310.34905099999997</v>
      </c>
      <c r="DN12" s="83">
        <v>477.01919199999998</v>
      </c>
      <c r="DO12" s="83">
        <v>438.71947599999999</v>
      </c>
      <c r="DP12" s="83">
        <v>5.1212000000000001E-2</v>
      </c>
      <c r="DQ12" s="83">
        <v>0</v>
      </c>
      <c r="DR12" s="83">
        <v>773.15033600000004</v>
      </c>
      <c r="DS12" s="83">
        <v>129.74498600000001</v>
      </c>
      <c r="DT12" s="83">
        <v>334.14056699999998</v>
      </c>
      <c r="DU12" s="83">
        <v>502.86310200000003</v>
      </c>
      <c r="DV12" s="83">
        <v>468.13252499999999</v>
      </c>
      <c r="DW12" s="83">
        <v>3.4007000000000003E-2</v>
      </c>
      <c r="DX12" s="83">
        <v>0</v>
      </c>
      <c r="DY12" s="83">
        <v>723.57354499999997</v>
      </c>
      <c r="DZ12" s="83">
        <v>122.817582</v>
      </c>
      <c r="EA12" s="83">
        <v>315.70618300000001</v>
      </c>
      <c r="EB12" s="83">
        <v>479.51604900000001</v>
      </c>
      <c r="EC12" s="83">
        <v>446.16286400000001</v>
      </c>
      <c r="ED12" s="83">
        <v>4.5654E-2</v>
      </c>
      <c r="EE12" s="83">
        <v>0</v>
      </c>
      <c r="EF12" s="83">
        <v>727.938941</v>
      </c>
      <c r="EG12" s="83">
        <v>120.398505</v>
      </c>
      <c r="EH12" s="83">
        <v>313.69073800000001</v>
      </c>
      <c r="EI12" s="83">
        <v>476.22817199999997</v>
      </c>
      <c r="EJ12" s="83">
        <v>441.52925299999998</v>
      </c>
      <c r="EK12" s="83">
        <v>4.4110000000000003E-2</v>
      </c>
      <c r="EL12" s="83">
        <v>0</v>
      </c>
      <c r="EM12" s="83">
        <v>687.10386600000004</v>
      </c>
      <c r="EN12" s="83">
        <v>120.401471</v>
      </c>
      <c r="EO12" s="83">
        <v>297.83380599999998</v>
      </c>
      <c r="EP12" s="83">
        <v>451.49133799999998</v>
      </c>
      <c r="EQ12" s="83">
        <v>412.02067299999999</v>
      </c>
      <c r="ER12" s="83">
        <v>4.0402E-2</v>
      </c>
      <c r="ES12" s="83">
        <v>0</v>
      </c>
      <c r="ET12" s="83">
        <v>747.04206899999997</v>
      </c>
      <c r="EU12" s="83">
        <v>123.01897599999999</v>
      </c>
      <c r="EV12" s="83">
        <v>323.78361999999998</v>
      </c>
      <c r="EW12" s="83">
        <v>491.821888</v>
      </c>
      <c r="EX12" s="83">
        <v>455.50649700000002</v>
      </c>
      <c r="EY12" s="83">
        <v>4.1433999999999999E-2</v>
      </c>
      <c r="EZ12" s="83">
        <v>0</v>
      </c>
      <c r="FA12" s="83">
        <v>763.15664000000004</v>
      </c>
      <c r="FB12" s="83">
        <v>126.02039499999999</v>
      </c>
      <c r="FC12" s="83">
        <v>326.87869899999998</v>
      </c>
      <c r="FD12" s="83">
        <v>506.35809399999999</v>
      </c>
      <c r="FE12" s="83">
        <v>473.20722899999998</v>
      </c>
      <c r="FF12" s="83">
        <v>4.2153999999999997E-2</v>
      </c>
      <c r="FG12" s="83">
        <v>0</v>
      </c>
      <c r="FH12" s="83">
        <v>721.35616500000003</v>
      </c>
      <c r="FI12" s="83">
        <v>127.85901200000001</v>
      </c>
      <c r="FJ12" s="83">
        <v>313.75306799999998</v>
      </c>
      <c r="FK12" s="83">
        <v>461.828126</v>
      </c>
      <c r="FL12" s="83">
        <v>419.65242499999999</v>
      </c>
      <c r="FM12" s="83">
        <v>5.7068000000000001E-2</v>
      </c>
      <c r="FN12" s="83">
        <v>0</v>
      </c>
      <c r="FO12" s="83">
        <v>683.24819000000002</v>
      </c>
      <c r="FP12" s="83">
        <v>114.986582</v>
      </c>
      <c r="FQ12" s="83">
        <v>293.26575000000003</v>
      </c>
      <c r="FR12" s="83">
        <v>453.44465200000002</v>
      </c>
      <c r="FS12" s="83">
        <v>414.25044100000002</v>
      </c>
      <c r="FT12" s="83">
        <v>3.9211999999999997E-2</v>
      </c>
      <c r="FU12" s="83">
        <v>0</v>
      </c>
      <c r="FV12" s="83">
        <v>695.96617200000003</v>
      </c>
      <c r="FW12" s="83">
        <v>112.11627799999999</v>
      </c>
      <c r="FX12" s="83">
        <v>298.51685600000002</v>
      </c>
      <c r="FY12" s="83">
        <v>458.88825300000002</v>
      </c>
      <c r="FZ12" s="83">
        <v>426.925881</v>
      </c>
      <c r="GA12" s="83">
        <v>4.0563000000000002E-2</v>
      </c>
      <c r="GB12" s="83">
        <v>0</v>
      </c>
      <c r="GC12" s="83">
        <v>665.71920399999999</v>
      </c>
      <c r="GD12" s="83">
        <v>114.69368799999999</v>
      </c>
      <c r="GE12" s="83">
        <v>287.61902800000001</v>
      </c>
      <c r="GF12" s="83">
        <v>438.92415299999999</v>
      </c>
      <c r="GG12" s="83">
        <v>402.62245300000001</v>
      </c>
      <c r="GH12" s="83">
        <v>5.6166000000000001E-2</v>
      </c>
      <c r="GI12" s="83">
        <v>0</v>
      </c>
      <c r="GJ12" s="83">
        <v>693.55001400000003</v>
      </c>
      <c r="GK12" s="83">
        <v>123.191959</v>
      </c>
      <c r="GL12" s="83">
        <v>302.61592400000001</v>
      </c>
      <c r="GM12" s="83">
        <v>443.70549899999997</v>
      </c>
      <c r="GN12" s="83">
        <v>406.33937300000002</v>
      </c>
      <c r="GO12" s="83">
        <v>3.9620000000000002E-2</v>
      </c>
      <c r="GP12" s="83">
        <v>0</v>
      </c>
      <c r="GQ12" s="83">
        <v>696.54112199999997</v>
      </c>
      <c r="GR12" s="83">
        <v>118.91488200000001</v>
      </c>
      <c r="GS12" s="83">
        <v>301.26406700000001</v>
      </c>
      <c r="GT12" s="83">
        <v>460.019296</v>
      </c>
      <c r="GU12" s="83">
        <v>425.05870099999999</v>
      </c>
      <c r="GV12" s="83">
        <v>0.68006800000000001</v>
      </c>
      <c r="GW12" s="83">
        <v>0.63308699999999996</v>
      </c>
      <c r="GX12" s="83">
        <v>742.19051200000001</v>
      </c>
      <c r="GY12" s="83">
        <v>123.368717</v>
      </c>
      <c r="GZ12" s="83">
        <v>320.08455199999997</v>
      </c>
      <c r="HA12" s="83">
        <v>486.11908199999999</v>
      </c>
      <c r="HB12" s="83">
        <v>448.50969800000001</v>
      </c>
      <c r="HC12" s="83">
        <v>5.1867000000000003E-2</v>
      </c>
      <c r="HD12" s="83">
        <v>0</v>
      </c>
      <c r="HE12" s="83">
        <v>733.89321900000004</v>
      </c>
      <c r="HF12" s="83">
        <v>136.736706</v>
      </c>
      <c r="HG12" s="83">
        <v>313.86761000000001</v>
      </c>
      <c r="HH12" s="83">
        <v>471.12360000000001</v>
      </c>
      <c r="HI12" s="83">
        <v>422.53914500000002</v>
      </c>
      <c r="HJ12" s="83">
        <v>6.7392999999999995E-2</v>
      </c>
      <c r="HK12" s="83">
        <v>0</v>
      </c>
      <c r="HL12" s="83">
        <v>689.79741000000001</v>
      </c>
      <c r="HM12" s="83">
        <v>118.07866799999999</v>
      </c>
      <c r="HN12" s="83">
        <v>299.55006700000001</v>
      </c>
      <c r="HO12" s="83">
        <v>447.34891199999998</v>
      </c>
      <c r="HP12" s="83">
        <v>411.67308100000002</v>
      </c>
      <c r="HQ12" s="83">
        <v>5.8798000000000003E-2</v>
      </c>
      <c r="HR12" s="83">
        <v>0</v>
      </c>
      <c r="HS12" s="83">
        <v>763.12571300000002</v>
      </c>
      <c r="HT12" s="83">
        <v>138.52360300000001</v>
      </c>
      <c r="HU12" s="83">
        <v>331.10097100000002</v>
      </c>
      <c r="HV12" s="83">
        <v>495.16287599999998</v>
      </c>
      <c r="HW12" s="83">
        <v>452.32416000000001</v>
      </c>
      <c r="HX12" s="83">
        <v>6.0693999999999998E-2</v>
      </c>
      <c r="HY12" s="83">
        <v>0</v>
      </c>
      <c r="HZ12" s="83">
        <v>800.60231699999997</v>
      </c>
      <c r="IA12" s="83">
        <v>139.87935200000001</v>
      </c>
      <c r="IB12" s="83">
        <v>348.763462</v>
      </c>
      <c r="IC12" s="83">
        <v>513.83214299999997</v>
      </c>
      <c r="ID12" s="83">
        <v>477.43070699999998</v>
      </c>
      <c r="IE12" s="83">
        <v>5.8922000000000002E-2</v>
      </c>
      <c r="IF12" s="83">
        <v>0</v>
      </c>
      <c r="IG12" s="83">
        <v>894.79552899999999</v>
      </c>
      <c r="IH12" s="83">
        <v>166.99742900000001</v>
      </c>
      <c r="II12" s="83">
        <v>389.44586199999998</v>
      </c>
      <c r="IJ12" s="83">
        <v>574.17372599999999</v>
      </c>
      <c r="IK12" s="83">
        <v>528.426605</v>
      </c>
      <c r="IL12" s="83">
        <v>6.2607999999999997E-2</v>
      </c>
      <c r="IM12" s="83">
        <v>0</v>
      </c>
      <c r="IN12" s="83">
        <v>699.15098699999999</v>
      </c>
      <c r="IO12" s="83">
        <v>117.74469499999999</v>
      </c>
      <c r="IP12" s="83">
        <v>301.71772600000003</v>
      </c>
      <c r="IQ12" s="83">
        <v>455.11997200000002</v>
      </c>
      <c r="IR12" s="83">
        <v>418.09155800000002</v>
      </c>
      <c r="IS12" s="83">
        <v>4.4588999999999997E-2</v>
      </c>
      <c r="IT12" s="83">
        <v>0</v>
      </c>
      <c r="IU12" s="83">
        <v>762.531882</v>
      </c>
      <c r="IV12" s="83">
        <v>132.845167</v>
      </c>
      <c r="IW12" s="83">
        <v>332.045389</v>
      </c>
      <c r="IX12" s="83">
        <v>500.710669</v>
      </c>
      <c r="IY12" s="83">
        <v>465.03085499999997</v>
      </c>
      <c r="IZ12" s="83">
        <v>4.6829999999999997E-2</v>
      </c>
      <c r="JA12" s="83">
        <v>0</v>
      </c>
      <c r="JB12" s="83">
        <v>777.77484200000004</v>
      </c>
      <c r="JC12" s="83">
        <v>135.411644</v>
      </c>
      <c r="JD12" s="83">
        <v>342.82513</v>
      </c>
      <c r="JE12" s="83">
        <v>503.92451599999998</v>
      </c>
      <c r="JF12" s="83">
        <v>469.75888600000002</v>
      </c>
      <c r="JG12" s="83">
        <v>4.8061E-2</v>
      </c>
      <c r="JH12" s="83">
        <v>0</v>
      </c>
      <c r="JI12" s="83">
        <v>768.36943199999996</v>
      </c>
      <c r="JJ12" s="83">
        <v>144.649135</v>
      </c>
      <c r="JK12" s="83">
        <v>332.105794</v>
      </c>
      <c r="JL12" s="83">
        <v>492.63293099999999</v>
      </c>
      <c r="JM12" s="83">
        <v>444.14038699999998</v>
      </c>
      <c r="JN12" s="83">
        <v>1.6949190000000001</v>
      </c>
      <c r="JO12" s="83">
        <v>1.544335</v>
      </c>
      <c r="JP12" s="83">
        <v>1420.5378009999999</v>
      </c>
      <c r="JQ12" s="83">
        <v>291.94875400000001</v>
      </c>
      <c r="JR12" s="83">
        <v>518.35693800000001</v>
      </c>
      <c r="JS12" s="83">
        <v>1.229115</v>
      </c>
      <c r="JT12" s="83">
        <v>1.1906190000000001</v>
      </c>
      <c r="JU12" s="83">
        <v>293.283207</v>
      </c>
      <c r="JV12" s="83">
        <v>293.19450399999999</v>
      </c>
      <c r="JW12" s="83">
        <v>306.25396599999999</v>
      </c>
      <c r="JX12" s="83">
        <v>394.75836299999997</v>
      </c>
      <c r="JY12" s="83">
        <v>316.58239900000001</v>
      </c>
      <c r="JZ12" s="83">
        <v>303.73294399999997</v>
      </c>
      <c r="KA12" s="83">
        <v>298.77471100000002</v>
      </c>
      <c r="KB12" s="83">
        <v>284.50538799999998</v>
      </c>
      <c r="KC12" s="83">
        <v>284.41964400000001</v>
      </c>
      <c r="KD12" s="83">
        <v>299.92625399999997</v>
      </c>
      <c r="KE12" s="83">
        <v>382.42571199999998</v>
      </c>
      <c r="KF12" s="83">
        <v>311.07314100000002</v>
      </c>
      <c r="KG12" s="83">
        <v>293.56056699999999</v>
      </c>
      <c r="KH12" s="83">
        <v>291.98148099999997</v>
      </c>
      <c r="KI12" s="83">
        <v>276.95460100000003</v>
      </c>
      <c r="KJ12" s="83">
        <v>276.86640799999998</v>
      </c>
      <c r="KK12" s="83">
        <v>288.28197899999998</v>
      </c>
      <c r="KL12" s="83">
        <v>371.93450899999999</v>
      </c>
      <c r="KM12" s="83">
        <v>298.37946899999997</v>
      </c>
      <c r="KN12" s="83">
        <v>284.89572099999998</v>
      </c>
      <c r="KO12" s="83">
        <v>281.392335</v>
      </c>
      <c r="KP12" s="83">
        <v>280.09966500000002</v>
      </c>
      <c r="KQ12" s="83">
        <v>280.00962199999998</v>
      </c>
      <c r="KR12" s="83">
        <v>293.788794</v>
      </c>
      <c r="KS12" s="83">
        <v>374.332043</v>
      </c>
      <c r="KT12" s="83">
        <v>304.51759700000002</v>
      </c>
      <c r="KU12" s="83">
        <v>287.45793500000002</v>
      </c>
      <c r="KV12" s="83">
        <v>285.86892899999998</v>
      </c>
      <c r="KW12" s="83">
        <v>286.12994099999997</v>
      </c>
      <c r="KX12" s="83">
        <v>286.041811</v>
      </c>
      <c r="KY12" s="83">
        <v>299.26487100000003</v>
      </c>
      <c r="KZ12" s="83">
        <v>385.54488500000002</v>
      </c>
      <c r="LA12" s="83">
        <v>309.57695100000001</v>
      </c>
      <c r="LB12" s="83">
        <v>296.17132800000002</v>
      </c>
      <c r="LC12" s="83">
        <v>292.082042</v>
      </c>
      <c r="LD12" s="83">
        <v>282.304259</v>
      </c>
      <c r="LE12" s="83">
        <v>282.21660900000001</v>
      </c>
      <c r="LF12" s="83">
        <v>296.499053</v>
      </c>
      <c r="LG12" s="83">
        <v>377.50464099999999</v>
      </c>
      <c r="LH12" s="83">
        <v>307.35969599999999</v>
      </c>
      <c r="LI12" s="83">
        <v>290.19892900000002</v>
      </c>
      <c r="LJ12" s="83">
        <v>288.64769899999999</v>
      </c>
      <c r="LK12" s="83">
        <v>273.60356300000001</v>
      </c>
      <c r="LL12" s="83">
        <v>273.51566700000001</v>
      </c>
      <c r="LM12" s="83">
        <v>286.76351</v>
      </c>
      <c r="LN12" s="83">
        <v>370.05802199999999</v>
      </c>
      <c r="LO12" s="83">
        <v>296.73289999999997</v>
      </c>
      <c r="LP12" s="83">
        <v>283.57166899999999</v>
      </c>
      <c r="LQ12" s="83">
        <v>279.87547000000001</v>
      </c>
      <c r="LR12" s="83">
        <v>275.48662000000002</v>
      </c>
      <c r="LS12" s="83">
        <v>275.400575</v>
      </c>
      <c r="LT12" s="83">
        <v>303.687071</v>
      </c>
      <c r="LU12" s="83">
        <v>386.157602</v>
      </c>
      <c r="LV12" s="83">
        <v>314.82701900000001</v>
      </c>
      <c r="LW12" s="83">
        <v>297.20105100000001</v>
      </c>
      <c r="LX12" s="83">
        <v>295.40543100000002</v>
      </c>
      <c r="LY12" s="83">
        <v>284.41234400000002</v>
      </c>
      <c r="LZ12" s="83">
        <v>284.32575500000002</v>
      </c>
      <c r="MA12" s="83">
        <v>283.41641199999998</v>
      </c>
      <c r="MB12" s="83">
        <v>366.17709500000001</v>
      </c>
      <c r="MC12" s="83">
        <v>293.29032799999999</v>
      </c>
      <c r="MD12" s="83">
        <v>280.36164600000001</v>
      </c>
      <c r="ME12" s="83">
        <v>276.55043599999999</v>
      </c>
      <c r="MF12" s="83">
        <v>273.19195500000001</v>
      </c>
      <c r="MG12" s="83">
        <v>273.10671100000002</v>
      </c>
      <c r="MH12" s="83">
        <v>286.19008000000002</v>
      </c>
      <c r="MI12" s="83">
        <v>366.69706300000001</v>
      </c>
      <c r="MJ12" s="83">
        <v>297.027107</v>
      </c>
      <c r="MK12" s="83">
        <v>280.01026100000001</v>
      </c>
      <c r="ML12" s="83">
        <v>278.56977999999998</v>
      </c>
      <c r="MM12" s="83">
        <v>264.11991499999999</v>
      </c>
      <c r="MN12" s="83">
        <v>264.03559200000001</v>
      </c>
      <c r="MO12" s="83">
        <v>296.21163300000001</v>
      </c>
      <c r="MP12" s="83">
        <v>382.16599600000001</v>
      </c>
      <c r="MQ12" s="83">
        <v>306.68986000000001</v>
      </c>
      <c r="MR12" s="83">
        <v>292.89407999999997</v>
      </c>
      <c r="MS12" s="83">
        <v>289.075692</v>
      </c>
      <c r="MT12" s="83">
        <v>283.32473299999998</v>
      </c>
      <c r="MU12" s="83">
        <v>283.24279200000001</v>
      </c>
      <c r="MV12" s="83">
        <v>277.64119699999998</v>
      </c>
      <c r="MW12" s="83">
        <v>352.81699700000001</v>
      </c>
      <c r="MX12" s="83">
        <v>287.709408</v>
      </c>
      <c r="MY12" s="83">
        <v>271.68597499999998</v>
      </c>
      <c r="MZ12" s="83">
        <v>270.06267300000002</v>
      </c>
      <c r="NA12" s="83">
        <v>259.372727</v>
      </c>
      <c r="NB12" s="83">
        <v>259.28701799999999</v>
      </c>
      <c r="NC12" s="83">
        <v>271.31019500000002</v>
      </c>
      <c r="ND12" s="83">
        <v>350.50892299999998</v>
      </c>
      <c r="NE12" s="83">
        <v>280.98279500000001</v>
      </c>
      <c r="NF12" s="83">
        <v>267.720327</v>
      </c>
      <c r="NG12" s="83">
        <v>264.85886799999997</v>
      </c>
      <c r="NH12" s="83">
        <v>296.66472700000003</v>
      </c>
      <c r="NI12" s="83">
        <v>296.57618100000002</v>
      </c>
      <c r="NJ12" s="83">
        <v>305.98469299999999</v>
      </c>
      <c r="NK12" s="83">
        <v>391.66540600000002</v>
      </c>
      <c r="NL12" s="83">
        <v>317.57449800000001</v>
      </c>
      <c r="NM12" s="83">
        <v>299.378379</v>
      </c>
      <c r="NN12" s="83">
        <v>297.73346299999997</v>
      </c>
      <c r="NO12" s="83">
        <v>302.92439100000001</v>
      </c>
      <c r="NP12" s="83">
        <v>302.83839899999998</v>
      </c>
      <c r="NQ12" s="83">
        <v>323.32370800000001</v>
      </c>
      <c r="NR12" s="83">
        <v>417.63271300000002</v>
      </c>
      <c r="NS12" s="83">
        <v>334.79091699999998</v>
      </c>
      <c r="NT12" s="83">
        <v>320.15042999999997</v>
      </c>
      <c r="NU12" s="83">
        <v>315.38835399999999</v>
      </c>
      <c r="NV12" s="83">
        <v>279.60261100000002</v>
      </c>
      <c r="NW12" s="83">
        <v>279.51542999999998</v>
      </c>
      <c r="NX12" s="83">
        <v>293.17649699999998</v>
      </c>
      <c r="NY12" s="83">
        <v>373.68479200000002</v>
      </c>
      <c r="NZ12" s="83">
        <v>303.97001299999999</v>
      </c>
      <c r="OA12" s="83">
        <v>286.888554</v>
      </c>
      <c r="OB12" s="83">
        <v>285.299734</v>
      </c>
      <c r="OC12" s="83">
        <v>279.56223</v>
      </c>
      <c r="OD12" s="83">
        <v>279.470686</v>
      </c>
      <c r="OE12" s="83">
        <v>312.28087299999999</v>
      </c>
      <c r="OF12" s="83">
        <v>403.10000700000001</v>
      </c>
      <c r="OG12" s="83">
        <v>323.19394</v>
      </c>
      <c r="OH12" s="83">
        <v>308.97059899999999</v>
      </c>
      <c r="OI12" s="83">
        <v>304.722579</v>
      </c>
      <c r="OJ12" s="83">
        <v>320.78947899999997</v>
      </c>
      <c r="OK12" s="83">
        <v>320.69441699999999</v>
      </c>
      <c r="OL12" s="83">
        <v>314.99327599999998</v>
      </c>
      <c r="OM12" s="83">
        <v>401.12515300000001</v>
      </c>
      <c r="ON12" s="83">
        <v>326.49594400000001</v>
      </c>
      <c r="OO12" s="83">
        <v>308.244732</v>
      </c>
      <c r="OP12" s="83">
        <v>306.55342000000002</v>
      </c>
      <c r="OQ12" s="83">
        <v>261.03290700000002</v>
      </c>
      <c r="OR12" s="83">
        <v>260.94589500000001</v>
      </c>
      <c r="OS12" s="83">
        <v>274.13279</v>
      </c>
      <c r="OT12" s="83">
        <v>353.85630500000002</v>
      </c>
      <c r="OU12" s="83">
        <v>283.37674500000003</v>
      </c>
      <c r="OV12" s="83">
        <v>271.55431099999998</v>
      </c>
      <c r="OW12" s="83">
        <v>267.47932400000002</v>
      </c>
      <c r="OX12" s="83">
        <v>312.09721300000001</v>
      </c>
      <c r="OY12" s="83">
        <v>312.00264600000003</v>
      </c>
      <c r="OZ12" s="83">
        <v>318.85578700000002</v>
      </c>
      <c r="PA12" s="83">
        <v>407.56416899999999</v>
      </c>
      <c r="PB12" s="83">
        <v>330.78431899999998</v>
      </c>
      <c r="PC12" s="83">
        <v>311.97893399999998</v>
      </c>
      <c r="PD12" s="83">
        <v>310.28345300000001</v>
      </c>
      <c r="PE12" s="83">
        <v>295.11306999999999</v>
      </c>
      <c r="PF12" s="83">
        <v>295.02034099999997</v>
      </c>
      <c r="PG12" s="83">
        <v>317.375809</v>
      </c>
      <c r="PH12" s="83">
        <v>411.13073900000001</v>
      </c>
      <c r="PI12" s="83">
        <v>328.93041699999998</v>
      </c>
      <c r="PJ12" s="83">
        <v>313.43560000000002</v>
      </c>
      <c r="PK12" s="83">
        <v>309.64671600000003</v>
      </c>
      <c r="PL12" s="83">
        <v>292.52260000000001</v>
      </c>
      <c r="PM12" s="83">
        <v>292.43038000000001</v>
      </c>
      <c r="PN12" s="83">
        <v>306.465599</v>
      </c>
      <c r="PO12" s="83">
        <v>390.89887299999998</v>
      </c>
      <c r="PP12" s="83">
        <v>317.76359100000002</v>
      </c>
      <c r="PQ12" s="83">
        <v>299.91188799999998</v>
      </c>
      <c r="PR12" s="83">
        <v>298.34165000000002</v>
      </c>
      <c r="PS12" s="83">
        <v>300.14550100000002</v>
      </c>
      <c r="PT12" s="83">
        <v>300.045051</v>
      </c>
      <c r="PU12" s="83">
        <v>314.78050500000001</v>
      </c>
      <c r="PV12" s="83">
        <v>406.38645700000001</v>
      </c>
      <c r="PW12" s="83">
        <v>325.572091</v>
      </c>
      <c r="PX12" s="83">
        <v>311.41732500000001</v>
      </c>
      <c r="PY12" s="83">
        <v>307.20060100000001</v>
      </c>
      <c r="PZ12" s="83">
        <v>250.192913</v>
      </c>
      <c r="QA12" s="83">
        <v>250.10755</v>
      </c>
      <c r="QB12" s="83">
        <v>262.10215899999997</v>
      </c>
      <c r="QC12" s="83">
        <v>336.21695099999999</v>
      </c>
      <c r="QD12" s="83">
        <v>271.90768300000002</v>
      </c>
      <c r="QE12" s="83">
        <v>256.36716300000001</v>
      </c>
      <c r="QF12" s="83">
        <v>255.138148</v>
      </c>
      <c r="QG12" s="83">
        <v>276.92756900000001</v>
      </c>
      <c r="QH12" s="83">
        <v>276.83790499999998</v>
      </c>
      <c r="QI12" s="83">
        <v>290.08341100000001</v>
      </c>
      <c r="QJ12" s="83">
        <v>372.76090699999997</v>
      </c>
      <c r="QK12" s="83">
        <v>299.873379</v>
      </c>
      <c r="QL12" s="83">
        <v>286.99973799999998</v>
      </c>
      <c r="QM12" s="83">
        <v>283.245001</v>
      </c>
      <c r="QN12" s="83">
        <v>292.16857299999998</v>
      </c>
      <c r="QO12" s="83">
        <v>292.07760100000002</v>
      </c>
      <c r="QP12" s="83">
        <v>306.07705499999997</v>
      </c>
      <c r="QQ12" s="83">
        <v>389.28868299999999</v>
      </c>
      <c r="QR12" s="83">
        <v>317.210578</v>
      </c>
      <c r="QS12" s="83">
        <v>299.59054400000002</v>
      </c>
    </row>
    <row r="13" spans="1:461" x14ac:dyDescent="0.25">
      <c r="F13" s="82" t="str">
        <f xml:space="preserve"> _xll.EPMOlapMemberO("[PRDDESCR].[].[HELGAS GFREE MIXED GRAIN 500G]","","HELGAS GFREE MIXED GRAIN 500G","","000")</f>
        <v>HELGAS GFREE MIXED GRAIN 500G</v>
      </c>
      <c r="G13" s="82" t="str">
        <f xml:space="preserve"> _xll.EPMOlapMemberO("[PRDID].[].[168847]","","168847","","000")</f>
        <v>168847</v>
      </c>
      <c r="H13" s="82" t="str">
        <f xml:space="preserve"> _xll.EPMOlapMemberO("[LOCID].[].[6130]","","6130","","000")</f>
        <v>6130</v>
      </c>
      <c r="I13" s="82" t="str">
        <f xml:space="preserve"> _xll.EPMOlapMemberO("[LOCDESCR].[].[QBA-Canning Vale]","","QBA-Canning Vale","","000")</f>
        <v>QBA-Canning Vale</v>
      </c>
      <c r="J13" s="82" t="str">
        <f xml:space="preserve"> _xll.EPMOlapMemberO("[KEY_FIGURES].[].[ZGFAPPROVEDFCSTQTY]","","Approved Forecast","","000")</f>
        <v>Approved Forecast</v>
      </c>
      <c r="K13" s="83">
        <v>94.921381999999994</v>
      </c>
      <c r="L13" s="83">
        <v>154.78135800000001</v>
      </c>
      <c r="M13" s="83">
        <v>107.68222400000001</v>
      </c>
      <c r="N13" s="83">
        <v>28.206067000000001</v>
      </c>
      <c r="O13" s="83">
        <v>276.79562700000002</v>
      </c>
      <c r="P13" s="83">
        <v>59.238680000000002</v>
      </c>
      <c r="Q13" s="83">
        <v>167.24948000000001</v>
      </c>
      <c r="R13" s="83">
        <v>94.986962000000005</v>
      </c>
      <c r="S13" s="83">
        <v>149.26433700000001</v>
      </c>
      <c r="T13" s="83">
        <v>109.968039</v>
      </c>
      <c r="U13" s="83">
        <v>25.586310999999998</v>
      </c>
      <c r="V13" s="83">
        <v>265.20279399999998</v>
      </c>
      <c r="W13" s="83">
        <v>52.542614999999998</v>
      </c>
      <c r="X13" s="83">
        <v>163.59244000000001</v>
      </c>
      <c r="Y13" s="83">
        <v>90.706418999999997</v>
      </c>
      <c r="Z13" s="83">
        <v>147.48013700000001</v>
      </c>
      <c r="AA13" s="83">
        <v>107.067357</v>
      </c>
      <c r="AB13" s="83">
        <v>27.775641</v>
      </c>
      <c r="AC13" s="83">
        <v>269.21389499999998</v>
      </c>
      <c r="AD13" s="83">
        <v>52.520017000000003</v>
      </c>
      <c r="AE13" s="83">
        <v>165.478251</v>
      </c>
      <c r="AF13" s="83">
        <v>90.227023000000003</v>
      </c>
      <c r="AG13" s="83">
        <v>151.85148799999999</v>
      </c>
      <c r="AH13" s="83">
        <v>105.514342</v>
      </c>
      <c r="AI13" s="83">
        <v>26.713032999999999</v>
      </c>
      <c r="AJ13" s="83">
        <v>269.35955100000001</v>
      </c>
      <c r="AK13" s="83">
        <v>52.104596000000001</v>
      </c>
      <c r="AL13" s="83">
        <v>163.531665</v>
      </c>
      <c r="AM13" s="83">
        <v>88.821280999999999</v>
      </c>
      <c r="AN13" s="83">
        <v>150.07431399999999</v>
      </c>
      <c r="AO13" s="83">
        <v>103.944993</v>
      </c>
      <c r="AP13" s="83">
        <v>26.176822999999999</v>
      </c>
      <c r="AQ13" s="83">
        <v>241.320222</v>
      </c>
      <c r="AR13" s="83">
        <v>48.001928999999997</v>
      </c>
      <c r="AS13" s="83">
        <v>148.12838199999999</v>
      </c>
      <c r="AT13" s="83">
        <v>82.659606999999994</v>
      </c>
      <c r="AU13" s="83">
        <v>136.14423199999999</v>
      </c>
      <c r="AV13" s="83">
        <v>95.513536999999999</v>
      </c>
      <c r="AW13" s="83">
        <v>25.118525000000002</v>
      </c>
      <c r="AX13" s="83">
        <v>245.398021</v>
      </c>
      <c r="AY13" s="83">
        <v>49.446516000000003</v>
      </c>
      <c r="AZ13" s="83">
        <v>142.95878099999999</v>
      </c>
      <c r="BA13" s="83">
        <v>79.562899000000002</v>
      </c>
      <c r="BB13" s="83">
        <v>131.37310400000001</v>
      </c>
      <c r="BC13" s="83">
        <v>92.049481</v>
      </c>
      <c r="BD13" s="83">
        <v>24.106631</v>
      </c>
      <c r="BE13" s="83">
        <v>263.36899699999998</v>
      </c>
      <c r="BF13" s="83">
        <v>51.498221999999998</v>
      </c>
      <c r="BG13" s="83">
        <v>160.60483099999999</v>
      </c>
      <c r="BH13" s="83">
        <v>90.595653999999996</v>
      </c>
      <c r="BI13" s="83">
        <v>138.01917499999999</v>
      </c>
      <c r="BJ13" s="83">
        <v>106.496471</v>
      </c>
      <c r="BK13" s="83">
        <v>26.055284</v>
      </c>
      <c r="BL13" s="83">
        <v>254.97076100000001</v>
      </c>
      <c r="BM13" s="83">
        <v>49.296923999999997</v>
      </c>
      <c r="BN13" s="83">
        <v>165.54168100000001</v>
      </c>
      <c r="BO13" s="83">
        <v>89.845796000000007</v>
      </c>
      <c r="BP13" s="83">
        <v>139.12100699999999</v>
      </c>
      <c r="BQ13" s="83">
        <v>105.40679</v>
      </c>
      <c r="BR13" s="83">
        <v>26.155615999999998</v>
      </c>
      <c r="BS13" s="83">
        <v>268.726156</v>
      </c>
      <c r="BT13" s="83">
        <v>57.039566999999998</v>
      </c>
      <c r="BU13" s="83">
        <v>165.15639999999999</v>
      </c>
      <c r="BV13" s="83">
        <v>94.232698999999997</v>
      </c>
      <c r="BW13" s="83">
        <v>142.49958100000001</v>
      </c>
      <c r="BX13" s="83">
        <v>110.06077999999999</v>
      </c>
      <c r="BY13" s="83">
        <v>27.563711999999999</v>
      </c>
      <c r="BZ13" s="83">
        <v>273.38437299999998</v>
      </c>
      <c r="CA13" s="83">
        <v>52.065879000000002</v>
      </c>
      <c r="CB13" s="83">
        <v>166.60947200000001</v>
      </c>
      <c r="CC13" s="83">
        <v>87.535695000000004</v>
      </c>
      <c r="CD13" s="83">
        <v>138.34278499999999</v>
      </c>
      <c r="CE13" s="83">
        <v>104.329814</v>
      </c>
      <c r="CF13" s="83">
        <v>24.446660999999999</v>
      </c>
      <c r="CG13" s="83">
        <v>253.12708699999999</v>
      </c>
      <c r="CH13" s="83">
        <v>54.465583000000002</v>
      </c>
      <c r="CI13" s="83">
        <v>156.68450999999999</v>
      </c>
      <c r="CJ13" s="83">
        <v>90.714886000000007</v>
      </c>
      <c r="CK13" s="83">
        <v>135.88987599999999</v>
      </c>
      <c r="CL13" s="83">
        <v>105.08712300000001</v>
      </c>
      <c r="CM13" s="83">
        <v>27.097208999999999</v>
      </c>
      <c r="CN13" s="83">
        <v>260.41238499999997</v>
      </c>
      <c r="CO13" s="83">
        <v>52.251632000000001</v>
      </c>
      <c r="CP13" s="83">
        <v>161.73171600000001</v>
      </c>
      <c r="CQ13" s="83">
        <v>89.475570000000005</v>
      </c>
      <c r="CR13" s="83">
        <v>136.903458</v>
      </c>
      <c r="CS13" s="83">
        <v>104.012885</v>
      </c>
      <c r="CT13" s="83">
        <v>26.656690999999999</v>
      </c>
      <c r="CU13" s="83">
        <v>258.84650900000003</v>
      </c>
      <c r="CV13" s="83">
        <v>54.528875999999997</v>
      </c>
      <c r="CW13" s="83">
        <v>168.894836</v>
      </c>
      <c r="CX13" s="83">
        <v>96.966417000000007</v>
      </c>
      <c r="CY13" s="83">
        <v>146.04466500000001</v>
      </c>
      <c r="CZ13" s="83">
        <v>112.858857</v>
      </c>
      <c r="DA13" s="83">
        <v>28.620118999999999</v>
      </c>
      <c r="DB13" s="83">
        <v>269.29816</v>
      </c>
      <c r="DC13" s="83">
        <v>53.957557999999999</v>
      </c>
      <c r="DD13" s="83">
        <v>157.12808799999999</v>
      </c>
      <c r="DE13" s="83">
        <v>85.324493000000004</v>
      </c>
      <c r="DF13" s="83">
        <v>132.076414</v>
      </c>
      <c r="DG13" s="83">
        <v>100.07699599999999</v>
      </c>
      <c r="DH13" s="83">
        <v>24.855622</v>
      </c>
      <c r="DI13" s="83">
        <v>271.60765199999997</v>
      </c>
      <c r="DJ13" s="83">
        <v>56.649262999999998</v>
      </c>
      <c r="DK13" s="83">
        <v>165.38548499999999</v>
      </c>
      <c r="DL13" s="83">
        <v>92.543996000000007</v>
      </c>
      <c r="DM13" s="83">
        <v>141.72944699999999</v>
      </c>
      <c r="DN13" s="83">
        <v>109.28422</v>
      </c>
      <c r="DO13" s="83">
        <v>26.29204</v>
      </c>
      <c r="DP13" s="83">
        <v>251.88114100000001</v>
      </c>
      <c r="DQ13" s="83">
        <v>51.426685999999997</v>
      </c>
      <c r="DR13" s="83">
        <v>151.28956400000001</v>
      </c>
      <c r="DS13" s="83">
        <v>84.254825999999994</v>
      </c>
      <c r="DT13" s="83">
        <v>128.386931</v>
      </c>
      <c r="DU13" s="83">
        <v>97.635579000000007</v>
      </c>
      <c r="DV13" s="83">
        <v>25.2971</v>
      </c>
      <c r="DW13" s="83">
        <v>244.43850599999999</v>
      </c>
      <c r="DX13" s="83">
        <v>52.000664999999998</v>
      </c>
      <c r="DY13" s="83">
        <v>156.500327</v>
      </c>
      <c r="DZ13" s="83">
        <v>90.267312000000004</v>
      </c>
      <c r="EA13" s="83">
        <v>135.54888500000001</v>
      </c>
      <c r="EB13" s="83">
        <v>104.789478</v>
      </c>
      <c r="EC13" s="83">
        <v>26.819956999999999</v>
      </c>
      <c r="ED13" s="83">
        <v>257.74746199999998</v>
      </c>
      <c r="EE13" s="83">
        <v>51.006740000000001</v>
      </c>
      <c r="EF13" s="83">
        <v>159.26065500000001</v>
      </c>
      <c r="EG13" s="83">
        <v>86.917867000000001</v>
      </c>
      <c r="EH13" s="83">
        <v>134.121478</v>
      </c>
      <c r="EI13" s="83">
        <v>101.699985</v>
      </c>
      <c r="EJ13" s="83">
        <v>25.475852</v>
      </c>
      <c r="EK13" s="83">
        <v>253.88744399999999</v>
      </c>
      <c r="EL13" s="83">
        <v>53.434472</v>
      </c>
      <c r="EM13" s="83">
        <v>155.312848</v>
      </c>
      <c r="EN13" s="83">
        <v>87.762242000000001</v>
      </c>
      <c r="EO13" s="83">
        <v>133.55219099999999</v>
      </c>
      <c r="EP13" s="83">
        <v>103.064937</v>
      </c>
      <c r="EQ13" s="83">
        <v>25.306011999999999</v>
      </c>
      <c r="ER13" s="83">
        <v>274.07063900000003</v>
      </c>
      <c r="ES13" s="83">
        <v>54.297362999999997</v>
      </c>
      <c r="ET13" s="83">
        <v>161.01208500000001</v>
      </c>
      <c r="EU13" s="83">
        <v>86.689404999999994</v>
      </c>
      <c r="EV13" s="83">
        <v>134.909614</v>
      </c>
      <c r="EW13" s="83">
        <v>102.09823</v>
      </c>
      <c r="EX13" s="83">
        <v>24.986398000000001</v>
      </c>
      <c r="EY13" s="83">
        <v>256.19180999999998</v>
      </c>
      <c r="EZ13" s="83">
        <v>53.858769000000002</v>
      </c>
      <c r="FA13" s="83">
        <v>165.21415500000001</v>
      </c>
      <c r="FB13" s="83">
        <v>94.421256</v>
      </c>
      <c r="FC13" s="83">
        <v>142.63216</v>
      </c>
      <c r="FD13" s="83">
        <v>110.178794</v>
      </c>
      <c r="FE13" s="83">
        <v>27.685428000000002</v>
      </c>
      <c r="FF13" s="83">
        <v>279.60154599999998</v>
      </c>
      <c r="FG13" s="83">
        <v>55.091487000000001</v>
      </c>
      <c r="FH13" s="83">
        <v>202.401681</v>
      </c>
      <c r="FI13" s="83">
        <v>103.00825399999999</v>
      </c>
      <c r="FJ13" s="83">
        <v>166.130133</v>
      </c>
      <c r="FK13" s="83">
        <v>124.716577</v>
      </c>
      <c r="FL13" s="83">
        <v>27.533117000000001</v>
      </c>
      <c r="FM13" s="83">
        <v>341.528413</v>
      </c>
      <c r="FN13" s="83">
        <v>67.879413</v>
      </c>
      <c r="FO13" s="83">
        <v>173.23195699999999</v>
      </c>
      <c r="FP13" s="83">
        <v>97.175601999999998</v>
      </c>
      <c r="FQ13" s="83">
        <v>148.58171999999999</v>
      </c>
      <c r="FR13" s="83">
        <v>114.592215</v>
      </c>
      <c r="FS13" s="83">
        <v>27.712951</v>
      </c>
      <c r="FT13" s="83">
        <v>272.87567999999999</v>
      </c>
      <c r="FU13" s="83">
        <v>54.658867999999998</v>
      </c>
      <c r="FV13" s="83">
        <v>183.558346</v>
      </c>
      <c r="FW13" s="83">
        <v>103.517364</v>
      </c>
      <c r="FX13" s="83">
        <v>156.51978700000001</v>
      </c>
      <c r="FY13" s="83">
        <v>119.24576500000001</v>
      </c>
      <c r="FZ13" s="83">
        <v>31.532093</v>
      </c>
      <c r="GA13" s="83">
        <v>299.687478</v>
      </c>
      <c r="GB13" s="83">
        <v>65.116209999999995</v>
      </c>
      <c r="GC13" s="83">
        <v>171.640658</v>
      </c>
      <c r="GD13" s="83">
        <v>98.771403000000007</v>
      </c>
      <c r="GE13" s="83">
        <v>148.54063300000001</v>
      </c>
      <c r="GF13" s="83">
        <v>114.81043699999999</v>
      </c>
      <c r="GG13" s="83">
        <v>29.249957999999999</v>
      </c>
      <c r="GH13" s="83">
        <v>289.79873300000003</v>
      </c>
      <c r="GI13" s="83">
        <v>57.183059999999998</v>
      </c>
      <c r="GJ13" s="83">
        <v>178.909592</v>
      </c>
      <c r="GK13" s="83">
        <v>97.413458000000006</v>
      </c>
      <c r="GL13" s="83">
        <v>150.536565</v>
      </c>
      <c r="GM13" s="83">
        <v>114.108569</v>
      </c>
      <c r="GN13" s="83">
        <v>28.470742000000001</v>
      </c>
      <c r="GO13" s="83">
        <v>254.24434600000001</v>
      </c>
      <c r="GP13" s="83">
        <v>54.046151999999999</v>
      </c>
      <c r="GQ13" s="83">
        <v>155.67487299999999</v>
      </c>
      <c r="GR13" s="83">
        <v>88.855552000000003</v>
      </c>
      <c r="GS13" s="83">
        <v>134.33614900000001</v>
      </c>
      <c r="GT13" s="83">
        <v>103.758967</v>
      </c>
      <c r="GU13" s="83">
        <v>26.004835</v>
      </c>
      <c r="GV13" s="83">
        <v>294.54008800000003</v>
      </c>
      <c r="GW13" s="83">
        <v>58.589863000000001</v>
      </c>
      <c r="GX13" s="83">
        <v>183.15870699999999</v>
      </c>
      <c r="GY13" s="83">
        <v>100.647977</v>
      </c>
      <c r="GZ13" s="83">
        <v>154.64583500000001</v>
      </c>
      <c r="HA13" s="83">
        <v>117.378586</v>
      </c>
      <c r="HB13" s="83">
        <v>29.745346999999999</v>
      </c>
      <c r="HC13" s="83">
        <v>277.28783099999998</v>
      </c>
      <c r="HD13" s="83">
        <v>58.688690000000001</v>
      </c>
      <c r="HE13" s="83">
        <v>196.56416200000001</v>
      </c>
      <c r="HF13" s="83">
        <v>105.97484799999999</v>
      </c>
      <c r="HG13" s="83">
        <v>166.312478</v>
      </c>
      <c r="HH13" s="83">
        <v>127.836006</v>
      </c>
      <c r="HI13" s="83">
        <v>28.357582000000001</v>
      </c>
      <c r="HJ13" s="83">
        <v>346.92804599999999</v>
      </c>
      <c r="HK13" s="83">
        <v>60.637526000000001</v>
      </c>
      <c r="HL13" s="83">
        <v>171.55333400000001</v>
      </c>
      <c r="HM13" s="83">
        <v>88.317959999999999</v>
      </c>
      <c r="HN13" s="83">
        <v>141.39532700000001</v>
      </c>
      <c r="HO13" s="83">
        <v>106.32199799999999</v>
      </c>
      <c r="HP13" s="83">
        <v>23.992536999999999</v>
      </c>
      <c r="HQ13" s="83">
        <v>117.97631800000001</v>
      </c>
      <c r="HR13" s="83">
        <v>26.379010999999998</v>
      </c>
      <c r="HS13" s="83">
        <v>73.271422999999999</v>
      </c>
      <c r="HT13" s="83">
        <v>43.861223000000003</v>
      </c>
      <c r="HU13" s="83">
        <v>64.312837000000002</v>
      </c>
      <c r="HV13" s="83">
        <v>49.877768000000003</v>
      </c>
      <c r="HW13" s="83">
        <v>13.708107</v>
      </c>
      <c r="HX13" s="83">
        <v>334.83646800000002</v>
      </c>
      <c r="HY13" s="83">
        <v>60.532342</v>
      </c>
      <c r="HZ13" s="83">
        <v>202.46442099999999</v>
      </c>
      <c r="IA13" s="83">
        <v>101.317233</v>
      </c>
      <c r="IB13" s="83">
        <v>165.182638</v>
      </c>
      <c r="IC13" s="83">
        <v>123.707683</v>
      </c>
      <c r="ID13" s="83">
        <v>26.421996</v>
      </c>
      <c r="IE13" s="83">
        <v>348.23548</v>
      </c>
      <c r="IF13" s="83">
        <v>68.483875999999995</v>
      </c>
      <c r="IG13" s="83">
        <v>236.86476300000001</v>
      </c>
      <c r="IH13" s="83">
        <v>118.450222</v>
      </c>
      <c r="II13" s="83">
        <v>195.48935599999999</v>
      </c>
      <c r="IJ13" s="83">
        <v>149.32073099999999</v>
      </c>
      <c r="IK13" s="83">
        <v>27.510505999999999</v>
      </c>
      <c r="IL13" s="83">
        <v>293.98854299999999</v>
      </c>
      <c r="IM13" s="83">
        <v>58.021483000000003</v>
      </c>
      <c r="IN13" s="83">
        <v>161.898269</v>
      </c>
      <c r="IO13" s="83">
        <v>91.669576000000006</v>
      </c>
      <c r="IP13" s="83">
        <v>138.263316</v>
      </c>
      <c r="IQ13" s="83">
        <v>105.39798500000001</v>
      </c>
      <c r="IR13" s="83">
        <v>28.049987000000002</v>
      </c>
      <c r="IS13" s="83">
        <v>192.090892</v>
      </c>
      <c r="IT13" s="83">
        <v>43.410538000000003</v>
      </c>
      <c r="IU13" s="83">
        <v>124.465249</v>
      </c>
      <c r="IV13" s="83">
        <v>76.010403999999994</v>
      </c>
      <c r="IW13" s="83">
        <v>110.047348</v>
      </c>
      <c r="IX13" s="83">
        <v>85.494731000000002</v>
      </c>
      <c r="IY13" s="83">
        <v>24.368511000000002</v>
      </c>
      <c r="IZ13" s="83">
        <v>232.23142000000001</v>
      </c>
      <c r="JA13" s="83">
        <v>47.702629000000002</v>
      </c>
      <c r="JB13" s="83">
        <v>148.73602099999999</v>
      </c>
      <c r="JC13" s="83">
        <v>84.573514000000003</v>
      </c>
      <c r="JD13" s="83">
        <v>127.229364</v>
      </c>
      <c r="JE13" s="83">
        <v>97.045997999999997</v>
      </c>
      <c r="JF13" s="83">
        <v>26.001252000000001</v>
      </c>
      <c r="JG13" s="83">
        <v>184.488111</v>
      </c>
      <c r="JH13" s="83">
        <v>42.399948000000002</v>
      </c>
      <c r="JI13" s="83">
        <v>129.36145500000001</v>
      </c>
      <c r="JJ13" s="83">
        <v>76.026212000000001</v>
      </c>
      <c r="JK13" s="83">
        <v>112.794342</v>
      </c>
      <c r="JL13" s="83">
        <v>87.339056999999997</v>
      </c>
      <c r="JM13" s="83">
        <v>23.185783000000001</v>
      </c>
      <c r="JN13" s="83">
        <v>161.27818500000001</v>
      </c>
      <c r="JO13" s="83">
        <v>48.456752000000002</v>
      </c>
      <c r="JP13" s="83">
        <v>112.530631</v>
      </c>
      <c r="JQ13" s="83">
        <v>58.176113999999998</v>
      </c>
      <c r="JR13" s="83">
        <v>84.984168999999994</v>
      </c>
      <c r="JS13" s="83">
        <v>139.67954599999999</v>
      </c>
      <c r="JT13" s="83">
        <v>130.301761</v>
      </c>
      <c r="JU13" s="83">
        <v>108.152607</v>
      </c>
      <c r="JV13" s="83">
        <v>118.380394</v>
      </c>
      <c r="JW13" s="83">
        <v>107.414208</v>
      </c>
      <c r="JX13" s="83">
        <v>112.610345</v>
      </c>
      <c r="JY13" s="83">
        <v>101.36643100000001</v>
      </c>
      <c r="JZ13" s="83">
        <v>112.15951099999999</v>
      </c>
      <c r="KA13" s="83">
        <v>103.54264000000001</v>
      </c>
      <c r="KB13" s="83">
        <v>102.085936</v>
      </c>
      <c r="KC13" s="83">
        <v>104.023051</v>
      </c>
      <c r="KD13" s="83">
        <v>104.318854</v>
      </c>
      <c r="KE13" s="83">
        <v>104.885227</v>
      </c>
      <c r="KF13" s="83">
        <v>97.214219999999997</v>
      </c>
      <c r="KG13" s="83">
        <v>104.76656699999999</v>
      </c>
      <c r="KH13" s="83">
        <v>98.705984999999998</v>
      </c>
      <c r="KI13" s="83">
        <v>120.72047000000001</v>
      </c>
      <c r="KJ13" s="83">
        <v>132.91887199999999</v>
      </c>
      <c r="KK13" s="83">
        <v>120.02958099999999</v>
      </c>
      <c r="KL13" s="83">
        <v>126.226913</v>
      </c>
      <c r="KM13" s="83">
        <v>112.81656</v>
      </c>
      <c r="KN13" s="83">
        <v>125.689206</v>
      </c>
      <c r="KO13" s="83">
        <v>115.412042</v>
      </c>
      <c r="KP13" s="83">
        <v>115.56047</v>
      </c>
      <c r="KQ13" s="83">
        <v>118.247629</v>
      </c>
      <c r="KR13" s="83">
        <v>117.28975199999999</v>
      </c>
      <c r="KS13" s="83">
        <v>118.07542100000001</v>
      </c>
      <c r="KT13" s="83">
        <v>107.434701</v>
      </c>
      <c r="KU13" s="83">
        <v>117.910831</v>
      </c>
      <c r="KV13" s="83">
        <v>109.503974</v>
      </c>
      <c r="KW13" s="83">
        <v>104.031756</v>
      </c>
      <c r="KX13" s="83">
        <v>113.51693299999999</v>
      </c>
      <c r="KY13" s="83">
        <v>103.94264800000001</v>
      </c>
      <c r="KZ13" s="83">
        <v>108.761473</v>
      </c>
      <c r="LA13" s="83">
        <v>98.333984999999998</v>
      </c>
      <c r="LB13" s="83">
        <v>108.343352</v>
      </c>
      <c r="LC13" s="83">
        <v>100.352193</v>
      </c>
      <c r="LD13" s="83">
        <v>103.560744</v>
      </c>
      <c r="LE13" s="83">
        <v>105.19888400000001</v>
      </c>
      <c r="LF13" s="83">
        <v>105.04890399999999</v>
      </c>
      <c r="LG13" s="83">
        <v>105.52786399999999</v>
      </c>
      <c r="LH13" s="83">
        <v>99.040891999999999</v>
      </c>
      <c r="LI13" s="83">
        <v>105.427515</v>
      </c>
      <c r="LJ13" s="83">
        <v>100.30241100000001</v>
      </c>
      <c r="LK13" s="83">
        <v>124.146945</v>
      </c>
      <c r="LL13" s="83">
        <v>138.351215</v>
      </c>
      <c r="LM13" s="83">
        <v>124.61500599999999</v>
      </c>
      <c r="LN13" s="83">
        <v>131.83138199999999</v>
      </c>
      <c r="LO13" s="83">
        <v>116.215985</v>
      </c>
      <c r="LP13" s="83">
        <v>131.20526100000001</v>
      </c>
      <c r="LQ13" s="83">
        <v>119.23826200000001</v>
      </c>
      <c r="LR13" s="83">
        <v>113.878411</v>
      </c>
      <c r="LS13" s="83">
        <v>116.31034</v>
      </c>
      <c r="LT13" s="83">
        <v>124.271822</v>
      </c>
      <c r="LU13" s="83">
        <v>124.98285199999999</v>
      </c>
      <c r="LV13" s="83">
        <v>115.352617</v>
      </c>
      <c r="LW13" s="83">
        <v>124.83387399999999</v>
      </c>
      <c r="LX13" s="83">
        <v>117.22540600000001</v>
      </c>
      <c r="LY13" s="83">
        <v>120.322689</v>
      </c>
      <c r="LZ13" s="83">
        <v>130.29816400000001</v>
      </c>
      <c r="MA13" s="83">
        <v>111.466814</v>
      </c>
      <c r="MB13" s="83">
        <v>116.534801</v>
      </c>
      <c r="MC13" s="83">
        <v>105.56824</v>
      </c>
      <c r="MD13" s="83">
        <v>116.095077</v>
      </c>
      <c r="ME13" s="83">
        <v>107.690772</v>
      </c>
      <c r="MF13" s="83">
        <v>109.251283</v>
      </c>
      <c r="MG13" s="83">
        <v>111.51707</v>
      </c>
      <c r="MH13" s="83">
        <v>110.709345</v>
      </c>
      <c r="MI13" s="83">
        <v>111.371838</v>
      </c>
      <c r="MJ13" s="83">
        <v>102.399457</v>
      </c>
      <c r="MK13" s="83">
        <v>111.23304899999999</v>
      </c>
      <c r="ML13" s="83">
        <v>104.1443</v>
      </c>
      <c r="MM13" s="83">
        <v>112.442238</v>
      </c>
      <c r="MN13" s="83">
        <v>123.87104100000001</v>
      </c>
      <c r="MO13" s="83">
        <v>124.892223</v>
      </c>
      <c r="MP13" s="83">
        <v>130.698565</v>
      </c>
      <c r="MQ13" s="83">
        <v>118.13430700000001</v>
      </c>
      <c r="MR13" s="83">
        <v>130.194739</v>
      </c>
      <c r="MS13" s="83">
        <v>120.566035</v>
      </c>
      <c r="MT13" s="83">
        <v>126.02129100000001</v>
      </c>
      <c r="MU13" s="83">
        <v>127.72648</v>
      </c>
      <c r="MV13" s="83">
        <v>113.28107900000001</v>
      </c>
      <c r="MW13" s="83">
        <v>113.77963200000001</v>
      </c>
      <c r="MX13" s="83">
        <v>107.027154</v>
      </c>
      <c r="MY13" s="83">
        <v>113.67515899999999</v>
      </c>
      <c r="MZ13" s="83">
        <v>108.34027399999999</v>
      </c>
      <c r="NA13" s="83">
        <v>117.56727100000001</v>
      </c>
      <c r="NB13" s="83">
        <v>129.659447</v>
      </c>
      <c r="NC13" s="83">
        <v>117.965703</v>
      </c>
      <c r="ND13" s="83">
        <v>124.109049</v>
      </c>
      <c r="NE13" s="83">
        <v>110.815523</v>
      </c>
      <c r="NF13" s="83">
        <v>123.576019</v>
      </c>
      <c r="NG13" s="83">
        <v>113.38842099999999</v>
      </c>
      <c r="NH13" s="83">
        <v>137.08851200000001</v>
      </c>
      <c r="NI13" s="83">
        <v>140.288555</v>
      </c>
      <c r="NJ13" s="83">
        <v>136.280644</v>
      </c>
      <c r="NK13" s="83">
        <v>137.21625599999999</v>
      </c>
      <c r="NL13" s="83">
        <v>124.544437</v>
      </c>
      <c r="NM13" s="83">
        <v>137.02024499999999</v>
      </c>
      <c r="NN13" s="83">
        <v>127.00870999999999</v>
      </c>
      <c r="NO13" s="83">
        <v>117.740604</v>
      </c>
      <c r="NP13" s="83">
        <v>129.668679</v>
      </c>
      <c r="NQ13" s="83">
        <v>120.830659</v>
      </c>
      <c r="NR13" s="83">
        <v>126.89063</v>
      </c>
      <c r="NS13" s="83">
        <v>113.77750899999999</v>
      </c>
      <c r="NT13" s="83">
        <v>126.364858</v>
      </c>
      <c r="NU13" s="83">
        <v>116.315528</v>
      </c>
      <c r="NV13" s="83">
        <v>120.049167</v>
      </c>
      <c r="NW13" s="83">
        <v>122.528423</v>
      </c>
      <c r="NX13" s="83">
        <v>121.64461900000001</v>
      </c>
      <c r="NY13" s="83">
        <v>122.36953200000001</v>
      </c>
      <c r="NZ13" s="83">
        <v>112.551745</v>
      </c>
      <c r="OA13" s="83">
        <v>122.217636</v>
      </c>
      <c r="OB13" s="83">
        <v>114.460999</v>
      </c>
      <c r="OC13" s="83">
        <v>121.142503</v>
      </c>
      <c r="OD13" s="83">
        <v>133.48431199999999</v>
      </c>
      <c r="OE13" s="83">
        <v>133.88860500000001</v>
      </c>
      <c r="OF13" s="83">
        <v>140.15871100000001</v>
      </c>
      <c r="OG13" s="83">
        <v>126.590795</v>
      </c>
      <c r="OH13" s="83">
        <v>139.61469500000001</v>
      </c>
      <c r="OI13" s="83">
        <v>129.21680499999999</v>
      </c>
      <c r="OJ13" s="83">
        <v>135.73504800000001</v>
      </c>
      <c r="OK13" s="83">
        <v>138.565629</v>
      </c>
      <c r="OL13" s="83">
        <v>125.469458</v>
      </c>
      <c r="OM13" s="83">
        <v>126.29707000000001</v>
      </c>
      <c r="ON13" s="83">
        <v>115.088307</v>
      </c>
      <c r="OO13" s="83">
        <v>126.12370300000001</v>
      </c>
      <c r="OP13" s="83">
        <v>117.26805400000001</v>
      </c>
      <c r="OQ13" s="83">
        <v>111.254164</v>
      </c>
      <c r="OR13" s="83">
        <v>122.04546499999999</v>
      </c>
      <c r="OS13" s="83">
        <v>111.609713</v>
      </c>
      <c r="OT13" s="83">
        <v>117.09214299999999</v>
      </c>
      <c r="OU13" s="83">
        <v>105.228769</v>
      </c>
      <c r="OV13" s="83">
        <v>116.61644099999999</v>
      </c>
      <c r="OW13" s="83">
        <v>107.524862</v>
      </c>
      <c r="OX13" s="83">
        <v>114.961939</v>
      </c>
      <c r="OY13" s="83">
        <v>117.22709500000001</v>
      </c>
      <c r="OZ13" s="83">
        <v>112.18285400000001</v>
      </c>
      <c r="PA13" s="83">
        <v>112.845102</v>
      </c>
      <c r="PB13" s="83">
        <v>103.875303</v>
      </c>
      <c r="PC13" s="83">
        <v>112.70635799999999</v>
      </c>
      <c r="PD13" s="83">
        <v>105.619666</v>
      </c>
      <c r="PE13" s="83">
        <v>122.916776</v>
      </c>
      <c r="PF13" s="83">
        <v>135.30766</v>
      </c>
      <c r="PG13" s="83">
        <v>127.953033</v>
      </c>
      <c r="PH13" s="83">
        <v>134.24816300000001</v>
      </c>
      <c r="PI13" s="83">
        <v>120.62617899999999</v>
      </c>
      <c r="PJ13" s="83">
        <v>133.701966</v>
      </c>
      <c r="PK13" s="83">
        <v>123.26268899999999</v>
      </c>
      <c r="PL13" s="83">
        <v>121.686155</v>
      </c>
      <c r="PM13" s="83">
        <v>124.390171</v>
      </c>
      <c r="PN13" s="83">
        <v>123.42626300000001</v>
      </c>
      <c r="PO13" s="83">
        <v>124.216865</v>
      </c>
      <c r="PP13" s="83">
        <v>113.509259</v>
      </c>
      <c r="PQ13" s="83">
        <v>124.05124000000001</v>
      </c>
      <c r="PR13" s="83">
        <v>115.591543</v>
      </c>
      <c r="PS13" s="83">
        <v>123.208448</v>
      </c>
      <c r="PT13" s="83">
        <v>135.350201</v>
      </c>
      <c r="PU13" s="83">
        <v>123.60848799999999</v>
      </c>
      <c r="PV13" s="83">
        <v>129.777007</v>
      </c>
      <c r="PW13" s="83">
        <v>116.42900299999999</v>
      </c>
      <c r="PX13" s="83">
        <v>129.24181100000001</v>
      </c>
      <c r="PY13" s="83">
        <v>119.01244699999999</v>
      </c>
      <c r="PZ13" s="83">
        <v>121.668656</v>
      </c>
      <c r="QA13" s="83">
        <v>124.68732900000001</v>
      </c>
      <c r="QB13" s="83">
        <v>123.61130199999999</v>
      </c>
      <c r="QC13" s="83">
        <v>124.493866</v>
      </c>
      <c r="QD13" s="83">
        <v>112.540221</v>
      </c>
      <c r="QE13" s="83">
        <v>124.309003</v>
      </c>
      <c r="QF13" s="83">
        <v>114.864845</v>
      </c>
      <c r="QG13" s="83">
        <v>117.22321599999999</v>
      </c>
      <c r="QH13" s="83">
        <v>128.003535</v>
      </c>
      <c r="QI13" s="83">
        <v>117.578445</v>
      </c>
      <c r="QJ13" s="83">
        <v>123.055279</v>
      </c>
      <c r="QK13" s="83">
        <v>111.203959</v>
      </c>
      <c r="QL13" s="83">
        <v>122.580068</v>
      </c>
      <c r="QM13" s="83">
        <v>113.49774600000001</v>
      </c>
      <c r="QN13" s="83">
        <v>119.35753800000001</v>
      </c>
      <c r="QO13" s="83">
        <v>121.82470499999999</v>
      </c>
      <c r="QP13" s="83">
        <v>120.945263</v>
      </c>
      <c r="QQ13" s="83">
        <v>121.66663699999999</v>
      </c>
      <c r="QR13" s="83">
        <v>111.896861</v>
      </c>
      <c r="QS13" s="83">
        <v>121.515488</v>
      </c>
    </row>
    <row r="14" spans="1:461" x14ac:dyDescent="0.25">
      <c r="F14" s="82" t="str">
        <f xml:space="preserve"> _xll.EPMOlapMemberO("[PRDDESCR].[].[HELGAS GFREE MIXED GRAIN 500G]","","HELGAS GFREE MIXED GRAIN 500G","","000")</f>
        <v>HELGAS GFREE MIXED GRAIN 500G</v>
      </c>
      <c r="G14" s="82" t="str">
        <f xml:space="preserve"> _xll.EPMOlapMemberO("[PRDID].[].[168847]","","168847","","000")</f>
        <v>168847</v>
      </c>
      <c r="H14" s="82" t="str">
        <f xml:space="preserve"> _xll.EPMOlapMemberO("[LOCID].[].[6134]","","6134","","000")</f>
        <v>6134</v>
      </c>
      <c r="I14" s="82" t="str">
        <f xml:space="preserve"> _xll.EPMOlapMemberO("[LOCDESCR].[].[QBA-West Richmond SA]","","QBA-West Richmond SA","","000")</f>
        <v>QBA-West Richmond SA</v>
      </c>
      <c r="J14" s="82" t="str">
        <f xml:space="preserve"> _xll.EPMOlapMemberO("[KEY_FIGURES].[].[ZGFAPPROVEDFCSTQTY]","","Approved Forecast","","000")</f>
        <v>Approved Forecast</v>
      </c>
      <c r="K14" s="83">
        <v>130.062747</v>
      </c>
      <c r="L14" s="83">
        <v>295.91218500000002</v>
      </c>
      <c r="M14" s="83">
        <v>149.519182</v>
      </c>
      <c r="N14" s="83">
        <v>92.254806000000002</v>
      </c>
      <c r="O14" s="83">
        <v>320.47250200000002</v>
      </c>
      <c r="P14" s="83">
        <v>112.021351</v>
      </c>
      <c r="Q14" s="83">
        <v>302.56791900000002</v>
      </c>
      <c r="R14" s="83">
        <v>131.07877500000001</v>
      </c>
      <c r="S14" s="83">
        <v>297.47133100000002</v>
      </c>
      <c r="T14" s="83">
        <v>152.49741399999999</v>
      </c>
      <c r="U14" s="83">
        <v>91.517645999999999</v>
      </c>
      <c r="V14" s="83">
        <v>325.12798400000003</v>
      </c>
      <c r="W14" s="83">
        <v>105.929604</v>
      </c>
      <c r="X14" s="83">
        <v>297.22430500000002</v>
      </c>
      <c r="Y14" s="83">
        <v>132.92594600000001</v>
      </c>
      <c r="Z14" s="83">
        <v>291.35847899999999</v>
      </c>
      <c r="AA14" s="83">
        <v>150.78814700000001</v>
      </c>
      <c r="AB14" s="83">
        <v>90.452833999999996</v>
      </c>
      <c r="AC14" s="83">
        <v>318.30956099999997</v>
      </c>
      <c r="AD14" s="83">
        <v>103.08986</v>
      </c>
      <c r="AE14" s="83">
        <v>293.79140200000001</v>
      </c>
      <c r="AF14" s="83">
        <v>129.55962500000001</v>
      </c>
      <c r="AG14" s="83">
        <v>285.82235900000001</v>
      </c>
      <c r="AH14" s="83">
        <v>148.334574</v>
      </c>
      <c r="AI14" s="83">
        <v>88.177124000000006</v>
      </c>
      <c r="AJ14" s="83">
        <v>312.834272</v>
      </c>
      <c r="AK14" s="83">
        <v>99.960391999999999</v>
      </c>
      <c r="AL14" s="83">
        <v>320.63204000000002</v>
      </c>
      <c r="AM14" s="83">
        <v>141.86940000000001</v>
      </c>
      <c r="AN14" s="83">
        <v>317.34569099999999</v>
      </c>
      <c r="AO14" s="83">
        <v>161.376317</v>
      </c>
      <c r="AP14" s="83">
        <v>92.216907000000006</v>
      </c>
      <c r="AQ14" s="83">
        <v>346.20507400000002</v>
      </c>
      <c r="AR14" s="83">
        <v>102.679368</v>
      </c>
      <c r="AS14" s="83">
        <v>309.45782100000002</v>
      </c>
      <c r="AT14" s="83">
        <v>136.47568699999999</v>
      </c>
      <c r="AU14" s="83">
        <v>304.17545100000001</v>
      </c>
      <c r="AV14" s="83">
        <v>155.91857099999999</v>
      </c>
      <c r="AW14" s="83">
        <v>90.11439</v>
      </c>
      <c r="AX14" s="83">
        <v>378.71238699999998</v>
      </c>
      <c r="AY14" s="83">
        <v>112.431399</v>
      </c>
      <c r="AZ14" s="83">
        <v>331.95003100000002</v>
      </c>
      <c r="BA14" s="83">
        <v>147.18975900000001</v>
      </c>
      <c r="BB14" s="83">
        <v>327.447339</v>
      </c>
      <c r="BC14" s="83">
        <v>166.81477100000001</v>
      </c>
      <c r="BD14" s="83">
        <v>96.765511000000004</v>
      </c>
      <c r="BE14" s="83">
        <v>382.85086000000001</v>
      </c>
      <c r="BF14" s="83">
        <v>113.93024800000001</v>
      </c>
      <c r="BG14" s="83">
        <v>326.95676800000001</v>
      </c>
      <c r="BH14" s="83">
        <v>142.17182500000001</v>
      </c>
      <c r="BI14" s="83">
        <v>312.383216</v>
      </c>
      <c r="BJ14" s="83">
        <v>164.33320900000001</v>
      </c>
      <c r="BK14" s="83">
        <v>95.426394999999999</v>
      </c>
      <c r="BL14" s="83">
        <v>338.14991099999997</v>
      </c>
      <c r="BM14" s="83">
        <v>102.44513499999999</v>
      </c>
      <c r="BN14" s="83">
        <v>313.88646299999999</v>
      </c>
      <c r="BO14" s="83">
        <v>137.81406000000001</v>
      </c>
      <c r="BP14" s="83">
        <v>304.34633200000002</v>
      </c>
      <c r="BQ14" s="83">
        <v>161.864475</v>
      </c>
      <c r="BR14" s="83">
        <v>92.651838999999995</v>
      </c>
      <c r="BS14" s="83">
        <v>357.99212299999999</v>
      </c>
      <c r="BT14" s="83">
        <v>108.289463</v>
      </c>
      <c r="BU14" s="83">
        <v>328.45056499999998</v>
      </c>
      <c r="BV14" s="83">
        <v>143.46028100000001</v>
      </c>
      <c r="BW14" s="83">
        <v>315.14703900000001</v>
      </c>
      <c r="BX14" s="83">
        <v>165.60624899999999</v>
      </c>
      <c r="BY14" s="83">
        <v>95.658232999999996</v>
      </c>
      <c r="BZ14" s="83">
        <v>319.58545400000003</v>
      </c>
      <c r="CA14" s="83">
        <v>96.856905999999995</v>
      </c>
      <c r="CB14" s="83">
        <v>290.14297800000003</v>
      </c>
      <c r="CC14" s="83">
        <v>126.602602</v>
      </c>
      <c r="CD14" s="83">
        <v>280.22742899999997</v>
      </c>
      <c r="CE14" s="83">
        <v>148.13409999999999</v>
      </c>
      <c r="CF14" s="83">
        <v>84.708299999999994</v>
      </c>
      <c r="CG14" s="83">
        <v>342.423588</v>
      </c>
      <c r="CH14" s="83">
        <v>104.034785</v>
      </c>
      <c r="CI14" s="83">
        <v>314.58651600000002</v>
      </c>
      <c r="CJ14" s="83">
        <v>137.28223700000001</v>
      </c>
      <c r="CK14" s="83">
        <v>301.41787699999998</v>
      </c>
      <c r="CL14" s="83">
        <v>158.643585</v>
      </c>
      <c r="CM14" s="83">
        <v>91.810546000000002</v>
      </c>
      <c r="CN14" s="83">
        <v>346.09466400000002</v>
      </c>
      <c r="CO14" s="83">
        <v>106.579229</v>
      </c>
      <c r="CP14" s="83">
        <v>317.39864999999998</v>
      </c>
      <c r="CQ14" s="83">
        <v>139.04119499999999</v>
      </c>
      <c r="CR14" s="83">
        <v>306.23166500000002</v>
      </c>
      <c r="CS14" s="83">
        <v>162.409842</v>
      </c>
      <c r="CT14" s="83">
        <v>94.138008999999997</v>
      </c>
      <c r="CU14" s="83">
        <v>333.67046599999998</v>
      </c>
      <c r="CV14" s="83">
        <v>101.16415000000001</v>
      </c>
      <c r="CW14" s="83">
        <v>315.20806599999997</v>
      </c>
      <c r="CX14" s="83">
        <v>137.189761</v>
      </c>
      <c r="CY14" s="83">
        <v>300.78888799999999</v>
      </c>
      <c r="CZ14" s="83">
        <v>158.07298900000001</v>
      </c>
      <c r="DA14" s="83">
        <v>92.279044999999996</v>
      </c>
      <c r="DB14" s="83">
        <v>323.61529300000001</v>
      </c>
      <c r="DC14" s="83">
        <v>98.687831000000003</v>
      </c>
      <c r="DD14" s="83">
        <v>287.49739899999997</v>
      </c>
      <c r="DE14" s="83">
        <v>125.465756</v>
      </c>
      <c r="DF14" s="83">
        <v>278.01445999999999</v>
      </c>
      <c r="DG14" s="83">
        <v>147.19999999999999</v>
      </c>
      <c r="DH14" s="83">
        <v>83.805543999999998</v>
      </c>
      <c r="DI14" s="83">
        <v>339.00433399999997</v>
      </c>
      <c r="DJ14" s="83">
        <v>102.942905</v>
      </c>
      <c r="DK14" s="83">
        <v>311.30075199999999</v>
      </c>
      <c r="DL14" s="83">
        <v>135.68200100000001</v>
      </c>
      <c r="DM14" s="83">
        <v>297.96586000000002</v>
      </c>
      <c r="DN14" s="83">
        <v>156.63189199999999</v>
      </c>
      <c r="DO14" s="83">
        <v>90.707628999999997</v>
      </c>
      <c r="DP14" s="83">
        <v>349.10771099999999</v>
      </c>
      <c r="DQ14" s="83">
        <v>107.83851900000001</v>
      </c>
      <c r="DR14" s="83">
        <v>314.93851999999998</v>
      </c>
      <c r="DS14" s="83">
        <v>137.526274</v>
      </c>
      <c r="DT14" s="83">
        <v>303.20920899999999</v>
      </c>
      <c r="DU14" s="83">
        <v>160.21731299999999</v>
      </c>
      <c r="DV14" s="83">
        <v>92.957425000000001</v>
      </c>
      <c r="DW14" s="83">
        <v>321.66163999999998</v>
      </c>
      <c r="DX14" s="83">
        <v>98.295525999999995</v>
      </c>
      <c r="DY14" s="83">
        <v>301.75737400000003</v>
      </c>
      <c r="DZ14" s="83">
        <v>131.28690900000001</v>
      </c>
      <c r="EA14" s="83">
        <v>287.97846700000002</v>
      </c>
      <c r="EB14" s="83">
        <v>152.07696100000001</v>
      </c>
      <c r="EC14" s="83">
        <v>88.564231000000007</v>
      </c>
      <c r="ED14" s="83">
        <v>327.07274000000001</v>
      </c>
      <c r="EE14" s="83">
        <v>99.615110999999999</v>
      </c>
      <c r="EF14" s="83">
        <v>298.032442</v>
      </c>
      <c r="EG14" s="83">
        <v>130.488508</v>
      </c>
      <c r="EH14" s="83">
        <v>288.48124999999999</v>
      </c>
      <c r="EI14" s="83">
        <v>153.27968200000001</v>
      </c>
      <c r="EJ14" s="83">
        <v>87.617684999999994</v>
      </c>
      <c r="EK14" s="83">
        <v>334.58421800000002</v>
      </c>
      <c r="EL14" s="83">
        <v>98.832643000000004</v>
      </c>
      <c r="EM14" s="83">
        <v>304.15471000000002</v>
      </c>
      <c r="EN14" s="83">
        <v>132.001454</v>
      </c>
      <c r="EO14" s="83">
        <v>292.62994800000001</v>
      </c>
      <c r="EP14" s="83">
        <v>153.75138799999999</v>
      </c>
      <c r="EQ14" s="83">
        <v>86.549948000000001</v>
      </c>
      <c r="ER14" s="83">
        <v>335.74030099999999</v>
      </c>
      <c r="ES14" s="83">
        <v>103.92039</v>
      </c>
      <c r="ET14" s="83">
        <v>302.57374499999997</v>
      </c>
      <c r="EU14" s="83">
        <v>131.4057</v>
      </c>
      <c r="EV14" s="83">
        <v>290.78686800000003</v>
      </c>
      <c r="EW14" s="83">
        <v>154.346823</v>
      </c>
      <c r="EX14" s="83">
        <v>88.919014000000004</v>
      </c>
      <c r="EY14" s="83">
        <v>325.563174</v>
      </c>
      <c r="EZ14" s="83">
        <v>101.26382</v>
      </c>
      <c r="FA14" s="83">
        <v>310.77233200000001</v>
      </c>
      <c r="FB14" s="83">
        <v>135.924261</v>
      </c>
      <c r="FC14" s="83">
        <v>296.41808200000003</v>
      </c>
      <c r="FD14" s="83">
        <v>157.50013100000001</v>
      </c>
      <c r="FE14" s="83">
        <v>92.988896999999994</v>
      </c>
      <c r="FF14" s="83">
        <v>330.11239799999998</v>
      </c>
      <c r="FG14" s="83">
        <v>99.620086000000001</v>
      </c>
      <c r="FH14" s="83">
        <v>346.04117000000002</v>
      </c>
      <c r="FI14" s="83">
        <v>151.42276100000001</v>
      </c>
      <c r="FJ14" s="83">
        <v>339.52310699999998</v>
      </c>
      <c r="FK14" s="83">
        <v>177.071789</v>
      </c>
      <c r="FL14" s="83">
        <v>97.114210999999997</v>
      </c>
      <c r="FM14" s="83">
        <v>385.98420700000003</v>
      </c>
      <c r="FN14" s="83">
        <v>108.22410600000001</v>
      </c>
      <c r="FO14" s="83">
        <v>295.09280699999999</v>
      </c>
      <c r="FP14" s="83">
        <v>127.97367300000001</v>
      </c>
      <c r="FQ14" s="83">
        <v>283.44213400000001</v>
      </c>
      <c r="FR14" s="83">
        <v>149.10291000000001</v>
      </c>
      <c r="FS14" s="83">
        <v>84.224379999999996</v>
      </c>
      <c r="FT14" s="83">
        <v>317.84313100000003</v>
      </c>
      <c r="FU14" s="83">
        <v>98.020089999999996</v>
      </c>
      <c r="FV14" s="83">
        <v>302.37592999999998</v>
      </c>
      <c r="FW14" s="83">
        <v>132.530844</v>
      </c>
      <c r="FX14" s="83">
        <v>291.201504</v>
      </c>
      <c r="FY14" s="83">
        <v>155.41526099999999</v>
      </c>
      <c r="FZ14" s="83">
        <v>90.522285999999994</v>
      </c>
      <c r="GA14" s="83">
        <v>330.77744300000001</v>
      </c>
      <c r="GB14" s="83">
        <v>100.948813</v>
      </c>
      <c r="GC14" s="83">
        <v>294.41656399999999</v>
      </c>
      <c r="GD14" s="83">
        <v>128.414706</v>
      </c>
      <c r="GE14" s="83">
        <v>282.91925600000002</v>
      </c>
      <c r="GF14" s="83">
        <v>149.597599</v>
      </c>
      <c r="GG14" s="83">
        <v>85.423759000000004</v>
      </c>
      <c r="GH14" s="83">
        <v>326.57372400000003</v>
      </c>
      <c r="GI14" s="83">
        <v>99.754462000000004</v>
      </c>
      <c r="GJ14" s="83">
        <v>297.93394899999998</v>
      </c>
      <c r="GK14" s="83">
        <v>130.19805199999999</v>
      </c>
      <c r="GL14" s="83">
        <v>287.58197000000001</v>
      </c>
      <c r="GM14" s="83">
        <v>152.39393699999999</v>
      </c>
      <c r="GN14" s="83">
        <v>87.619639000000006</v>
      </c>
      <c r="GO14" s="83">
        <v>322.933379</v>
      </c>
      <c r="GP14" s="83">
        <v>98.881164999999996</v>
      </c>
      <c r="GQ14" s="83">
        <v>297.274182</v>
      </c>
      <c r="GR14" s="83">
        <v>129.55201400000001</v>
      </c>
      <c r="GS14" s="83">
        <v>284.43108799999999</v>
      </c>
      <c r="GT14" s="83">
        <v>150.43277399999999</v>
      </c>
      <c r="GU14" s="83">
        <v>87.089230999999998</v>
      </c>
      <c r="GV14" s="83">
        <v>335.75022999999999</v>
      </c>
      <c r="GW14" s="83">
        <v>103.641925</v>
      </c>
      <c r="GX14" s="83">
        <v>308.67985800000002</v>
      </c>
      <c r="GY14" s="83">
        <v>135.09704500000001</v>
      </c>
      <c r="GZ14" s="83">
        <v>297.35320300000001</v>
      </c>
      <c r="HA14" s="83">
        <v>157.71884700000001</v>
      </c>
      <c r="HB14" s="83">
        <v>91.651703999999995</v>
      </c>
      <c r="HC14" s="83">
        <v>331.70767699999999</v>
      </c>
      <c r="HD14" s="83">
        <v>101.025098</v>
      </c>
      <c r="HE14" s="83">
        <v>345.38769300000001</v>
      </c>
      <c r="HF14" s="83">
        <v>150.48058700000001</v>
      </c>
      <c r="HG14" s="83">
        <v>334.45739500000002</v>
      </c>
      <c r="HH14" s="83">
        <v>173.85495</v>
      </c>
      <c r="HI14" s="83">
        <v>96.805828000000005</v>
      </c>
      <c r="HJ14" s="83">
        <v>380.49122999999997</v>
      </c>
      <c r="HK14" s="83">
        <v>110.73835</v>
      </c>
      <c r="HL14" s="83">
        <v>296.54227800000001</v>
      </c>
      <c r="HM14" s="83">
        <v>129.81012000000001</v>
      </c>
      <c r="HN14" s="83">
        <v>286.42731800000001</v>
      </c>
      <c r="HO14" s="83">
        <v>152.09276199999999</v>
      </c>
      <c r="HP14" s="83">
        <v>87.607523999999998</v>
      </c>
      <c r="HQ14" s="83">
        <v>337.69299100000001</v>
      </c>
      <c r="HR14" s="83">
        <v>102.51489599999999</v>
      </c>
      <c r="HS14" s="83">
        <v>313.14739200000002</v>
      </c>
      <c r="HT14" s="83">
        <v>136.17900700000001</v>
      </c>
      <c r="HU14" s="83">
        <v>299.60954600000002</v>
      </c>
      <c r="HV14" s="83">
        <v>157.84450699999999</v>
      </c>
      <c r="HW14" s="83">
        <v>91.108952000000002</v>
      </c>
      <c r="HX14" s="83">
        <v>365.30998299999999</v>
      </c>
      <c r="HY14" s="83">
        <v>115.168899</v>
      </c>
      <c r="HZ14" s="83">
        <v>342.08233799999999</v>
      </c>
      <c r="IA14" s="83">
        <v>149.83095800000001</v>
      </c>
      <c r="IB14" s="83">
        <v>327.63861700000001</v>
      </c>
      <c r="IC14" s="83">
        <v>173.797766</v>
      </c>
      <c r="ID14" s="83">
        <v>103.353195</v>
      </c>
      <c r="IE14" s="83">
        <v>361.33819</v>
      </c>
      <c r="IF14" s="83">
        <v>112.293615</v>
      </c>
      <c r="IG14" s="83">
        <v>370.04163399999999</v>
      </c>
      <c r="IH14" s="83">
        <v>161.10749899999999</v>
      </c>
      <c r="II14" s="83">
        <v>354.99340100000001</v>
      </c>
      <c r="IJ14" s="83">
        <v>184.93016</v>
      </c>
      <c r="IK14" s="83">
        <v>106.458026</v>
      </c>
      <c r="IL14" s="83">
        <v>390.18008300000002</v>
      </c>
      <c r="IM14" s="83">
        <v>116.463866</v>
      </c>
      <c r="IN14" s="83">
        <v>317.91721200000001</v>
      </c>
      <c r="IO14" s="83">
        <v>139.71929600000001</v>
      </c>
      <c r="IP14" s="83">
        <v>307.19457299999999</v>
      </c>
      <c r="IQ14" s="83">
        <v>163.558392</v>
      </c>
      <c r="IR14" s="83">
        <v>94.899581999999995</v>
      </c>
      <c r="IS14" s="83">
        <v>353.75810899999999</v>
      </c>
      <c r="IT14" s="83">
        <v>108.350341</v>
      </c>
      <c r="IU14" s="83">
        <v>329.93659500000001</v>
      </c>
      <c r="IV14" s="83">
        <v>144.32007100000001</v>
      </c>
      <c r="IW14" s="83">
        <v>316.41957000000002</v>
      </c>
      <c r="IX14" s="83">
        <v>167.698318</v>
      </c>
      <c r="IY14" s="83">
        <v>97.327979999999997</v>
      </c>
      <c r="IZ14" s="83">
        <v>338.68104899999997</v>
      </c>
      <c r="JA14" s="83">
        <v>104.780213</v>
      </c>
      <c r="JB14" s="83">
        <v>314.98367300000001</v>
      </c>
      <c r="JC14" s="83">
        <v>138.321832</v>
      </c>
      <c r="JD14" s="83">
        <v>304.34176500000001</v>
      </c>
      <c r="JE14" s="83">
        <v>162.65799999999999</v>
      </c>
      <c r="JF14" s="83">
        <v>94.165605999999997</v>
      </c>
      <c r="JG14" s="83">
        <v>329.837536</v>
      </c>
      <c r="JH14" s="83">
        <v>98.572766000000001</v>
      </c>
      <c r="JI14" s="83">
        <v>355.16506399999997</v>
      </c>
      <c r="JJ14" s="83">
        <v>154.30622700000001</v>
      </c>
      <c r="JK14" s="83">
        <v>345.52109000000002</v>
      </c>
      <c r="JL14" s="83">
        <v>178.254749</v>
      </c>
      <c r="JM14" s="83">
        <v>96.908614999999998</v>
      </c>
      <c r="JN14" s="83">
        <v>285.75748800000002</v>
      </c>
      <c r="JO14" s="83">
        <v>105.115645</v>
      </c>
      <c r="JP14" s="83">
        <v>235.39547099999999</v>
      </c>
      <c r="JQ14" s="83">
        <v>114.771022</v>
      </c>
      <c r="JR14" s="83">
        <v>219.712884</v>
      </c>
      <c r="JS14" s="83">
        <v>247.232269</v>
      </c>
      <c r="JT14" s="83">
        <v>242.338864</v>
      </c>
      <c r="JU14" s="83">
        <v>210.151847</v>
      </c>
      <c r="JV14" s="83">
        <v>209.73124799999999</v>
      </c>
      <c r="JW14" s="83">
        <v>212.683708</v>
      </c>
      <c r="JX14" s="83">
        <v>209.61746400000001</v>
      </c>
      <c r="JY14" s="83">
        <v>208.42156199999999</v>
      </c>
      <c r="JZ14" s="83">
        <v>212.71461300000001</v>
      </c>
      <c r="KA14" s="83">
        <v>208.421505</v>
      </c>
      <c r="KB14" s="83">
        <v>219.15660399999999</v>
      </c>
      <c r="KC14" s="83">
        <v>221.02132599999999</v>
      </c>
      <c r="KD14" s="83">
        <v>222.41118700000001</v>
      </c>
      <c r="KE14" s="83">
        <v>220.26225700000001</v>
      </c>
      <c r="KF14" s="83">
        <v>219.76107200000001</v>
      </c>
      <c r="KG14" s="83">
        <v>225.26892699999999</v>
      </c>
      <c r="KH14" s="83">
        <v>221.42237399999999</v>
      </c>
      <c r="KI14" s="83">
        <v>199.79664399999999</v>
      </c>
      <c r="KJ14" s="83">
        <v>199.38882699999999</v>
      </c>
      <c r="KK14" s="83">
        <v>202.395748</v>
      </c>
      <c r="KL14" s="83">
        <v>199.422664</v>
      </c>
      <c r="KM14" s="83">
        <v>198.263138</v>
      </c>
      <c r="KN14" s="83">
        <v>202.425701</v>
      </c>
      <c r="KO14" s="83">
        <v>198.263082</v>
      </c>
      <c r="KP14" s="83">
        <v>197.867783</v>
      </c>
      <c r="KQ14" s="83">
        <v>199.514591</v>
      </c>
      <c r="KR14" s="83">
        <v>199.824883</v>
      </c>
      <c r="KS14" s="83">
        <v>197.927087</v>
      </c>
      <c r="KT14" s="83">
        <v>197.484497</v>
      </c>
      <c r="KU14" s="83">
        <v>202.34864200000001</v>
      </c>
      <c r="KV14" s="83">
        <v>198.95162199999999</v>
      </c>
      <c r="KW14" s="83">
        <v>231.16724199999999</v>
      </c>
      <c r="KX14" s="83">
        <v>230.690134</v>
      </c>
      <c r="KY14" s="83">
        <v>234.682209</v>
      </c>
      <c r="KZ14" s="83">
        <v>231.20396500000001</v>
      </c>
      <c r="LA14" s="83">
        <v>229.847398</v>
      </c>
      <c r="LB14" s="83">
        <v>234.717219</v>
      </c>
      <c r="LC14" s="83">
        <v>229.84733700000001</v>
      </c>
      <c r="LD14" s="83">
        <v>191.54551900000001</v>
      </c>
      <c r="LE14" s="83">
        <v>193.18227400000001</v>
      </c>
      <c r="LF14" s="83">
        <v>193.80089100000001</v>
      </c>
      <c r="LG14" s="83">
        <v>191.914691</v>
      </c>
      <c r="LH14" s="83">
        <v>191.47479100000001</v>
      </c>
      <c r="LI14" s="83">
        <v>196.30927199999999</v>
      </c>
      <c r="LJ14" s="83">
        <v>192.932954</v>
      </c>
      <c r="LK14" s="83">
        <v>207.28282400000001</v>
      </c>
      <c r="LL14" s="83">
        <v>206.848545</v>
      </c>
      <c r="LM14" s="83">
        <v>210.86442299999999</v>
      </c>
      <c r="LN14" s="83">
        <v>207.69843499999999</v>
      </c>
      <c r="LO14" s="83">
        <v>206.46366900000001</v>
      </c>
      <c r="LP14" s="83">
        <v>210.89631299999999</v>
      </c>
      <c r="LQ14" s="83">
        <v>206.46361400000001</v>
      </c>
      <c r="LR14" s="83">
        <v>202.426288</v>
      </c>
      <c r="LS14" s="83">
        <v>204.33436699999999</v>
      </c>
      <c r="LT14" s="83">
        <v>211.34315900000001</v>
      </c>
      <c r="LU14" s="83">
        <v>209.14426599999999</v>
      </c>
      <c r="LV14" s="83">
        <v>208.631449</v>
      </c>
      <c r="LW14" s="83">
        <v>214.26735300000001</v>
      </c>
      <c r="LX14" s="83">
        <v>210.33137300000001</v>
      </c>
      <c r="LY14" s="83">
        <v>218.550884</v>
      </c>
      <c r="LZ14" s="83">
        <v>218.09895399999999</v>
      </c>
      <c r="MA14" s="83">
        <v>215.25051099999999</v>
      </c>
      <c r="MB14" s="83">
        <v>211.95597900000001</v>
      </c>
      <c r="MC14" s="83">
        <v>210.67095</v>
      </c>
      <c r="MD14" s="83">
        <v>215.28372400000001</v>
      </c>
      <c r="ME14" s="83">
        <v>210.670897</v>
      </c>
      <c r="MF14" s="83">
        <v>213.11741599999999</v>
      </c>
      <c r="MG14" s="83">
        <v>215.01513600000001</v>
      </c>
      <c r="MH14" s="83">
        <v>215.37272300000001</v>
      </c>
      <c r="MI14" s="83">
        <v>213.18574100000001</v>
      </c>
      <c r="MJ14" s="83">
        <v>212.675691</v>
      </c>
      <c r="MK14" s="83">
        <v>218.281048</v>
      </c>
      <c r="ML14" s="83">
        <v>214.36637400000001</v>
      </c>
      <c r="MM14" s="83">
        <v>198.50731500000001</v>
      </c>
      <c r="MN14" s="83">
        <v>198.09488999999999</v>
      </c>
      <c r="MO14" s="83">
        <v>210.775069</v>
      </c>
      <c r="MP14" s="83">
        <v>207.76897399999999</v>
      </c>
      <c r="MQ14" s="83">
        <v>206.59653800000001</v>
      </c>
      <c r="MR14" s="83">
        <v>210.80533</v>
      </c>
      <c r="MS14" s="83">
        <v>206.59648999999999</v>
      </c>
      <c r="MT14" s="83">
        <v>211.00390100000001</v>
      </c>
      <c r="MU14" s="83">
        <v>212.97331199999999</v>
      </c>
      <c r="MV14" s="83">
        <v>204.71847199999999</v>
      </c>
      <c r="MW14" s="83">
        <v>202.44894099999999</v>
      </c>
      <c r="MX14" s="83">
        <v>201.91961900000001</v>
      </c>
      <c r="MY14" s="83">
        <v>207.73659699999999</v>
      </c>
      <c r="MZ14" s="83">
        <v>203.67415299999999</v>
      </c>
      <c r="NA14" s="83">
        <v>204.13781</v>
      </c>
      <c r="NB14" s="83">
        <v>203.71934899999999</v>
      </c>
      <c r="NC14" s="83">
        <v>207.58882199999999</v>
      </c>
      <c r="ND14" s="83">
        <v>204.538274</v>
      </c>
      <c r="NE14" s="83">
        <v>203.348501</v>
      </c>
      <c r="NF14" s="83">
        <v>207.61953700000001</v>
      </c>
      <c r="NG14" s="83">
        <v>203.348432</v>
      </c>
      <c r="NH14" s="83">
        <v>208.01385400000001</v>
      </c>
      <c r="NI14" s="83">
        <v>209.94213999999999</v>
      </c>
      <c r="NJ14" s="83">
        <v>208.25490400000001</v>
      </c>
      <c r="NK14" s="83">
        <v>206.03278900000001</v>
      </c>
      <c r="NL14" s="83">
        <v>205.51451599999999</v>
      </c>
      <c r="NM14" s="83">
        <v>211.210081</v>
      </c>
      <c r="NN14" s="83">
        <v>207.23243099999999</v>
      </c>
      <c r="NO14" s="83">
        <v>208.356371</v>
      </c>
      <c r="NP14" s="83">
        <v>207.945447</v>
      </c>
      <c r="NQ14" s="83">
        <v>213.98216099999999</v>
      </c>
      <c r="NR14" s="83">
        <v>210.98683199999999</v>
      </c>
      <c r="NS14" s="83">
        <v>209.818624</v>
      </c>
      <c r="NT14" s="83">
        <v>214.01229699999999</v>
      </c>
      <c r="NU14" s="83">
        <v>209.81856099999999</v>
      </c>
      <c r="NV14" s="83">
        <v>211.62950000000001</v>
      </c>
      <c r="NW14" s="83">
        <v>213.61541099999999</v>
      </c>
      <c r="NX14" s="83">
        <v>213.98965200000001</v>
      </c>
      <c r="NY14" s="83">
        <v>211.70103399999999</v>
      </c>
      <c r="NZ14" s="83">
        <v>211.167261</v>
      </c>
      <c r="OA14" s="83">
        <v>217.033187</v>
      </c>
      <c r="OB14" s="83">
        <v>212.936589</v>
      </c>
      <c r="OC14" s="83">
        <v>205.754065</v>
      </c>
      <c r="OD14" s="83">
        <v>205.31401199999999</v>
      </c>
      <c r="OE14" s="83">
        <v>218.22339400000001</v>
      </c>
      <c r="OF14" s="83">
        <v>215.015365</v>
      </c>
      <c r="OG14" s="83">
        <v>213.764171</v>
      </c>
      <c r="OH14" s="83">
        <v>218.25570999999999</v>
      </c>
      <c r="OI14" s="83">
        <v>213.76411200000001</v>
      </c>
      <c r="OJ14" s="83">
        <v>208.30751699999999</v>
      </c>
      <c r="OK14" s="83">
        <v>210.31753900000001</v>
      </c>
      <c r="OL14" s="83">
        <v>202.89297500000001</v>
      </c>
      <c r="OM14" s="83">
        <v>200.57661899999999</v>
      </c>
      <c r="ON14" s="83">
        <v>200.03636900000001</v>
      </c>
      <c r="OO14" s="83">
        <v>205.973411</v>
      </c>
      <c r="OP14" s="83">
        <v>201.827125</v>
      </c>
      <c r="OQ14" s="83">
        <v>194.159942</v>
      </c>
      <c r="OR14" s="83">
        <v>193.759907</v>
      </c>
      <c r="OS14" s="83">
        <v>197.459092</v>
      </c>
      <c r="OT14" s="83">
        <v>194.54279199999999</v>
      </c>
      <c r="OU14" s="83">
        <v>193.40536700000001</v>
      </c>
      <c r="OV14" s="83">
        <v>197.48847799999999</v>
      </c>
      <c r="OW14" s="83">
        <v>193.405328</v>
      </c>
      <c r="OX14" s="83">
        <v>211.535695</v>
      </c>
      <c r="OY14" s="83">
        <v>213.53735900000001</v>
      </c>
      <c r="OZ14" s="83">
        <v>210.56321800000001</v>
      </c>
      <c r="PA14" s="83">
        <v>208.256505</v>
      </c>
      <c r="PB14" s="83">
        <v>207.71850000000001</v>
      </c>
      <c r="PC14" s="83">
        <v>213.63083800000001</v>
      </c>
      <c r="PD14" s="83">
        <v>209.50181000000001</v>
      </c>
      <c r="PE14" s="83">
        <v>215.19923600000001</v>
      </c>
      <c r="PF14" s="83">
        <v>214.750035</v>
      </c>
      <c r="PG14" s="83">
        <v>222.60495800000001</v>
      </c>
      <c r="PH14" s="83">
        <v>219.33001899999999</v>
      </c>
      <c r="PI14" s="83">
        <v>218.05273500000001</v>
      </c>
      <c r="PJ14" s="83">
        <v>222.637956</v>
      </c>
      <c r="PK14" s="83">
        <v>218.052682</v>
      </c>
      <c r="PL14" s="83">
        <v>207.606132</v>
      </c>
      <c r="PM14" s="83">
        <v>209.56031899999999</v>
      </c>
      <c r="PN14" s="83">
        <v>209.92854399999999</v>
      </c>
      <c r="PO14" s="83">
        <v>207.67655999999999</v>
      </c>
      <c r="PP14" s="83">
        <v>207.151343</v>
      </c>
      <c r="PQ14" s="83">
        <v>212.923338</v>
      </c>
      <c r="PR14" s="83">
        <v>208.89229900000001</v>
      </c>
      <c r="PS14" s="83">
        <v>215.57209900000001</v>
      </c>
      <c r="PT14" s="83">
        <v>215.106874</v>
      </c>
      <c r="PU14" s="83">
        <v>219.40860599999999</v>
      </c>
      <c r="PV14" s="83">
        <v>216.017301</v>
      </c>
      <c r="PW14" s="83">
        <v>214.69461100000001</v>
      </c>
      <c r="PX14" s="83">
        <v>219.442767</v>
      </c>
      <c r="PY14" s="83">
        <v>214.69455099999999</v>
      </c>
      <c r="PZ14" s="83">
        <v>191.42308199999999</v>
      </c>
      <c r="QA14" s="83">
        <v>193.29762099999999</v>
      </c>
      <c r="QB14" s="83">
        <v>193.650812</v>
      </c>
      <c r="QC14" s="83">
        <v>191.49061699999999</v>
      </c>
      <c r="QD14" s="83">
        <v>190.98679899999999</v>
      </c>
      <c r="QE14" s="83">
        <v>196.52358599999999</v>
      </c>
      <c r="QF14" s="83">
        <v>192.656813</v>
      </c>
      <c r="QG14" s="83">
        <v>206.37571</v>
      </c>
      <c r="QH14" s="83">
        <v>205.939582</v>
      </c>
      <c r="QI14" s="83">
        <v>209.97253699999999</v>
      </c>
      <c r="QJ14" s="83">
        <v>206.793105</v>
      </c>
      <c r="QK14" s="83">
        <v>205.55307099999999</v>
      </c>
      <c r="QL14" s="83">
        <v>210.00456700000001</v>
      </c>
      <c r="QM14" s="83">
        <v>205.55301399999999</v>
      </c>
      <c r="QN14" s="83">
        <v>209.28898000000001</v>
      </c>
      <c r="QO14" s="83">
        <v>211.232899</v>
      </c>
      <c r="QP14" s="83">
        <v>211.59916999999999</v>
      </c>
      <c r="QQ14" s="83">
        <v>209.358981</v>
      </c>
      <c r="QR14" s="83">
        <v>208.83651399999999</v>
      </c>
      <c r="QS14" s="83">
        <v>214.57830999999999</v>
      </c>
    </row>
    <row r="15" spans="1:461" x14ac:dyDescent="0.25">
      <c r="F15" s="82" t="str">
        <f xml:space="preserve"> _xll.EPMOlapMemberO("[PRDDESCR].[].[HELGAS GFREE TRAD WHITE 470G]","","HELGAS GFREE TRAD WHITE 470G","","000")</f>
        <v>HELGAS GFREE TRAD WHITE 470G</v>
      </c>
      <c r="G15" s="82" t="str">
        <f xml:space="preserve"> _xll.EPMOlapMemberO("[PRDID].[].[168846]","","168846","","000")</f>
        <v>168846</v>
      </c>
      <c r="H15" s="82" t="str">
        <f xml:space="preserve"> _xll.EPMOlapMemberO("[LOCID].[].[6103]","","6103","","000")</f>
        <v>6103</v>
      </c>
      <c r="I15" s="82" t="str">
        <f xml:space="preserve"> _xll.EPMOlapMemberO("[LOCDESCR].[].[QBA-Canberra]","","QBA-Canberra","","000")</f>
        <v>QBA-Canberra</v>
      </c>
      <c r="J15" s="82" t="str">
        <f xml:space="preserve"> _xll.EPMOlapMemberO("[KEY_FIGURES].[].[ZGFAPPROVEDFCSTQTY]","","Approved Forecast","","000")</f>
        <v>Approved Forecast</v>
      </c>
      <c r="K15" s="83">
        <v>113.14542299999999</v>
      </c>
      <c r="L15" s="83">
        <v>124.472352</v>
      </c>
      <c r="M15" s="83">
        <v>151.899844</v>
      </c>
      <c r="N15" s="83">
        <v>93.482538000000005</v>
      </c>
      <c r="O15" s="83">
        <v>189.781814</v>
      </c>
      <c r="P15" s="83">
        <v>96.798981999999995</v>
      </c>
      <c r="Q15" s="83">
        <v>110.673962</v>
      </c>
      <c r="R15" s="83">
        <v>105.378057</v>
      </c>
      <c r="S15" s="83">
        <v>120.678732</v>
      </c>
      <c r="T15" s="83">
        <v>147.24633299999999</v>
      </c>
      <c r="U15" s="83">
        <v>91.163335000000004</v>
      </c>
      <c r="V15" s="83">
        <v>180.74494200000001</v>
      </c>
      <c r="W15" s="83">
        <v>89.006266999999994</v>
      </c>
      <c r="X15" s="83">
        <v>109.24154900000001</v>
      </c>
      <c r="Y15" s="83">
        <v>104.10671000000001</v>
      </c>
      <c r="Z15" s="83">
        <v>116.106549</v>
      </c>
      <c r="AA15" s="83">
        <v>142.57774599999999</v>
      </c>
      <c r="AB15" s="83">
        <v>85.330110000000005</v>
      </c>
      <c r="AC15" s="83">
        <v>179.472374</v>
      </c>
      <c r="AD15" s="83">
        <v>85.994894000000002</v>
      </c>
      <c r="AE15" s="83">
        <v>102.29185</v>
      </c>
      <c r="AF15" s="83">
        <v>97.052491000000003</v>
      </c>
      <c r="AG15" s="83">
        <v>110.698572</v>
      </c>
      <c r="AH15" s="83">
        <v>138.36920799999999</v>
      </c>
      <c r="AI15" s="83">
        <v>85.463708999999994</v>
      </c>
      <c r="AJ15" s="83">
        <v>179.841272</v>
      </c>
      <c r="AK15" s="83">
        <v>85.876673999999994</v>
      </c>
      <c r="AL15" s="83">
        <v>99.553773000000007</v>
      </c>
      <c r="AM15" s="83">
        <v>93.301243999999997</v>
      </c>
      <c r="AN15" s="83">
        <v>107.301248</v>
      </c>
      <c r="AO15" s="83">
        <v>133.58837299999999</v>
      </c>
      <c r="AP15" s="83">
        <v>81.956924999999998</v>
      </c>
      <c r="AQ15" s="83">
        <v>173.00746599999999</v>
      </c>
      <c r="AR15" s="83">
        <v>82.187433999999996</v>
      </c>
      <c r="AS15" s="83">
        <v>98.256881000000007</v>
      </c>
      <c r="AT15" s="83">
        <v>92.369305999999995</v>
      </c>
      <c r="AU15" s="83">
        <v>106.16592900000001</v>
      </c>
      <c r="AV15" s="83">
        <v>131.890221</v>
      </c>
      <c r="AW15" s="83">
        <v>81.271422999999999</v>
      </c>
      <c r="AX15" s="83">
        <v>188.626036</v>
      </c>
      <c r="AY15" s="83">
        <v>91.716227000000003</v>
      </c>
      <c r="AZ15" s="83">
        <v>104.01671</v>
      </c>
      <c r="BA15" s="83">
        <v>99.883460999999997</v>
      </c>
      <c r="BB15" s="83">
        <v>112.622902</v>
      </c>
      <c r="BC15" s="83">
        <v>142.64649700000001</v>
      </c>
      <c r="BD15" s="83">
        <v>87.596316000000002</v>
      </c>
      <c r="BE15" s="83">
        <v>183.85255100000001</v>
      </c>
      <c r="BF15" s="83">
        <v>86.510273999999995</v>
      </c>
      <c r="BG15" s="83">
        <v>105.04321899999999</v>
      </c>
      <c r="BH15" s="83">
        <v>98.279050999999995</v>
      </c>
      <c r="BI15" s="83">
        <v>109.43015699999999</v>
      </c>
      <c r="BJ15" s="83">
        <v>144.38776899999999</v>
      </c>
      <c r="BK15" s="83">
        <v>91.644130000000004</v>
      </c>
      <c r="BL15" s="83">
        <v>176.86908299999999</v>
      </c>
      <c r="BM15" s="83">
        <v>86.426229000000006</v>
      </c>
      <c r="BN15" s="83">
        <v>105.463374</v>
      </c>
      <c r="BO15" s="83">
        <v>100.701885</v>
      </c>
      <c r="BP15" s="83">
        <v>110.305814</v>
      </c>
      <c r="BQ15" s="83">
        <v>145.34352999999999</v>
      </c>
      <c r="BR15" s="83">
        <v>90.567222000000001</v>
      </c>
      <c r="BS15" s="83">
        <v>189.57857799999999</v>
      </c>
      <c r="BT15" s="83">
        <v>92.675593000000006</v>
      </c>
      <c r="BU15" s="83">
        <v>109.820111</v>
      </c>
      <c r="BV15" s="83">
        <v>104.243792</v>
      </c>
      <c r="BW15" s="83">
        <v>114.80096899999999</v>
      </c>
      <c r="BX15" s="83">
        <v>151.27797000000001</v>
      </c>
      <c r="BY15" s="83">
        <v>94.045123000000004</v>
      </c>
      <c r="BZ15" s="83">
        <v>183.156273</v>
      </c>
      <c r="CA15" s="83">
        <v>90.278536000000003</v>
      </c>
      <c r="CB15" s="83">
        <v>106.20253599999999</v>
      </c>
      <c r="CC15" s="83">
        <v>102.38500500000001</v>
      </c>
      <c r="CD15" s="83">
        <v>110.940877</v>
      </c>
      <c r="CE15" s="83">
        <v>149.33344299999999</v>
      </c>
      <c r="CF15" s="83">
        <v>93.543357</v>
      </c>
      <c r="CG15" s="83">
        <v>179.02214499999999</v>
      </c>
      <c r="CH15" s="83">
        <v>88.285860999999997</v>
      </c>
      <c r="CI15" s="83">
        <v>103.635456</v>
      </c>
      <c r="CJ15" s="83">
        <v>99.513723999999996</v>
      </c>
      <c r="CK15" s="83">
        <v>108.354124</v>
      </c>
      <c r="CL15" s="83">
        <v>144.83771200000001</v>
      </c>
      <c r="CM15" s="83">
        <v>90.713999999999999</v>
      </c>
      <c r="CN15" s="83">
        <v>171.81803400000001</v>
      </c>
      <c r="CO15" s="83">
        <v>83.253930999999994</v>
      </c>
      <c r="CP15" s="83">
        <v>100.608959</v>
      </c>
      <c r="CQ15" s="83">
        <v>96.239202000000006</v>
      </c>
      <c r="CR15" s="83">
        <v>104.66748699999999</v>
      </c>
      <c r="CS15" s="83">
        <v>143.02288300000001</v>
      </c>
      <c r="CT15" s="83">
        <v>90.445421999999994</v>
      </c>
      <c r="CU15" s="83">
        <v>172.33775700000001</v>
      </c>
      <c r="CV15" s="83">
        <v>83.836939999999998</v>
      </c>
      <c r="CW15" s="83">
        <v>101.52480799999999</v>
      </c>
      <c r="CX15" s="83">
        <v>96.350616000000002</v>
      </c>
      <c r="CY15" s="83">
        <v>105.951939</v>
      </c>
      <c r="CZ15" s="83">
        <v>140.20551699999999</v>
      </c>
      <c r="DA15" s="83">
        <v>87.911009000000007</v>
      </c>
      <c r="DB15" s="83">
        <v>180.344517</v>
      </c>
      <c r="DC15" s="83">
        <v>86.797708999999998</v>
      </c>
      <c r="DD15" s="83">
        <v>103.478089</v>
      </c>
      <c r="DE15" s="83">
        <v>97.211679000000004</v>
      </c>
      <c r="DF15" s="83">
        <v>108.026799</v>
      </c>
      <c r="DG15" s="83">
        <v>141.74483799999999</v>
      </c>
      <c r="DH15" s="83">
        <v>87.901454000000001</v>
      </c>
      <c r="DI15" s="83">
        <v>185.16781399999999</v>
      </c>
      <c r="DJ15" s="83">
        <v>89.959693999999999</v>
      </c>
      <c r="DK15" s="83">
        <v>107.459586</v>
      </c>
      <c r="DL15" s="83">
        <v>101.89524</v>
      </c>
      <c r="DM15" s="83">
        <v>112.233312</v>
      </c>
      <c r="DN15" s="83">
        <v>148.24608699999999</v>
      </c>
      <c r="DO15" s="83">
        <v>92.925044</v>
      </c>
      <c r="DP15" s="83">
        <v>188.78597600000001</v>
      </c>
      <c r="DQ15" s="83">
        <v>93.122893000000005</v>
      </c>
      <c r="DR15" s="83">
        <v>105.69284500000001</v>
      </c>
      <c r="DS15" s="83">
        <v>100.639325</v>
      </c>
      <c r="DT15" s="83">
        <v>110.76662399999999</v>
      </c>
      <c r="DU15" s="83">
        <v>143.95372599999999</v>
      </c>
      <c r="DV15" s="83">
        <v>88.312561000000002</v>
      </c>
      <c r="DW15" s="83">
        <v>184.852689</v>
      </c>
      <c r="DX15" s="83">
        <v>87.896286000000003</v>
      </c>
      <c r="DY15" s="83">
        <v>110.761369</v>
      </c>
      <c r="DZ15" s="83">
        <v>103.60973199999999</v>
      </c>
      <c r="EA15" s="83">
        <v>115.57923099999999</v>
      </c>
      <c r="EB15" s="83">
        <v>151.192666</v>
      </c>
      <c r="EC15" s="83">
        <v>95.158721</v>
      </c>
      <c r="ED15" s="83">
        <v>172.018576</v>
      </c>
      <c r="EE15" s="83">
        <v>82.554311999999996</v>
      </c>
      <c r="EF15" s="83">
        <v>100.120244</v>
      </c>
      <c r="EG15" s="83">
        <v>94.570832999999993</v>
      </c>
      <c r="EH15" s="83">
        <v>104.555588</v>
      </c>
      <c r="EI15" s="83">
        <v>138.165211</v>
      </c>
      <c r="EJ15" s="83">
        <v>86.651082000000002</v>
      </c>
      <c r="EK15" s="83">
        <v>189.11783500000001</v>
      </c>
      <c r="EL15" s="83">
        <v>90.973569999999995</v>
      </c>
      <c r="EM15" s="83">
        <v>109.81162999999999</v>
      </c>
      <c r="EN15" s="83">
        <v>103.468844</v>
      </c>
      <c r="EO15" s="83">
        <v>114.689459</v>
      </c>
      <c r="EP15" s="83">
        <v>150.24557300000001</v>
      </c>
      <c r="EQ15" s="83">
        <v>94.567231000000007</v>
      </c>
      <c r="ER15" s="83">
        <v>183.40435400000001</v>
      </c>
      <c r="ES15" s="83">
        <v>85.913055</v>
      </c>
      <c r="ET15" s="83">
        <v>103.920275</v>
      </c>
      <c r="EU15" s="83">
        <v>96.394564000000003</v>
      </c>
      <c r="EV15" s="83">
        <v>108.122454</v>
      </c>
      <c r="EW15" s="83">
        <v>143.178708</v>
      </c>
      <c r="EX15" s="83">
        <v>90.291272000000006</v>
      </c>
      <c r="EY15" s="83">
        <v>184.706422</v>
      </c>
      <c r="EZ15" s="83">
        <v>87.474256999999994</v>
      </c>
      <c r="FA15" s="83">
        <v>111.59655100000001</v>
      </c>
      <c r="FB15" s="83">
        <v>104.0932</v>
      </c>
      <c r="FC15" s="83">
        <v>116.301805</v>
      </c>
      <c r="FD15" s="83">
        <v>151.52248299999999</v>
      </c>
      <c r="FE15" s="83">
        <v>95.658103999999994</v>
      </c>
      <c r="FF15" s="83">
        <v>182.081276</v>
      </c>
      <c r="FG15" s="83">
        <v>87.308349000000007</v>
      </c>
      <c r="FH15" s="83">
        <v>113.70742799999999</v>
      </c>
      <c r="FI15" s="83">
        <v>108.302117</v>
      </c>
      <c r="FJ15" s="83">
        <v>118.983037</v>
      </c>
      <c r="FK15" s="83">
        <v>155.324963</v>
      </c>
      <c r="FL15" s="83">
        <v>95.401549000000003</v>
      </c>
      <c r="FM15" s="83">
        <v>192.38107099999999</v>
      </c>
      <c r="FN15" s="83">
        <v>95.155884</v>
      </c>
      <c r="FO15" s="83">
        <v>103.238404</v>
      </c>
      <c r="FP15" s="83">
        <v>97.082725999999994</v>
      </c>
      <c r="FQ15" s="83">
        <v>107.545925</v>
      </c>
      <c r="FR15" s="83">
        <v>142.82517200000001</v>
      </c>
      <c r="FS15" s="83">
        <v>89.587618000000006</v>
      </c>
      <c r="FT15" s="83">
        <v>165.30837500000001</v>
      </c>
      <c r="FU15" s="83">
        <v>78.085233000000002</v>
      </c>
      <c r="FV15" s="83">
        <v>99.005774000000002</v>
      </c>
      <c r="FW15" s="83">
        <v>93.003953999999993</v>
      </c>
      <c r="FX15" s="83">
        <v>103.133104</v>
      </c>
      <c r="FY15" s="83">
        <v>137.68685099999999</v>
      </c>
      <c r="FZ15" s="83">
        <v>87.042427000000004</v>
      </c>
      <c r="GA15" s="83">
        <v>177.39059499999999</v>
      </c>
      <c r="GB15" s="83">
        <v>85.389607999999996</v>
      </c>
      <c r="GC15" s="83">
        <v>100.882707</v>
      </c>
      <c r="GD15" s="83">
        <v>94.963928999999993</v>
      </c>
      <c r="GE15" s="83">
        <v>105.274591</v>
      </c>
      <c r="GF15" s="83">
        <v>138.414706</v>
      </c>
      <c r="GG15" s="83">
        <v>86.969258999999994</v>
      </c>
      <c r="GH15" s="83">
        <v>181.58884399999999</v>
      </c>
      <c r="GI15" s="83">
        <v>88.106271000000007</v>
      </c>
      <c r="GJ15" s="83">
        <v>105.890597</v>
      </c>
      <c r="GK15" s="83">
        <v>100.41856900000001</v>
      </c>
      <c r="GL15" s="83">
        <v>110.146018</v>
      </c>
      <c r="GM15" s="83">
        <v>146.71148099999999</v>
      </c>
      <c r="GN15" s="83">
        <v>91.787188999999998</v>
      </c>
      <c r="GO15" s="83">
        <v>192.509432</v>
      </c>
      <c r="GP15" s="83">
        <v>92.413017999999994</v>
      </c>
      <c r="GQ15" s="83">
        <v>110.25648099999999</v>
      </c>
      <c r="GR15" s="83">
        <v>103.854776</v>
      </c>
      <c r="GS15" s="83">
        <v>115.185895</v>
      </c>
      <c r="GT15" s="83">
        <v>151.458112</v>
      </c>
      <c r="GU15" s="83">
        <v>95.501649</v>
      </c>
      <c r="GV15" s="83">
        <v>175.29085799999999</v>
      </c>
      <c r="GW15" s="83">
        <v>84.551141000000001</v>
      </c>
      <c r="GX15" s="83">
        <v>103.98504800000001</v>
      </c>
      <c r="GY15" s="83">
        <v>99.008753999999996</v>
      </c>
      <c r="GZ15" s="83">
        <v>108.180395</v>
      </c>
      <c r="HA15" s="83">
        <v>145.80001300000001</v>
      </c>
      <c r="HB15" s="83">
        <v>92.236215999999999</v>
      </c>
      <c r="HC15" s="83">
        <v>175.82567399999999</v>
      </c>
      <c r="HD15" s="83">
        <v>84.460322000000005</v>
      </c>
      <c r="HE15" s="83">
        <v>108.201595</v>
      </c>
      <c r="HF15" s="83">
        <v>103.008236</v>
      </c>
      <c r="HG15" s="83">
        <v>113.399957</v>
      </c>
      <c r="HH15" s="83">
        <v>146.24568199999999</v>
      </c>
      <c r="HI15" s="83">
        <v>90.173833999999999</v>
      </c>
      <c r="HJ15" s="83">
        <v>195.306963</v>
      </c>
      <c r="HK15" s="83">
        <v>95.714759000000001</v>
      </c>
      <c r="HL15" s="83">
        <v>104.25335800000001</v>
      </c>
      <c r="HM15" s="83">
        <v>96.797915000000003</v>
      </c>
      <c r="HN15" s="83">
        <v>108.980907</v>
      </c>
      <c r="HO15" s="83">
        <v>139.754244</v>
      </c>
      <c r="HP15" s="83">
        <v>86.230316999999999</v>
      </c>
      <c r="HQ15" s="83">
        <v>190.54965000000001</v>
      </c>
      <c r="HR15" s="83">
        <v>90.981992000000005</v>
      </c>
      <c r="HS15" s="83">
        <v>110.563227</v>
      </c>
      <c r="HT15" s="83">
        <v>103.054109</v>
      </c>
      <c r="HU15" s="83">
        <v>115.360885</v>
      </c>
      <c r="HV15" s="83">
        <v>150.113292</v>
      </c>
      <c r="HW15" s="83">
        <v>93.948246999999995</v>
      </c>
      <c r="HX15" s="83">
        <v>193.15070499999999</v>
      </c>
      <c r="HY15" s="83">
        <v>92.866455000000002</v>
      </c>
      <c r="HZ15" s="83">
        <v>114.753687</v>
      </c>
      <c r="IA15" s="83">
        <v>109.631834</v>
      </c>
      <c r="IB15" s="83">
        <v>119.87464900000001</v>
      </c>
      <c r="IC15" s="83">
        <v>160.77256700000001</v>
      </c>
      <c r="ID15" s="83">
        <v>102.249224</v>
      </c>
      <c r="IE15" s="83">
        <v>193.25363100000001</v>
      </c>
      <c r="IF15" s="83">
        <v>93.740853000000001</v>
      </c>
      <c r="IG15" s="83">
        <v>118.192832</v>
      </c>
      <c r="IH15" s="83">
        <v>113.019108</v>
      </c>
      <c r="II15" s="83">
        <v>123.942431</v>
      </c>
      <c r="IJ15" s="83">
        <v>160.94909100000001</v>
      </c>
      <c r="IK15" s="83">
        <v>99.632768999999996</v>
      </c>
      <c r="IL15" s="83">
        <v>206.03072499999999</v>
      </c>
      <c r="IM15" s="83">
        <v>99.436200999999997</v>
      </c>
      <c r="IN15" s="83">
        <v>112.640677</v>
      </c>
      <c r="IO15" s="83">
        <v>105.436894</v>
      </c>
      <c r="IP15" s="83">
        <v>117.180789</v>
      </c>
      <c r="IQ15" s="83">
        <v>155.73601300000001</v>
      </c>
      <c r="IR15" s="83">
        <v>98.217426000000003</v>
      </c>
      <c r="IS15" s="83">
        <v>195.13058000000001</v>
      </c>
      <c r="IT15" s="83">
        <v>94.221902999999998</v>
      </c>
      <c r="IU15" s="83">
        <v>115.093226</v>
      </c>
      <c r="IV15" s="83">
        <v>107.919572</v>
      </c>
      <c r="IW15" s="83">
        <v>120.24723299999999</v>
      </c>
      <c r="IX15" s="83">
        <v>155.970507</v>
      </c>
      <c r="IY15" s="83">
        <v>96.62124</v>
      </c>
      <c r="IZ15" s="83">
        <v>195.977531</v>
      </c>
      <c r="JA15" s="83">
        <v>94.495833000000005</v>
      </c>
      <c r="JB15" s="83">
        <v>113.45995000000001</v>
      </c>
      <c r="JC15" s="83">
        <v>106.61795600000001</v>
      </c>
      <c r="JD15" s="83">
        <v>118.551445</v>
      </c>
      <c r="JE15" s="83">
        <v>154.673181</v>
      </c>
      <c r="JF15" s="83">
        <v>95.591016999999994</v>
      </c>
      <c r="JG15" s="83">
        <v>197.720249</v>
      </c>
      <c r="JH15" s="83">
        <v>93.505643000000006</v>
      </c>
      <c r="JI15" s="83">
        <v>125.422748</v>
      </c>
      <c r="JJ15" s="83">
        <v>117.52088000000001</v>
      </c>
      <c r="JK15" s="83">
        <v>131.619854</v>
      </c>
      <c r="JL15" s="83">
        <v>165.67874800000001</v>
      </c>
      <c r="JM15" s="83">
        <v>100.38932</v>
      </c>
      <c r="JN15" s="83">
        <v>149.23904099999999</v>
      </c>
      <c r="JO15" s="83">
        <v>133.14905400000001</v>
      </c>
      <c r="JP15" s="83">
        <v>91.100618999999995</v>
      </c>
      <c r="JQ15" s="83">
        <v>95.268855000000002</v>
      </c>
      <c r="JR15" s="83">
        <v>89.883104000000003</v>
      </c>
      <c r="JS15" s="83">
        <v>141.59602799999999</v>
      </c>
      <c r="JT15" s="83">
        <v>149.237595</v>
      </c>
      <c r="JU15" s="83">
        <v>115.868877</v>
      </c>
      <c r="JV15" s="83">
        <v>116.73298699999999</v>
      </c>
      <c r="JW15" s="83">
        <v>119.233885</v>
      </c>
      <c r="JX15" s="83">
        <v>118.255842</v>
      </c>
      <c r="JY15" s="83">
        <v>115.71596700000001</v>
      </c>
      <c r="JZ15" s="83">
        <v>121.09878399999999</v>
      </c>
      <c r="KA15" s="83">
        <v>128.735962</v>
      </c>
      <c r="KB15" s="83">
        <v>120.967415</v>
      </c>
      <c r="KC15" s="83">
        <v>122.54378699999999</v>
      </c>
      <c r="KD15" s="83">
        <v>122.22260900000001</v>
      </c>
      <c r="KE15" s="83">
        <v>121.85330500000001</v>
      </c>
      <c r="KF15" s="83">
        <v>118.507848</v>
      </c>
      <c r="KG15" s="83">
        <v>124.85533599999999</v>
      </c>
      <c r="KH15" s="83">
        <v>132.25638000000001</v>
      </c>
      <c r="KI15" s="83">
        <v>118.336096</v>
      </c>
      <c r="KJ15" s="83">
        <v>119.36278299999999</v>
      </c>
      <c r="KK15" s="83">
        <v>121.882482</v>
      </c>
      <c r="KL15" s="83">
        <v>120.85993999999999</v>
      </c>
      <c r="KM15" s="83">
        <v>117.97145999999999</v>
      </c>
      <c r="KN15" s="83">
        <v>124.020555</v>
      </c>
      <c r="KO15" s="83">
        <v>132.44629599999999</v>
      </c>
      <c r="KP15" s="83">
        <v>114.739799</v>
      </c>
      <c r="KQ15" s="83">
        <v>116.144075</v>
      </c>
      <c r="KR15" s="83">
        <v>116.882152</v>
      </c>
      <c r="KS15" s="83">
        <v>116.547528</v>
      </c>
      <c r="KT15" s="83">
        <v>113.570058</v>
      </c>
      <c r="KU15" s="83">
        <v>119.22411700000001</v>
      </c>
      <c r="KV15" s="83">
        <v>125.82820100000001</v>
      </c>
      <c r="KW15" s="83">
        <v>122.141019</v>
      </c>
      <c r="KX15" s="83">
        <v>123.037206</v>
      </c>
      <c r="KY15" s="83">
        <v>122.64818099999999</v>
      </c>
      <c r="KZ15" s="83">
        <v>121.650322</v>
      </c>
      <c r="LA15" s="83">
        <v>119.03715</v>
      </c>
      <c r="LB15" s="83">
        <v>124.568506</v>
      </c>
      <c r="LC15" s="83">
        <v>132.401715</v>
      </c>
      <c r="LD15" s="83">
        <v>106.419409</v>
      </c>
      <c r="LE15" s="83">
        <v>107.691185</v>
      </c>
      <c r="LF15" s="83">
        <v>109.964775</v>
      </c>
      <c r="LG15" s="83">
        <v>109.71148599999999</v>
      </c>
      <c r="LH15" s="83">
        <v>107.05684599999999</v>
      </c>
      <c r="LI15" s="83">
        <v>112.061457</v>
      </c>
      <c r="LJ15" s="83">
        <v>117.819209</v>
      </c>
      <c r="LK15" s="83">
        <v>109.96055</v>
      </c>
      <c r="LL15" s="83">
        <v>110.88085700000001</v>
      </c>
      <c r="LM15" s="83">
        <v>112.22386</v>
      </c>
      <c r="LN15" s="83">
        <v>111.30712</v>
      </c>
      <c r="LO15" s="83">
        <v>108.724752</v>
      </c>
      <c r="LP15" s="83">
        <v>114.134873</v>
      </c>
      <c r="LQ15" s="83">
        <v>121.675168</v>
      </c>
      <c r="LR15" s="83">
        <v>111.421824</v>
      </c>
      <c r="LS15" s="83">
        <v>112.84247499999999</v>
      </c>
      <c r="LT15" s="83">
        <v>115.81313</v>
      </c>
      <c r="LU15" s="83">
        <v>115.488821</v>
      </c>
      <c r="LV15" s="83">
        <v>112.42573899999999</v>
      </c>
      <c r="LW15" s="83">
        <v>118.226264</v>
      </c>
      <c r="LX15" s="83">
        <v>124.962564</v>
      </c>
      <c r="LY15" s="83">
        <v>113.77762</v>
      </c>
      <c r="LZ15" s="83">
        <v>114.41256799999999</v>
      </c>
      <c r="MA15" s="83">
        <v>113.163473</v>
      </c>
      <c r="MB15" s="83">
        <v>112.303234</v>
      </c>
      <c r="MC15" s="83">
        <v>110.244162</v>
      </c>
      <c r="MD15" s="83">
        <v>114.662398</v>
      </c>
      <c r="ME15" s="83">
        <v>121.048613</v>
      </c>
      <c r="MF15" s="83">
        <v>115.918993</v>
      </c>
      <c r="MG15" s="83">
        <v>117.352892</v>
      </c>
      <c r="MH15" s="83">
        <v>118.040226</v>
      </c>
      <c r="MI15" s="83">
        <v>117.75240100000001</v>
      </c>
      <c r="MJ15" s="83">
        <v>114.760831</v>
      </c>
      <c r="MK15" s="83">
        <v>120.40259</v>
      </c>
      <c r="ML15" s="83">
        <v>126.89806400000001</v>
      </c>
      <c r="MM15" s="83">
        <v>111.254098</v>
      </c>
      <c r="MN15" s="83">
        <v>112.038704</v>
      </c>
      <c r="MO15" s="83">
        <v>117.04101799999999</v>
      </c>
      <c r="MP15" s="83">
        <v>116.110293</v>
      </c>
      <c r="MQ15" s="83">
        <v>113.864392</v>
      </c>
      <c r="MR15" s="83">
        <v>118.677448</v>
      </c>
      <c r="MS15" s="83">
        <v>125.621308</v>
      </c>
      <c r="MT15" s="83">
        <v>106.20662</v>
      </c>
      <c r="MU15" s="83">
        <v>107.563759</v>
      </c>
      <c r="MV15" s="83">
        <v>105.23277899999999</v>
      </c>
      <c r="MW15" s="83">
        <v>104.86769700000001</v>
      </c>
      <c r="MX15" s="83">
        <v>102.027376</v>
      </c>
      <c r="MY15" s="83">
        <v>107.458077</v>
      </c>
      <c r="MZ15" s="83">
        <v>113.890709</v>
      </c>
      <c r="NA15" s="83">
        <v>107.668857</v>
      </c>
      <c r="NB15" s="83">
        <v>108.539556</v>
      </c>
      <c r="NC15" s="83">
        <v>109.845269</v>
      </c>
      <c r="ND15" s="83">
        <v>108.94945300000001</v>
      </c>
      <c r="NE15" s="83">
        <v>106.480557</v>
      </c>
      <c r="NF15" s="83">
        <v>111.668599</v>
      </c>
      <c r="NG15" s="83">
        <v>118.933566</v>
      </c>
      <c r="NH15" s="83">
        <v>108.934597</v>
      </c>
      <c r="NI15" s="83">
        <v>110.270672</v>
      </c>
      <c r="NJ15" s="83">
        <v>108.53203600000001</v>
      </c>
      <c r="NK15" s="83">
        <v>108.21077</v>
      </c>
      <c r="NL15" s="83">
        <v>105.393299</v>
      </c>
      <c r="NM15" s="83">
        <v>110.747293</v>
      </c>
      <c r="NN15" s="83">
        <v>117.009939</v>
      </c>
      <c r="NO15" s="83">
        <v>112.307683</v>
      </c>
      <c r="NP15" s="83">
        <v>113.199021</v>
      </c>
      <c r="NQ15" s="83">
        <v>117.244196</v>
      </c>
      <c r="NR15" s="83">
        <v>116.28163499999999</v>
      </c>
      <c r="NS15" s="83">
        <v>113.732767</v>
      </c>
      <c r="NT15" s="83">
        <v>119.11933500000001</v>
      </c>
      <c r="NU15" s="83">
        <v>126.728712</v>
      </c>
      <c r="NV15" s="83">
        <v>117.09688199999999</v>
      </c>
      <c r="NW15" s="83">
        <v>118.60977699999999</v>
      </c>
      <c r="NX15" s="83">
        <v>119.384316</v>
      </c>
      <c r="NY15" s="83">
        <v>119.04057400000001</v>
      </c>
      <c r="NZ15" s="83">
        <v>115.84792299999999</v>
      </c>
      <c r="OA15" s="83">
        <v>121.898453</v>
      </c>
      <c r="OB15" s="83">
        <v>128.93630300000001</v>
      </c>
      <c r="OC15" s="83">
        <v>111.918921</v>
      </c>
      <c r="OD15" s="83">
        <v>112.770421</v>
      </c>
      <c r="OE15" s="83">
        <v>117.592341</v>
      </c>
      <c r="OF15" s="83">
        <v>116.624472</v>
      </c>
      <c r="OG15" s="83">
        <v>114.213424</v>
      </c>
      <c r="OH15" s="83">
        <v>119.35507</v>
      </c>
      <c r="OI15" s="83">
        <v>126.71895000000001</v>
      </c>
      <c r="OJ15" s="83">
        <v>111.61726899999999</v>
      </c>
      <c r="OK15" s="83">
        <v>112.959318</v>
      </c>
      <c r="OL15" s="83">
        <v>110.308452</v>
      </c>
      <c r="OM15" s="83">
        <v>110.011347</v>
      </c>
      <c r="ON15" s="83">
        <v>107.268601</v>
      </c>
      <c r="OO15" s="83">
        <v>112.46795899999999</v>
      </c>
      <c r="OP15" s="83">
        <v>118.519234</v>
      </c>
      <c r="OQ15" s="83">
        <v>107.358056</v>
      </c>
      <c r="OR15" s="83">
        <v>108.16434599999999</v>
      </c>
      <c r="OS15" s="83">
        <v>109.418038</v>
      </c>
      <c r="OT15" s="83">
        <v>108.55230400000001</v>
      </c>
      <c r="OU15" s="83">
        <v>106.233301</v>
      </c>
      <c r="OV15" s="83">
        <v>111.125995</v>
      </c>
      <c r="OW15" s="83">
        <v>118.020201</v>
      </c>
      <c r="OX15" s="83">
        <v>118.178577</v>
      </c>
      <c r="OY15" s="83">
        <v>119.72411700000001</v>
      </c>
      <c r="OZ15" s="83">
        <v>117.004278</v>
      </c>
      <c r="PA15" s="83">
        <v>116.62515999999999</v>
      </c>
      <c r="PB15" s="83">
        <v>113.371706</v>
      </c>
      <c r="PC15" s="83">
        <v>119.560742</v>
      </c>
      <c r="PD15" s="83">
        <v>126.815978</v>
      </c>
      <c r="PE15" s="83">
        <v>115.722706</v>
      </c>
      <c r="PF15" s="83">
        <v>116.34083800000001</v>
      </c>
      <c r="PG15" s="83">
        <v>121.63654200000001</v>
      </c>
      <c r="PH15" s="83">
        <v>120.73088</v>
      </c>
      <c r="PI15" s="83">
        <v>118.772381</v>
      </c>
      <c r="PJ15" s="83">
        <v>123.04548699999999</v>
      </c>
      <c r="PK15" s="83">
        <v>129.37273500000001</v>
      </c>
      <c r="PL15" s="83">
        <v>116.17380300000001</v>
      </c>
      <c r="PM15" s="83">
        <v>117.73805299999999</v>
      </c>
      <c r="PN15" s="83">
        <v>118.54167200000001</v>
      </c>
      <c r="PO15" s="83">
        <v>118.183981</v>
      </c>
      <c r="PP15" s="83">
        <v>114.88095</v>
      </c>
      <c r="PQ15" s="83">
        <v>121.142329</v>
      </c>
      <c r="PR15" s="83">
        <v>128.429395</v>
      </c>
      <c r="PS15" s="83">
        <v>120.96624300000001</v>
      </c>
      <c r="PT15" s="83">
        <v>122.00103799999999</v>
      </c>
      <c r="PU15" s="83">
        <v>123.518629</v>
      </c>
      <c r="PV15" s="83">
        <v>122.481735</v>
      </c>
      <c r="PW15" s="83">
        <v>119.572649</v>
      </c>
      <c r="PX15" s="83">
        <v>125.670618</v>
      </c>
      <c r="PY15" s="83">
        <v>134.17691099999999</v>
      </c>
      <c r="PZ15" s="83">
        <v>117.875621</v>
      </c>
      <c r="QA15" s="83">
        <v>119.42790599999999</v>
      </c>
      <c r="QB15" s="83">
        <v>120.23378099999999</v>
      </c>
      <c r="QC15" s="83">
        <v>119.872028</v>
      </c>
      <c r="QD15" s="83">
        <v>116.588058</v>
      </c>
      <c r="QE15" s="83">
        <v>122.818242</v>
      </c>
      <c r="QF15" s="83">
        <v>130.08104399999999</v>
      </c>
      <c r="QG15" s="83">
        <v>115.029725</v>
      </c>
      <c r="QH15" s="83">
        <v>115.998599</v>
      </c>
      <c r="QI15" s="83">
        <v>117.455468</v>
      </c>
      <c r="QJ15" s="83">
        <v>116.455428</v>
      </c>
      <c r="QK15" s="83">
        <v>113.705262</v>
      </c>
      <c r="QL15" s="83">
        <v>119.486097</v>
      </c>
      <c r="QM15" s="83">
        <v>127.584959</v>
      </c>
      <c r="QN15" s="83">
        <v>111.638604</v>
      </c>
      <c r="QO15" s="83">
        <v>112.90629199999999</v>
      </c>
      <c r="QP15" s="83">
        <v>113.50210800000001</v>
      </c>
      <c r="QQ15" s="83">
        <v>113.25726</v>
      </c>
      <c r="QR15" s="83">
        <v>110.62114800000001</v>
      </c>
      <c r="QS15" s="83">
        <v>115.58545700000001</v>
      </c>
    </row>
    <row r="16" spans="1:461" x14ac:dyDescent="0.25">
      <c r="F16" s="82" t="str">
        <f xml:space="preserve"> _xll.EPMOlapMemberO("[PRDDESCR].[].[HELGAS GFREE TRAD WHITE 470G]","","HELGAS GFREE TRAD WHITE 470G","","000")</f>
        <v>HELGAS GFREE TRAD WHITE 470G</v>
      </c>
      <c r="G16" s="82" t="str">
        <f xml:space="preserve"> _xll.EPMOlapMemberO("[PRDID].[].[168846]","","168846","","000")</f>
        <v>168846</v>
      </c>
      <c r="H16" s="82" t="str">
        <f xml:space="preserve"> _xll.EPMOlapMemberO("[LOCID].[].[6104]","","6104","","000")</f>
        <v>6104</v>
      </c>
      <c r="I16" s="82" t="str">
        <f xml:space="preserve"> _xll.EPMOlapMemberO("[LOCDESCR].[].[QBA-Moorebank]","","QBA-Moorebank","","000")</f>
        <v>QBA-Moorebank</v>
      </c>
      <c r="J16" s="82" t="str">
        <f xml:space="preserve"> _xll.EPMOlapMemberO("[KEY_FIGURES].[].[ZGFAPPROVEDFCSTQTY]","","Approved Forecast","","000")</f>
        <v>Approved Forecast</v>
      </c>
      <c r="K16" s="83">
        <v>421.68197700000002</v>
      </c>
      <c r="L16" s="83">
        <v>585.82676000000004</v>
      </c>
      <c r="M16" s="83">
        <v>338.53743900000001</v>
      </c>
      <c r="N16" s="83">
        <v>313.79195199999998</v>
      </c>
      <c r="O16" s="83">
        <v>799.01901199999998</v>
      </c>
      <c r="P16" s="83">
        <v>404.559957</v>
      </c>
      <c r="Q16" s="83">
        <v>559.62016900000003</v>
      </c>
      <c r="R16" s="83">
        <v>415.34360400000003</v>
      </c>
      <c r="S16" s="83">
        <v>615.45192099999997</v>
      </c>
      <c r="T16" s="83">
        <v>352.76839200000001</v>
      </c>
      <c r="U16" s="83">
        <v>316.53643</v>
      </c>
      <c r="V16" s="83">
        <v>747.00237000000004</v>
      </c>
      <c r="W16" s="83">
        <v>378.83388300000001</v>
      </c>
      <c r="X16" s="83">
        <v>549.76191100000005</v>
      </c>
      <c r="Y16" s="83">
        <v>398.09225400000003</v>
      </c>
      <c r="Z16" s="83">
        <v>604.57652800000005</v>
      </c>
      <c r="AA16" s="83">
        <v>334.43397599999997</v>
      </c>
      <c r="AB16" s="83">
        <v>293.535618</v>
      </c>
      <c r="AC16" s="83">
        <v>749.34111299999995</v>
      </c>
      <c r="AD16" s="83">
        <v>379.329182</v>
      </c>
      <c r="AE16" s="83">
        <v>525.98660400000006</v>
      </c>
      <c r="AF16" s="83">
        <v>387.06030800000002</v>
      </c>
      <c r="AG16" s="83">
        <v>594.54077199999995</v>
      </c>
      <c r="AH16" s="83">
        <v>326.34004099999999</v>
      </c>
      <c r="AI16" s="83">
        <v>286.242525</v>
      </c>
      <c r="AJ16" s="83">
        <v>744.26589000000001</v>
      </c>
      <c r="AK16" s="83">
        <v>375.279223</v>
      </c>
      <c r="AL16" s="83">
        <v>512.49919499999999</v>
      </c>
      <c r="AM16" s="83">
        <v>369.39694200000002</v>
      </c>
      <c r="AN16" s="83">
        <v>572.71341700000005</v>
      </c>
      <c r="AO16" s="83">
        <v>316.44107300000002</v>
      </c>
      <c r="AP16" s="83">
        <v>279.11870299999998</v>
      </c>
      <c r="AQ16" s="83">
        <v>731.13455899999997</v>
      </c>
      <c r="AR16" s="83">
        <v>369.210916</v>
      </c>
      <c r="AS16" s="83">
        <v>512.99625800000001</v>
      </c>
      <c r="AT16" s="83">
        <v>376.00119100000001</v>
      </c>
      <c r="AU16" s="83">
        <v>579.27747199999999</v>
      </c>
      <c r="AV16" s="83">
        <v>318.42316199999999</v>
      </c>
      <c r="AW16" s="83">
        <v>276.89909</v>
      </c>
      <c r="AX16" s="83">
        <v>745.498738</v>
      </c>
      <c r="AY16" s="83">
        <v>389.64228100000003</v>
      </c>
      <c r="AZ16" s="83">
        <v>522.31820100000004</v>
      </c>
      <c r="BA16" s="83">
        <v>371.16337299999998</v>
      </c>
      <c r="BB16" s="83">
        <v>580.90911300000005</v>
      </c>
      <c r="BC16" s="83">
        <v>322.67976800000002</v>
      </c>
      <c r="BD16" s="83">
        <v>284.44307600000002</v>
      </c>
      <c r="BE16" s="83">
        <v>726.73019599999998</v>
      </c>
      <c r="BF16" s="83">
        <v>380.759255</v>
      </c>
      <c r="BG16" s="83">
        <v>538.23603900000001</v>
      </c>
      <c r="BH16" s="83">
        <v>374.31824999999998</v>
      </c>
      <c r="BI16" s="83">
        <v>584.53213100000005</v>
      </c>
      <c r="BJ16" s="83">
        <v>332.44929400000001</v>
      </c>
      <c r="BK16" s="83">
        <v>295.76640300000003</v>
      </c>
      <c r="BL16" s="83">
        <v>716.76172299999996</v>
      </c>
      <c r="BM16" s="83">
        <v>377.174485</v>
      </c>
      <c r="BN16" s="83">
        <v>552.04261799999995</v>
      </c>
      <c r="BO16" s="83">
        <v>395.77757000000003</v>
      </c>
      <c r="BP16" s="83">
        <v>607.33809599999995</v>
      </c>
      <c r="BQ16" s="83">
        <v>350.22256199999998</v>
      </c>
      <c r="BR16" s="83">
        <v>302.83144199999998</v>
      </c>
      <c r="BS16" s="83">
        <v>798.956638</v>
      </c>
      <c r="BT16" s="83">
        <v>415.29072500000001</v>
      </c>
      <c r="BU16" s="83">
        <v>580.29041500000005</v>
      </c>
      <c r="BV16" s="83">
        <v>414.85983399999998</v>
      </c>
      <c r="BW16" s="83">
        <v>639.17607199999998</v>
      </c>
      <c r="BX16" s="83">
        <v>363.34393</v>
      </c>
      <c r="BY16" s="83">
        <v>316.02121199999999</v>
      </c>
      <c r="BZ16" s="83">
        <v>724.67018700000006</v>
      </c>
      <c r="CA16" s="83">
        <v>386.05005599999998</v>
      </c>
      <c r="CB16" s="83">
        <v>534.89365199999997</v>
      </c>
      <c r="CC16" s="83">
        <v>379.98034100000001</v>
      </c>
      <c r="CD16" s="83">
        <v>585.17667600000004</v>
      </c>
      <c r="CE16" s="83">
        <v>337.346609</v>
      </c>
      <c r="CF16" s="83">
        <v>296.105411</v>
      </c>
      <c r="CG16" s="83">
        <v>741.865903</v>
      </c>
      <c r="CH16" s="83">
        <v>390.97380800000002</v>
      </c>
      <c r="CI16" s="83">
        <v>545.68818099999999</v>
      </c>
      <c r="CJ16" s="83">
        <v>384.13291600000002</v>
      </c>
      <c r="CK16" s="83">
        <v>595.61172699999997</v>
      </c>
      <c r="CL16" s="83">
        <v>338.27841799999999</v>
      </c>
      <c r="CM16" s="83">
        <v>300.13803899999999</v>
      </c>
      <c r="CN16" s="83">
        <v>717.16997800000001</v>
      </c>
      <c r="CO16" s="83">
        <v>385.562682</v>
      </c>
      <c r="CP16" s="83">
        <v>539.41666199999997</v>
      </c>
      <c r="CQ16" s="83">
        <v>378.77340299999997</v>
      </c>
      <c r="CR16" s="83">
        <v>587.648145</v>
      </c>
      <c r="CS16" s="83">
        <v>338.30420800000002</v>
      </c>
      <c r="CT16" s="83">
        <v>298.98839299999997</v>
      </c>
      <c r="CU16" s="83">
        <v>709.98802799999999</v>
      </c>
      <c r="CV16" s="83">
        <v>374.20556900000003</v>
      </c>
      <c r="CW16" s="83">
        <v>533.44542200000001</v>
      </c>
      <c r="CX16" s="83">
        <v>375.77364399999999</v>
      </c>
      <c r="CY16" s="83">
        <v>580.09380899999996</v>
      </c>
      <c r="CZ16" s="83">
        <v>329.44413300000002</v>
      </c>
      <c r="DA16" s="83">
        <v>294.12225899999999</v>
      </c>
      <c r="DB16" s="83">
        <v>725.85878100000002</v>
      </c>
      <c r="DC16" s="83">
        <v>383.86469699999998</v>
      </c>
      <c r="DD16" s="83">
        <v>521.99280499999998</v>
      </c>
      <c r="DE16" s="83">
        <v>373.37677200000002</v>
      </c>
      <c r="DF16" s="83">
        <v>573.27148299999999</v>
      </c>
      <c r="DG16" s="83">
        <v>330.515827</v>
      </c>
      <c r="DH16" s="83">
        <v>285.41930500000001</v>
      </c>
      <c r="DI16" s="83">
        <v>695.52395799999999</v>
      </c>
      <c r="DJ16" s="83">
        <v>369.89813400000003</v>
      </c>
      <c r="DK16" s="83">
        <v>521.656294</v>
      </c>
      <c r="DL16" s="83">
        <v>363.1234</v>
      </c>
      <c r="DM16" s="83">
        <v>566.91474100000005</v>
      </c>
      <c r="DN16" s="83">
        <v>322.183652</v>
      </c>
      <c r="DO16" s="83">
        <v>284.87357800000001</v>
      </c>
      <c r="DP16" s="83">
        <v>761.502925</v>
      </c>
      <c r="DQ16" s="83">
        <v>404.112933</v>
      </c>
      <c r="DR16" s="83">
        <v>533.28087900000003</v>
      </c>
      <c r="DS16" s="83">
        <v>381.001801</v>
      </c>
      <c r="DT16" s="83">
        <v>585.48325699999998</v>
      </c>
      <c r="DU16" s="83">
        <v>337.48891700000001</v>
      </c>
      <c r="DV16" s="83">
        <v>292.106402</v>
      </c>
      <c r="DW16" s="83">
        <v>703.13721299999997</v>
      </c>
      <c r="DX16" s="83">
        <v>369.50943999999998</v>
      </c>
      <c r="DY16" s="83">
        <v>545.47897999999998</v>
      </c>
      <c r="DZ16" s="83">
        <v>383.72592400000002</v>
      </c>
      <c r="EA16" s="83">
        <v>595.77956300000005</v>
      </c>
      <c r="EB16" s="83">
        <v>338.62351799999999</v>
      </c>
      <c r="EC16" s="83">
        <v>298.129369</v>
      </c>
      <c r="ED16" s="83">
        <v>728.91747699999996</v>
      </c>
      <c r="EE16" s="83">
        <v>385.93463700000001</v>
      </c>
      <c r="EF16" s="83">
        <v>538.31520499999999</v>
      </c>
      <c r="EG16" s="83">
        <v>383.70498300000003</v>
      </c>
      <c r="EH16" s="83">
        <v>591.378961</v>
      </c>
      <c r="EI16" s="83">
        <v>340.77282600000001</v>
      </c>
      <c r="EJ16" s="83">
        <v>293.90285</v>
      </c>
      <c r="EK16" s="83">
        <v>726.09817599999997</v>
      </c>
      <c r="EL16" s="83">
        <v>381.18593099999998</v>
      </c>
      <c r="EM16" s="83">
        <v>535.81016399999999</v>
      </c>
      <c r="EN16" s="83">
        <v>377.55990700000001</v>
      </c>
      <c r="EO16" s="83">
        <v>586.727712</v>
      </c>
      <c r="EP16" s="83">
        <v>333.386932</v>
      </c>
      <c r="EQ16" s="83">
        <v>290.01590299999998</v>
      </c>
      <c r="ER16" s="83">
        <v>768.191464</v>
      </c>
      <c r="ES16" s="83">
        <v>408.19344999999998</v>
      </c>
      <c r="ET16" s="83">
        <v>534.32779300000004</v>
      </c>
      <c r="EU16" s="83">
        <v>380.82225699999998</v>
      </c>
      <c r="EV16" s="83">
        <v>587.08247800000004</v>
      </c>
      <c r="EW16" s="83">
        <v>338.34968700000002</v>
      </c>
      <c r="EX16" s="83">
        <v>291.72529500000002</v>
      </c>
      <c r="EY16" s="83">
        <v>730.52791999999999</v>
      </c>
      <c r="EZ16" s="83">
        <v>381.31440900000001</v>
      </c>
      <c r="FA16" s="83">
        <v>568.58958600000005</v>
      </c>
      <c r="FB16" s="83">
        <v>402.09249</v>
      </c>
      <c r="FC16" s="83">
        <v>624.66847299999995</v>
      </c>
      <c r="FD16" s="83">
        <v>355.22741200000002</v>
      </c>
      <c r="FE16" s="83">
        <v>309.09204399999999</v>
      </c>
      <c r="FF16" s="83">
        <v>704.43595900000003</v>
      </c>
      <c r="FG16" s="83">
        <v>376.52208400000001</v>
      </c>
      <c r="FH16" s="83">
        <v>537.592716</v>
      </c>
      <c r="FI16" s="83">
        <v>390.99705899999998</v>
      </c>
      <c r="FJ16" s="83">
        <v>593.93438800000001</v>
      </c>
      <c r="FK16" s="83">
        <v>343.03643299999999</v>
      </c>
      <c r="FL16" s="83">
        <v>294.42840200000001</v>
      </c>
      <c r="FM16" s="83">
        <v>751.39635999999996</v>
      </c>
      <c r="FN16" s="83">
        <v>385.26351799999998</v>
      </c>
      <c r="FO16" s="83">
        <v>518.96834100000001</v>
      </c>
      <c r="FP16" s="83">
        <v>363.49954200000002</v>
      </c>
      <c r="FQ16" s="83">
        <v>566.66396899999995</v>
      </c>
      <c r="FR16" s="83">
        <v>321.79334399999999</v>
      </c>
      <c r="FS16" s="83">
        <v>281.15984200000003</v>
      </c>
      <c r="FT16" s="83">
        <v>693.86881800000003</v>
      </c>
      <c r="FU16" s="83">
        <v>368.22589599999998</v>
      </c>
      <c r="FV16" s="83">
        <v>526.85693600000002</v>
      </c>
      <c r="FW16" s="83">
        <v>374.068445</v>
      </c>
      <c r="FX16" s="83">
        <v>577.21820300000002</v>
      </c>
      <c r="FY16" s="83">
        <v>332.61102499999998</v>
      </c>
      <c r="FZ16" s="83">
        <v>289.01731899999999</v>
      </c>
      <c r="GA16" s="83">
        <v>751.59921499999996</v>
      </c>
      <c r="GB16" s="83">
        <v>394.884815</v>
      </c>
      <c r="GC16" s="83">
        <v>536.58773499999995</v>
      </c>
      <c r="GD16" s="83">
        <v>379.575805</v>
      </c>
      <c r="GE16" s="83">
        <v>586.52079300000003</v>
      </c>
      <c r="GF16" s="83">
        <v>333.14163600000001</v>
      </c>
      <c r="GG16" s="83">
        <v>292.5317</v>
      </c>
      <c r="GH16" s="83">
        <v>733.73651199999995</v>
      </c>
      <c r="GI16" s="83">
        <v>388.771638</v>
      </c>
      <c r="GJ16" s="83">
        <v>538.35664399999996</v>
      </c>
      <c r="GK16" s="83">
        <v>384.66050000000001</v>
      </c>
      <c r="GL16" s="83">
        <v>590.71638700000005</v>
      </c>
      <c r="GM16" s="83">
        <v>340.652761</v>
      </c>
      <c r="GN16" s="83">
        <v>296.67722300000003</v>
      </c>
      <c r="GO16" s="83">
        <v>750.34770400000002</v>
      </c>
      <c r="GP16" s="83">
        <v>396.77489600000001</v>
      </c>
      <c r="GQ16" s="83">
        <v>539.02696500000002</v>
      </c>
      <c r="GR16" s="83">
        <v>379.28688</v>
      </c>
      <c r="GS16" s="83">
        <v>586.95621400000005</v>
      </c>
      <c r="GT16" s="83">
        <v>333.372432</v>
      </c>
      <c r="GU16" s="83">
        <v>296.99851699999999</v>
      </c>
      <c r="GV16" s="83">
        <v>729.96306300000003</v>
      </c>
      <c r="GW16" s="83">
        <v>386.96974999999998</v>
      </c>
      <c r="GX16" s="83">
        <v>553.74890200000004</v>
      </c>
      <c r="GY16" s="83">
        <v>394.99402800000001</v>
      </c>
      <c r="GZ16" s="83">
        <v>607.06526199999996</v>
      </c>
      <c r="HA16" s="83">
        <v>349.92536699999999</v>
      </c>
      <c r="HB16" s="83">
        <v>305.77904899999999</v>
      </c>
      <c r="HC16" s="83">
        <v>758.513057</v>
      </c>
      <c r="HD16" s="83">
        <v>398.04022099999997</v>
      </c>
      <c r="HE16" s="83">
        <v>565.72287400000005</v>
      </c>
      <c r="HF16" s="83">
        <v>411.94178799999997</v>
      </c>
      <c r="HG16" s="83">
        <v>627.99698000000001</v>
      </c>
      <c r="HH16" s="83">
        <v>356.29747099999997</v>
      </c>
      <c r="HI16" s="83">
        <v>306.11412999999999</v>
      </c>
      <c r="HJ16" s="83">
        <v>774.07008099999996</v>
      </c>
      <c r="HK16" s="83">
        <v>399.27453300000002</v>
      </c>
      <c r="HL16" s="83">
        <v>533.93749000000003</v>
      </c>
      <c r="HM16" s="83">
        <v>382.24677400000002</v>
      </c>
      <c r="HN16" s="83">
        <v>588.19660899999997</v>
      </c>
      <c r="HO16" s="83">
        <v>338.95662499999997</v>
      </c>
      <c r="HP16" s="83">
        <v>291.26133099999998</v>
      </c>
      <c r="HQ16" s="83">
        <v>773.19242099999997</v>
      </c>
      <c r="HR16" s="83">
        <v>403.30868700000002</v>
      </c>
      <c r="HS16" s="83">
        <v>554.88531499999999</v>
      </c>
      <c r="HT16" s="83">
        <v>393.38363700000002</v>
      </c>
      <c r="HU16" s="83">
        <v>610.97198000000003</v>
      </c>
      <c r="HV16" s="83">
        <v>347.27667000000002</v>
      </c>
      <c r="HW16" s="83">
        <v>298.82223900000002</v>
      </c>
      <c r="HX16" s="83">
        <v>793.80285300000003</v>
      </c>
      <c r="HY16" s="83">
        <v>418.66012899999998</v>
      </c>
      <c r="HZ16" s="83">
        <v>606.77966000000004</v>
      </c>
      <c r="IA16" s="83">
        <v>433.62223</v>
      </c>
      <c r="IB16" s="83">
        <v>671.66003799999999</v>
      </c>
      <c r="IC16" s="83">
        <v>387.43840399999999</v>
      </c>
      <c r="ID16" s="83">
        <v>331.59738199999998</v>
      </c>
      <c r="IE16" s="83">
        <v>874.34689900000001</v>
      </c>
      <c r="IF16" s="83">
        <v>457.05581999999998</v>
      </c>
      <c r="IG16" s="83">
        <v>652.54360999999994</v>
      </c>
      <c r="IH16" s="83">
        <v>473.88620800000001</v>
      </c>
      <c r="II16" s="83">
        <v>726.50464799999997</v>
      </c>
      <c r="IJ16" s="83">
        <v>413.22565900000001</v>
      </c>
      <c r="IK16" s="83">
        <v>355.68308300000001</v>
      </c>
      <c r="IL16" s="83">
        <v>834.42503599999998</v>
      </c>
      <c r="IM16" s="83">
        <v>431.26082000000002</v>
      </c>
      <c r="IN16" s="83">
        <v>560.03441799999996</v>
      </c>
      <c r="IO16" s="83">
        <v>403.69366300000002</v>
      </c>
      <c r="IP16" s="83">
        <v>619.277871</v>
      </c>
      <c r="IQ16" s="83">
        <v>357.29978599999998</v>
      </c>
      <c r="IR16" s="83">
        <v>304.82707799999997</v>
      </c>
      <c r="IS16" s="83">
        <v>806.67792999999995</v>
      </c>
      <c r="IT16" s="83">
        <v>418.49048099999999</v>
      </c>
      <c r="IU16" s="83">
        <v>607.66915600000004</v>
      </c>
      <c r="IV16" s="83">
        <v>433.86945100000003</v>
      </c>
      <c r="IW16" s="83">
        <v>671.47556699999996</v>
      </c>
      <c r="IX16" s="83">
        <v>382.00064200000003</v>
      </c>
      <c r="IY16" s="83">
        <v>330.85054500000001</v>
      </c>
      <c r="IZ16" s="83">
        <v>810.49428899999998</v>
      </c>
      <c r="JA16" s="83">
        <v>424.02170000000001</v>
      </c>
      <c r="JB16" s="83">
        <v>581.69048599999996</v>
      </c>
      <c r="JC16" s="83">
        <v>421.18658499999998</v>
      </c>
      <c r="JD16" s="83">
        <v>646.151477</v>
      </c>
      <c r="JE16" s="83">
        <v>373.13840299999998</v>
      </c>
      <c r="JF16" s="83">
        <v>316.31991599999998</v>
      </c>
      <c r="JG16" s="83">
        <v>779.13292899999999</v>
      </c>
      <c r="JH16" s="83">
        <v>404.88975499999998</v>
      </c>
      <c r="JI16" s="83">
        <v>591.06368099999997</v>
      </c>
      <c r="JJ16" s="83">
        <v>436.12775099999999</v>
      </c>
      <c r="JK16" s="83">
        <v>661.35511399999996</v>
      </c>
      <c r="JL16" s="83">
        <v>374.97052400000001</v>
      </c>
      <c r="JM16" s="83">
        <v>316.694503</v>
      </c>
      <c r="JN16" s="83">
        <v>544.40076299999998</v>
      </c>
      <c r="JO16" s="83">
        <v>414.03530799999999</v>
      </c>
      <c r="JP16" s="83">
        <v>458.60440299999999</v>
      </c>
      <c r="JQ16" s="83">
        <v>343.487954</v>
      </c>
      <c r="JR16" s="83">
        <v>475.53510199999999</v>
      </c>
      <c r="JS16" s="83">
        <v>544.36520900000005</v>
      </c>
      <c r="JT16" s="83">
        <v>550.11554999999998</v>
      </c>
      <c r="JU16" s="83">
        <v>475.98676399999999</v>
      </c>
      <c r="JV16" s="83">
        <v>490.58591899999999</v>
      </c>
      <c r="JW16" s="83">
        <v>505.94499100000002</v>
      </c>
      <c r="JX16" s="83">
        <v>493.90089399999999</v>
      </c>
      <c r="JY16" s="83">
        <v>482.79881499999999</v>
      </c>
      <c r="JZ16" s="83">
        <v>503.10178400000001</v>
      </c>
      <c r="KA16" s="83">
        <v>516.88786900000002</v>
      </c>
      <c r="KB16" s="83">
        <v>500.63095299999998</v>
      </c>
      <c r="KC16" s="83">
        <v>519.88313600000004</v>
      </c>
      <c r="KD16" s="83">
        <v>510.71930200000003</v>
      </c>
      <c r="KE16" s="83">
        <v>503.43953699999997</v>
      </c>
      <c r="KF16" s="83">
        <v>489.233316</v>
      </c>
      <c r="KG16" s="83">
        <v>523.03672600000004</v>
      </c>
      <c r="KH16" s="83">
        <v>529.16951400000005</v>
      </c>
      <c r="KI16" s="83">
        <v>474.95532700000001</v>
      </c>
      <c r="KJ16" s="83">
        <v>490.79218300000002</v>
      </c>
      <c r="KK16" s="83">
        <v>506.942859</v>
      </c>
      <c r="KL16" s="83">
        <v>492.64094999999998</v>
      </c>
      <c r="KM16" s="83">
        <v>481.233498</v>
      </c>
      <c r="KN16" s="83">
        <v>504.04205899999999</v>
      </c>
      <c r="KO16" s="83">
        <v>517.82814199999996</v>
      </c>
      <c r="KP16" s="83">
        <v>461.831839</v>
      </c>
      <c r="KQ16" s="83">
        <v>478.03009300000002</v>
      </c>
      <c r="KR16" s="83">
        <v>478.71921099999997</v>
      </c>
      <c r="KS16" s="83">
        <v>473.63259199999999</v>
      </c>
      <c r="KT16" s="83">
        <v>460.67844300000002</v>
      </c>
      <c r="KU16" s="83">
        <v>487.25943100000001</v>
      </c>
      <c r="KV16" s="83">
        <v>495.34284000000002</v>
      </c>
      <c r="KW16" s="83">
        <v>493.75281100000001</v>
      </c>
      <c r="KX16" s="83">
        <v>508.81737399999997</v>
      </c>
      <c r="KY16" s="83">
        <v>501.483993</v>
      </c>
      <c r="KZ16" s="83">
        <v>488.59095000000002</v>
      </c>
      <c r="LA16" s="83">
        <v>477.37397499999997</v>
      </c>
      <c r="LB16" s="83">
        <v>498.61913800000002</v>
      </c>
      <c r="LC16" s="83">
        <v>512.40522899999996</v>
      </c>
      <c r="LD16" s="83">
        <v>441.98702200000002</v>
      </c>
      <c r="LE16" s="83">
        <v>459.47898199999997</v>
      </c>
      <c r="LF16" s="83">
        <v>472.37730800000003</v>
      </c>
      <c r="LG16" s="83">
        <v>466.36167999999998</v>
      </c>
      <c r="LH16" s="83">
        <v>452.87712900000002</v>
      </c>
      <c r="LI16" s="83">
        <v>482.51763699999998</v>
      </c>
      <c r="LJ16" s="83">
        <v>489.77472399999999</v>
      </c>
      <c r="LK16" s="83">
        <v>441.87845199999998</v>
      </c>
      <c r="LL16" s="83">
        <v>455.83383099999998</v>
      </c>
      <c r="LM16" s="83">
        <v>461.54618299999998</v>
      </c>
      <c r="LN16" s="83">
        <v>450.67651699999999</v>
      </c>
      <c r="LO16" s="83">
        <v>439.73327699999999</v>
      </c>
      <c r="LP16" s="83">
        <v>458.732957</v>
      </c>
      <c r="LQ16" s="83">
        <v>472.51903900000002</v>
      </c>
      <c r="LR16" s="83">
        <v>445.05570299999999</v>
      </c>
      <c r="LS16" s="83">
        <v>463.2466</v>
      </c>
      <c r="LT16" s="83">
        <v>475.05710900000003</v>
      </c>
      <c r="LU16" s="83">
        <v>468.53954299999998</v>
      </c>
      <c r="LV16" s="83">
        <v>454.76842699999997</v>
      </c>
      <c r="LW16" s="83">
        <v>486.061893</v>
      </c>
      <c r="LX16" s="83">
        <v>492.87257199999999</v>
      </c>
      <c r="LY16" s="83">
        <v>470.06263999999999</v>
      </c>
      <c r="LZ16" s="83">
        <v>485.08925199999999</v>
      </c>
      <c r="MA16" s="83">
        <v>479.74485600000003</v>
      </c>
      <c r="MB16" s="83">
        <v>466.92097200000001</v>
      </c>
      <c r="MC16" s="83">
        <v>455.71342499999997</v>
      </c>
      <c r="MD16" s="83">
        <v>476.881844</v>
      </c>
      <c r="ME16" s="83">
        <v>490.66789499999999</v>
      </c>
      <c r="MF16" s="83">
        <v>488.716025</v>
      </c>
      <c r="MG16" s="83">
        <v>508.06438100000003</v>
      </c>
      <c r="MH16" s="83">
        <v>508.68476600000002</v>
      </c>
      <c r="MI16" s="83">
        <v>501.33591000000001</v>
      </c>
      <c r="MJ16" s="83">
        <v>487.09027800000001</v>
      </c>
      <c r="MK16" s="83">
        <v>521.12116100000003</v>
      </c>
      <c r="ML16" s="83">
        <v>527.19250999999997</v>
      </c>
      <c r="MM16" s="83">
        <v>449.04556700000001</v>
      </c>
      <c r="MN16" s="83">
        <v>463.90749699999998</v>
      </c>
      <c r="MO16" s="83">
        <v>490.01923299999999</v>
      </c>
      <c r="MP16" s="83">
        <v>477.495859</v>
      </c>
      <c r="MQ16" s="83">
        <v>466.32891499999999</v>
      </c>
      <c r="MR16" s="83">
        <v>487.163815</v>
      </c>
      <c r="MS16" s="83">
        <v>500.949904</v>
      </c>
      <c r="MT16" s="83">
        <v>451.00112899999999</v>
      </c>
      <c r="MU16" s="83">
        <v>467.14487400000002</v>
      </c>
      <c r="MV16" s="83">
        <v>449.25741900000003</v>
      </c>
      <c r="MW16" s="83">
        <v>444.21002199999998</v>
      </c>
      <c r="MX16" s="83">
        <v>431.278235</v>
      </c>
      <c r="MY16" s="83">
        <v>457.73025100000001</v>
      </c>
      <c r="MZ16" s="83">
        <v>465.84849800000001</v>
      </c>
      <c r="NA16" s="83">
        <v>437.858521</v>
      </c>
      <c r="NB16" s="83">
        <v>453.67970200000002</v>
      </c>
      <c r="NC16" s="83">
        <v>460.73974700000002</v>
      </c>
      <c r="ND16" s="83">
        <v>446.46651300000002</v>
      </c>
      <c r="NE16" s="83">
        <v>435.062904</v>
      </c>
      <c r="NF16" s="83">
        <v>457.839719</v>
      </c>
      <c r="NG16" s="83">
        <v>471.62582600000002</v>
      </c>
      <c r="NH16" s="83">
        <v>464.669579</v>
      </c>
      <c r="NI16" s="83">
        <v>483.62173300000001</v>
      </c>
      <c r="NJ16" s="83">
        <v>466.51569599999999</v>
      </c>
      <c r="NK16" s="83">
        <v>459.45140600000002</v>
      </c>
      <c r="NL16" s="83">
        <v>445.36817200000002</v>
      </c>
      <c r="NM16" s="83">
        <v>478.46207299999998</v>
      </c>
      <c r="NN16" s="83">
        <v>484.786473</v>
      </c>
      <c r="NO16" s="83">
        <v>470.53605199999998</v>
      </c>
      <c r="NP16" s="83">
        <v>486.580262</v>
      </c>
      <c r="NQ16" s="83">
        <v>513.38068499999997</v>
      </c>
      <c r="NR16" s="83">
        <v>498.70067699999998</v>
      </c>
      <c r="NS16" s="83">
        <v>487.24200200000001</v>
      </c>
      <c r="NT16" s="83">
        <v>510.47026099999999</v>
      </c>
      <c r="NU16" s="83">
        <v>524.25635399999999</v>
      </c>
      <c r="NV16" s="83">
        <v>456.85320899999999</v>
      </c>
      <c r="NW16" s="83">
        <v>475.32733000000002</v>
      </c>
      <c r="NX16" s="83">
        <v>475.966791</v>
      </c>
      <c r="NY16" s="83">
        <v>469.245834</v>
      </c>
      <c r="NZ16" s="83">
        <v>455.35862400000002</v>
      </c>
      <c r="OA16" s="83">
        <v>487.32190700000001</v>
      </c>
      <c r="OB16" s="83">
        <v>493.95166799999998</v>
      </c>
      <c r="OC16" s="83">
        <v>444.376846</v>
      </c>
      <c r="OD16" s="83">
        <v>459.508624</v>
      </c>
      <c r="OE16" s="83">
        <v>483.91366399999998</v>
      </c>
      <c r="OF16" s="83">
        <v>470.89805100000001</v>
      </c>
      <c r="OG16" s="83">
        <v>459.66455400000001</v>
      </c>
      <c r="OH16" s="83">
        <v>481.04569199999997</v>
      </c>
      <c r="OI16" s="83">
        <v>494.83178600000002</v>
      </c>
      <c r="OJ16" s="83">
        <v>453.39027900000002</v>
      </c>
      <c r="OK16" s="83">
        <v>471.540414</v>
      </c>
      <c r="OL16" s="83">
        <v>454.92747800000001</v>
      </c>
      <c r="OM16" s="83">
        <v>448.43917299999998</v>
      </c>
      <c r="ON16" s="83">
        <v>434.68479500000001</v>
      </c>
      <c r="OO16" s="83">
        <v>465.88185199999998</v>
      </c>
      <c r="OP16" s="83">
        <v>472.71854100000002</v>
      </c>
      <c r="OQ16" s="83">
        <v>441.23722700000002</v>
      </c>
      <c r="OR16" s="83">
        <v>457.46342900000002</v>
      </c>
      <c r="OS16" s="83">
        <v>464.81603200000001</v>
      </c>
      <c r="OT16" s="83">
        <v>449.80394999999999</v>
      </c>
      <c r="OU16" s="83">
        <v>438.30040700000001</v>
      </c>
      <c r="OV16" s="83">
        <v>461.897155</v>
      </c>
      <c r="OW16" s="83">
        <v>475.68325700000003</v>
      </c>
      <c r="OX16" s="83">
        <v>464.89916199999999</v>
      </c>
      <c r="OY16" s="83">
        <v>481.574118</v>
      </c>
      <c r="OZ16" s="83">
        <v>459.26980099999997</v>
      </c>
      <c r="PA16" s="83">
        <v>453.84088600000001</v>
      </c>
      <c r="PB16" s="83">
        <v>440.69129600000002</v>
      </c>
      <c r="PC16" s="83">
        <v>468.39964400000002</v>
      </c>
      <c r="PD16" s="83">
        <v>476.17856999999998</v>
      </c>
      <c r="PE16" s="83">
        <v>454.44193999999999</v>
      </c>
      <c r="PF16" s="83">
        <v>468.10501199999999</v>
      </c>
      <c r="PG16" s="83">
        <v>498.65948100000003</v>
      </c>
      <c r="PH16" s="83">
        <v>488.32302499999997</v>
      </c>
      <c r="PI16" s="83">
        <v>477.451886</v>
      </c>
      <c r="PJ16" s="83">
        <v>495.85980999999998</v>
      </c>
      <c r="PK16" s="83">
        <v>509.64589000000001</v>
      </c>
      <c r="PL16" s="83">
        <v>469.17828500000002</v>
      </c>
      <c r="PM16" s="83">
        <v>488.10843999999997</v>
      </c>
      <c r="PN16" s="83">
        <v>488.73790300000002</v>
      </c>
      <c r="PO16" s="83">
        <v>481.689459</v>
      </c>
      <c r="PP16" s="83">
        <v>467.61528199999998</v>
      </c>
      <c r="PQ16" s="83">
        <v>500.65704199999999</v>
      </c>
      <c r="PR16" s="83">
        <v>506.99555600000002</v>
      </c>
      <c r="PS16" s="83">
        <v>495.08181400000001</v>
      </c>
      <c r="PT16" s="83">
        <v>511.53088000000002</v>
      </c>
      <c r="PU16" s="83">
        <v>519.04445699999997</v>
      </c>
      <c r="PV16" s="83">
        <v>503.62582500000002</v>
      </c>
      <c r="PW16" s="83">
        <v>492.067275</v>
      </c>
      <c r="PX16" s="83">
        <v>516.11517700000002</v>
      </c>
      <c r="PY16" s="83">
        <v>529.90128700000002</v>
      </c>
      <c r="PZ16" s="83">
        <v>453.00215600000001</v>
      </c>
      <c r="QA16" s="83">
        <v>471.84434099999999</v>
      </c>
      <c r="QB16" s="83">
        <v>472.475753</v>
      </c>
      <c r="QC16" s="83">
        <v>465.49046900000002</v>
      </c>
      <c r="QD16" s="83">
        <v>451.45238599999999</v>
      </c>
      <c r="QE16" s="83">
        <v>484.28607499999998</v>
      </c>
      <c r="QF16" s="83">
        <v>490.68073800000002</v>
      </c>
      <c r="QG16" s="83">
        <v>462.27298100000002</v>
      </c>
      <c r="QH16" s="83">
        <v>478.02730700000001</v>
      </c>
      <c r="QI16" s="83">
        <v>485.039039</v>
      </c>
      <c r="QJ16" s="83">
        <v>470.887722</v>
      </c>
      <c r="QK16" s="83">
        <v>459.50063799999998</v>
      </c>
      <c r="QL16" s="83">
        <v>482.14209699999998</v>
      </c>
      <c r="QM16" s="83">
        <v>495.92819100000003</v>
      </c>
      <c r="QN16" s="83">
        <v>454.02621099999999</v>
      </c>
      <c r="QO16" s="83">
        <v>470.858091</v>
      </c>
      <c r="QP16" s="83">
        <v>471.533367</v>
      </c>
      <c r="QQ16" s="83">
        <v>465.991781</v>
      </c>
      <c r="QR16" s="83">
        <v>452.77781800000002</v>
      </c>
      <c r="QS16" s="83">
        <v>480.85731700000002</v>
      </c>
    </row>
    <row r="17" spans="6:461" x14ac:dyDescent="0.25">
      <c r="F17" s="82" t="str">
        <f xml:space="preserve"> _xll.EPMOlapMemberO("[PRDDESCR].[].[HELGAS GFREE TRAD WHITE 470G]","","HELGAS GFREE TRAD WHITE 470G","","000")</f>
        <v>HELGAS GFREE TRAD WHITE 470G</v>
      </c>
      <c r="G17" s="82" t="str">
        <f xml:space="preserve"> _xll.EPMOlapMemberO("[PRDID].[].[168846]","","168846","","000")</f>
        <v>168846</v>
      </c>
      <c r="H17" s="82" t="str">
        <f xml:space="preserve"> _xll.EPMOlapMemberO("[LOCID].[].[6105]","","6105","","000")</f>
        <v>6105</v>
      </c>
      <c r="I17" s="82" t="str">
        <f xml:space="preserve"> _xll.EPMOlapMemberO("[LOCDESCR].[].[QBA-Rydalmere]","","QBA-Rydalmere","","000")</f>
        <v>QBA-Rydalmere</v>
      </c>
      <c r="J17" s="82" t="str">
        <f xml:space="preserve"> _xll.EPMOlapMemberO("[KEY_FIGURES].[].[ZGFAPPROVEDFCSTQTY]","","Approved Forecast","","000")</f>
        <v>Approved Forecast</v>
      </c>
      <c r="K17" s="83">
        <v>327.83395400000001</v>
      </c>
      <c r="L17" s="83">
        <v>269.39449200000001</v>
      </c>
      <c r="M17" s="83">
        <v>291.28243700000002</v>
      </c>
      <c r="N17" s="83">
        <v>213.16470799999999</v>
      </c>
      <c r="O17" s="83">
        <v>437.37287300000003</v>
      </c>
      <c r="P17" s="83">
        <v>342.26887900000003</v>
      </c>
      <c r="Q17" s="83">
        <v>256.26881500000002</v>
      </c>
      <c r="R17" s="83">
        <v>330.48359799999997</v>
      </c>
      <c r="S17" s="83">
        <v>267.88552700000002</v>
      </c>
      <c r="T17" s="83">
        <v>291.31797799999998</v>
      </c>
      <c r="U17" s="83">
        <v>201.479727</v>
      </c>
      <c r="V17" s="83">
        <v>427.58635600000002</v>
      </c>
      <c r="W17" s="83">
        <v>344.67477100000002</v>
      </c>
      <c r="X17" s="83">
        <v>260.36380800000001</v>
      </c>
      <c r="Y17" s="83">
        <v>339.08827200000002</v>
      </c>
      <c r="Z17" s="83">
        <v>270.47263299999997</v>
      </c>
      <c r="AA17" s="83">
        <v>294.124797</v>
      </c>
      <c r="AB17" s="83">
        <v>203.30912000000001</v>
      </c>
      <c r="AC17" s="83">
        <v>434.08457600000003</v>
      </c>
      <c r="AD17" s="83">
        <v>347.33075400000001</v>
      </c>
      <c r="AE17" s="83">
        <v>258.85709000000003</v>
      </c>
      <c r="AF17" s="83">
        <v>338.46957200000003</v>
      </c>
      <c r="AG17" s="83">
        <v>267.14081299999998</v>
      </c>
      <c r="AH17" s="83">
        <v>293.46209599999997</v>
      </c>
      <c r="AI17" s="83">
        <v>195.996746</v>
      </c>
      <c r="AJ17" s="83">
        <v>427.15682199999998</v>
      </c>
      <c r="AK17" s="83">
        <v>346.55368099999998</v>
      </c>
      <c r="AL17" s="83">
        <v>248.923731</v>
      </c>
      <c r="AM17" s="83">
        <v>331.29579799999999</v>
      </c>
      <c r="AN17" s="83">
        <v>258.295863</v>
      </c>
      <c r="AO17" s="83">
        <v>281.443265</v>
      </c>
      <c r="AP17" s="83">
        <v>192.635379</v>
      </c>
      <c r="AQ17" s="83">
        <v>426.62119899999999</v>
      </c>
      <c r="AR17" s="83">
        <v>340.19752299999999</v>
      </c>
      <c r="AS17" s="83">
        <v>254.584135</v>
      </c>
      <c r="AT17" s="83">
        <v>330.89767999999998</v>
      </c>
      <c r="AU17" s="83">
        <v>262.749143</v>
      </c>
      <c r="AV17" s="83">
        <v>286.07959299999999</v>
      </c>
      <c r="AW17" s="83">
        <v>192.350874</v>
      </c>
      <c r="AX17" s="83">
        <v>442.13933600000001</v>
      </c>
      <c r="AY17" s="83">
        <v>346.789849</v>
      </c>
      <c r="AZ17" s="83">
        <v>251.232136</v>
      </c>
      <c r="BA17" s="83">
        <v>328.326998</v>
      </c>
      <c r="BB17" s="83">
        <v>260.479242</v>
      </c>
      <c r="BC17" s="83">
        <v>282.573913</v>
      </c>
      <c r="BD17" s="83">
        <v>194.341801</v>
      </c>
      <c r="BE17" s="83">
        <v>445.74690800000002</v>
      </c>
      <c r="BF17" s="83">
        <v>350.61154599999998</v>
      </c>
      <c r="BG17" s="83">
        <v>268.73936200000003</v>
      </c>
      <c r="BH17" s="83">
        <v>343.62370499999997</v>
      </c>
      <c r="BI17" s="83">
        <v>271.43185699999998</v>
      </c>
      <c r="BJ17" s="83">
        <v>298.543364</v>
      </c>
      <c r="BK17" s="83">
        <v>201.46946700000001</v>
      </c>
      <c r="BL17" s="83">
        <v>420.03785599999998</v>
      </c>
      <c r="BM17" s="83">
        <v>329.50206100000003</v>
      </c>
      <c r="BN17" s="83">
        <v>264.77168</v>
      </c>
      <c r="BO17" s="83">
        <v>336.69660399999998</v>
      </c>
      <c r="BP17" s="83">
        <v>268.39579300000003</v>
      </c>
      <c r="BQ17" s="83">
        <v>294.264341</v>
      </c>
      <c r="BR17" s="83">
        <v>203.230414</v>
      </c>
      <c r="BS17" s="83">
        <v>436.78228799999999</v>
      </c>
      <c r="BT17" s="83">
        <v>339.94791099999998</v>
      </c>
      <c r="BU17" s="83">
        <v>264.43240800000001</v>
      </c>
      <c r="BV17" s="83">
        <v>330.32037600000001</v>
      </c>
      <c r="BW17" s="83">
        <v>264.93663900000001</v>
      </c>
      <c r="BX17" s="83">
        <v>296.18913600000002</v>
      </c>
      <c r="BY17" s="83">
        <v>199.142933</v>
      </c>
      <c r="BZ17" s="83">
        <v>413.764251</v>
      </c>
      <c r="CA17" s="83">
        <v>318.29185100000001</v>
      </c>
      <c r="CB17" s="83">
        <v>249.32940099999999</v>
      </c>
      <c r="CC17" s="83">
        <v>313.19790899999998</v>
      </c>
      <c r="CD17" s="83">
        <v>252.28778199999999</v>
      </c>
      <c r="CE17" s="83">
        <v>276.37003199999998</v>
      </c>
      <c r="CF17" s="83">
        <v>194.707874</v>
      </c>
      <c r="CG17" s="83">
        <v>393.71645999999998</v>
      </c>
      <c r="CH17" s="83">
        <v>302.11558500000001</v>
      </c>
      <c r="CI17" s="83">
        <v>238.65551099999999</v>
      </c>
      <c r="CJ17" s="83">
        <v>295.97890100000001</v>
      </c>
      <c r="CK17" s="83">
        <v>240.09056200000001</v>
      </c>
      <c r="CL17" s="83">
        <v>263.93132000000003</v>
      </c>
      <c r="CM17" s="83">
        <v>186.26871199999999</v>
      </c>
      <c r="CN17" s="83">
        <v>393.698848</v>
      </c>
      <c r="CO17" s="83">
        <v>302.161858</v>
      </c>
      <c r="CP17" s="83">
        <v>236.95208199999999</v>
      </c>
      <c r="CQ17" s="83">
        <v>302.22367700000001</v>
      </c>
      <c r="CR17" s="83">
        <v>241.06671700000001</v>
      </c>
      <c r="CS17" s="83">
        <v>260.90763500000003</v>
      </c>
      <c r="CT17" s="83">
        <v>187.307312</v>
      </c>
      <c r="CU17" s="83">
        <v>395.56254200000001</v>
      </c>
      <c r="CV17" s="83">
        <v>307.78009500000002</v>
      </c>
      <c r="CW17" s="83">
        <v>249.69997499999999</v>
      </c>
      <c r="CX17" s="83">
        <v>312.29467799999998</v>
      </c>
      <c r="CY17" s="83">
        <v>251.63730899999999</v>
      </c>
      <c r="CZ17" s="83">
        <v>276.26152999999999</v>
      </c>
      <c r="DA17" s="83">
        <v>192.484837</v>
      </c>
      <c r="DB17" s="83">
        <v>417.24183799999997</v>
      </c>
      <c r="DC17" s="83">
        <v>326.839473</v>
      </c>
      <c r="DD17" s="83">
        <v>241.509839</v>
      </c>
      <c r="DE17" s="83">
        <v>313.51349199999999</v>
      </c>
      <c r="DF17" s="83">
        <v>243.98995600000001</v>
      </c>
      <c r="DG17" s="83">
        <v>271.751127</v>
      </c>
      <c r="DH17" s="83">
        <v>185.68584999999999</v>
      </c>
      <c r="DI17" s="83">
        <v>419.18116700000002</v>
      </c>
      <c r="DJ17" s="83">
        <v>327.34535599999998</v>
      </c>
      <c r="DK17" s="83">
        <v>253.00809799999999</v>
      </c>
      <c r="DL17" s="83">
        <v>324.108836</v>
      </c>
      <c r="DM17" s="83">
        <v>254.83480599999999</v>
      </c>
      <c r="DN17" s="83">
        <v>283.11083000000002</v>
      </c>
      <c r="DO17" s="83">
        <v>192.34488200000001</v>
      </c>
      <c r="DP17" s="83">
        <v>425.27197000000001</v>
      </c>
      <c r="DQ17" s="83">
        <v>322.88116200000002</v>
      </c>
      <c r="DR17" s="83">
        <v>249.62698499999999</v>
      </c>
      <c r="DS17" s="83">
        <v>308.11940299999998</v>
      </c>
      <c r="DT17" s="83">
        <v>251.69645399999999</v>
      </c>
      <c r="DU17" s="83">
        <v>276.938241</v>
      </c>
      <c r="DV17" s="83">
        <v>195.83284800000001</v>
      </c>
      <c r="DW17" s="83">
        <v>438.11735399999998</v>
      </c>
      <c r="DX17" s="83">
        <v>333.43457899999999</v>
      </c>
      <c r="DY17" s="83">
        <v>271.51762400000001</v>
      </c>
      <c r="DZ17" s="83">
        <v>340.82920999999999</v>
      </c>
      <c r="EA17" s="83">
        <v>275.23374200000001</v>
      </c>
      <c r="EB17" s="83">
        <v>297.81892800000003</v>
      </c>
      <c r="EC17" s="83">
        <v>207.37387000000001</v>
      </c>
      <c r="ED17" s="83">
        <v>453.19616600000001</v>
      </c>
      <c r="EE17" s="83">
        <v>349.07975599999997</v>
      </c>
      <c r="EF17" s="83">
        <v>272.308989</v>
      </c>
      <c r="EG17" s="83">
        <v>344.37079899999998</v>
      </c>
      <c r="EH17" s="83">
        <v>275.73528700000003</v>
      </c>
      <c r="EI17" s="83">
        <v>303.02309400000001</v>
      </c>
      <c r="EJ17" s="83">
        <v>208.36208400000001</v>
      </c>
      <c r="EK17" s="83">
        <v>433.13941799999998</v>
      </c>
      <c r="EL17" s="83">
        <v>335.03828199999998</v>
      </c>
      <c r="EM17" s="83">
        <v>261.64588700000002</v>
      </c>
      <c r="EN17" s="83">
        <v>331.13551699999999</v>
      </c>
      <c r="EO17" s="83">
        <v>263.59748200000001</v>
      </c>
      <c r="EP17" s="83">
        <v>291.14690899999999</v>
      </c>
      <c r="EQ17" s="83">
        <v>198.05193</v>
      </c>
      <c r="ER17" s="83">
        <v>428.55223100000001</v>
      </c>
      <c r="ES17" s="83">
        <v>328.52533499999998</v>
      </c>
      <c r="ET17" s="83">
        <v>248.561871</v>
      </c>
      <c r="EU17" s="83">
        <v>317.77175899999997</v>
      </c>
      <c r="EV17" s="83">
        <v>251.98709099999999</v>
      </c>
      <c r="EW17" s="83">
        <v>276.402468</v>
      </c>
      <c r="EX17" s="83">
        <v>193.06160299999999</v>
      </c>
      <c r="EY17" s="83">
        <v>440.21692999999999</v>
      </c>
      <c r="EZ17" s="83">
        <v>335.084746</v>
      </c>
      <c r="FA17" s="83">
        <v>275.90190200000001</v>
      </c>
      <c r="FB17" s="83">
        <v>343.27088900000001</v>
      </c>
      <c r="FC17" s="83">
        <v>279.30604599999998</v>
      </c>
      <c r="FD17" s="83">
        <v>302.716812</v>
      </c>
      <c r="FE17" s="83">
        <v>210.823903</v>
      </c>
      <c r="FF17" s="83">
        <v>423.875091</v>
      </c>
      <c r="FG17" s="83">
        <v>328.558492</v>
      </c>
      <c r="FH17" s="83">
        <v>265.907669</v>
      </c>
      <c r="FI17" s="83">
        <v>331.837244</v>
      </c>
      <c r="FJ17" s="83">
        <v>266.03173500000003</v>
      </c>
      <c r="FK17" s="83">
        <v>301.42143199999998</v>
      </c>
      <c r="FL17" s="83">
        <v>201.67886899999999</v>
      </c>
      <c r="FM17" s="83">
        <v>413.32877300000001</v>
      </c>
      <c r="FN17" s="83">
        <v>328.866265</v>
      </c>
      <c r="FO17" s="83">
        <v>240.84998300000001</v>
      </c>
      <c r="FP17" s="83">
        <v>305.836795</v>
      </c>
      <c r="FQ17" s="83">
        <v>242.15863400000001</v>
      </c>
      <c r="FR17" s="83">
        <v>268.901995</v>
      </c>
      <c r="FS17" s="83">
        <v>184.73969500000001</v>
      </c>
      <c r="FT17" s="83">
        <v>406.23930300000001</v>
      </c>
      <c r="FU17" s="83">
        <v>311.68169499999999</v>
      </c>
      <c r="FV17" s="83">
        <v>258.75622800000002</v>
      </c>
      <c r="FW17" s="83">
        <v>320.41084899999998</v>
      </c>
      <c r="FX17" s="83">
        <v>262.534423</v>
      </c>
      <c r="FY17" s="83">
        <v>284.146143</v>
      </c>
      <c r="FZ17" s="83">
        <v>203.506292</v>
      </c>
      <c r="GA17" s="83">
        <v>446.91267099999999</v>
      </c>
      <c r="GB17" s="83">
        <v>332.17907300000002</v>
      </c>
      <c r="GC17" s="83">
        <v>255.12400500000001</v>
      </c>
      <c r="GD17" s="83">
        <v>310.15722099999999</v>
      </c>
      <c r="GE17" s="83">
        <v>256.37078600000001</v>
      </c>
      <c r="GF17" s="83">
        <v>281.34920899999997</v>
      </c>
      <c r="GG17" s="83">
        <v>198.08979500000001</v>
      </c>
      <c r="GH17" s="83">
        <v>411.86813000000001</v>
      </c>
      <c r="GI17" s="83">
        <v>313.88392900000002</v>
      </c>
      <c r="GJ17" s="83">
        <v>248.629279</v>
      </c>
      <c r="GK17" s="83">
        <v>305.26373100000001</v>
      </c>
      <c r="GL17" s="83">
        <v>250.76291800000001</v>
      </c>
      <c r="GM17" s="83">
        <v>275.18139300000001</v>
      </c>
      <c r="GN17" s="83">
        <v>196.11498</v>
      </c>
      <c r="GO17" s="83">
        <v>409.30296499999997</v>
      </c>
      <c r="GP17" s="83">
        <v>312.21714900000001</v>
      </c>
      <c r="GQ17" s="83">
        <v>246.93303599999999</v>
      </c>
      <c r="GR17" s="83">
        <v>306.430677</v>
      </c>
      <c r="GS17" s="83">
        <v>248.75667100000001</v>
      </c>
      <c r="GT17" s="83">
        <v>272.78265199999998</v>
      </c>
      <c r="GU17" s="83">
        <v>191.95991799999999</v>
      </c>
      <c r="GV17" s="83">
        <v>444.90039999999999</v>
      </c>
      <c r="GW17" s="83">
        <v>331.901747</v>
      </c>
      <c r="GX17" s="83">
        <v>268.41628200000002</v>
      </c>
      <c r="GY17" s="83">
        <v>330.28489100000002</v>
      </c>
      <c r="GZ17" s="83">
        <v>272.82191799999998</v>
      </c>
      <c r="HA17" s="83">
        <v>293.08898099999999</v>
      </c>
      <c r="HB17" s="83">
        <v>210.596577</v>
      </c>
      <c r="HC17" s="83">
        <v>453.74712099999999</v>
      </c>
      <c r="HD17" s="83">
        <v>344.58196800000002</v>
      </c>
      <c r="HE17" s="83">
        <v>282.82534099999998</v>
      </c>
      <c r="HF17" s="83">
        <v>344.57592699999998</v>
      </c>
      <c r="HG17" s="83">
        <v>282.03948400000002</v>
      </c>
      <c r="HH17" s="83">
        <v>317.84001499999999</v>
      </c>
      <c r="HI17" s="83">
        <v>210.26486399999999</v>
      </c>
      <c r="HJ17" s="83">
        <v>450.19840599999998</v>
      </c>
      <c r="HK17" s="83">
        <v>350.216005</v>
      </c>
      <c r="HL17" s="83">
        <v>260.95171399999998</v>
      </c>
      <c r="HM17" s="83">
        <v>327.12449800000002</v>
      </c>
      <c r="HN17" s="83">
        <v>264.33265799999998</v>
      </c>
      <c r="HO17" s="83">
        <v>289.02212100000003</v>
      </c>
      <c r="HP17" s="83">
        <v>200.88816800000001</v>
      </c>
      <c r="HQ17" s="83">
        <v>440.14849199999998</v>
      </c>
      <c r="HR17" s="83">
        <v>334.15984700000001</v>
      </c>
      <c r="HS17" s="83">
        <v>266.17413900000003</v>
      </c>
      <c r="HT17" s="83">
        <v>331.50834900000001</v>
      </c>
      <c r="HU17" s="83">
        <v>268.295658</v>
      </c>
      <c r="HV17" s="83">
        <v>294.34259300000002</v>
      </c>
      <c r="HW17" s="83">
        <v>202.86491100000001</v>
      </c>
      <c r="HX17" s="83">
        <v>471.80002999999999</v>
      </c>
      <c r="HY17" s="83">
        <v>354.45079600000003</v>
      </c>
      <c r="HZ17" s="83">
        <v>286.55190399999998</v>
      </c>
      <c r="IA17" s="83">
        <v>350.32783999999998</v>
      </c>
      <c r="IB17" s="83">
        <v>290.13155</v>
      </c>
      <c r="IC17" s="83">
        <v>315.21924100000001</v>
      </c>
      <c r="ID17" s="83">
        <v>221.33334300000001</v>
      </c>
      <c r="IE17" s="83">
        <v>491.61574400000001</v>
      </c>
      <c r="IF17" s="83">
        <v>362.93136299999998</v>
      </c>
      <c r="IG17" s="83">
        <v>304.07295699999997</v>
      </c>
      <c r="IH17" s="83">
        <v>365.69765699999999</v>
      </c>
      <c r="II17" s="83">
        <v>305.49265600000001</v>
      </c>
      <c r="IJ17" s="83">
        <v>335.69442400000003</v>
      </c>
      <c r="IK17" s="83">
        <v>229.51162099999999</v>
      </c>
      <c r="IL17" s="83">
        <v>505.81795199999999</v>
      </c>
      <c r="IM17" s="83">
        <v>386.37520999999998</v>
      </c>
      <c r="IN17" s="83">
        <v>291.979153</v>
      </c>
      <c r="IO17" s="83">
        <v>359.471091</v>
      </c>
      <c r="IP17" s="83">
        <v>295.21720800000003</v>
      </c>
      <c r="IQ17" s="83">
        <v>323.11167699999999</v>
      </c>
      <c r="IR17" s="83">
        <v>223.24661399999999</v>
      </c>
      <c r="IS17" s="83">
        <v>524.04059600000005</v>
      </c>
      <c r="IT17" s="83">
        <v>399.40605199999999</v>
      </c>
      <c r="IU17" s="83">
        <v>318.91109299999999</v>
      </c>
      <c r="IV17" s="83">
        <v>401.97951599999999</v>
      </c>
      <c r="IW17" s="83">
        <v>322.48309599999999</v>
      </c>
      <c r="IX17" s="83">
        <v>353.09175399999998</v>
      </c>
      <c r="IY17" s="83">
        <v>234.05970199999999</v>
      </c>
      <c r="IZ17" s="83">
        <v>490.19555600000001</v>
      </c>
      <c r="JA17" s="83">
        <v>372.54173400000002</v>
      </c>
      <c r="JB17" s="83">
        <v>298.82370700000001</v>
      </c>
      <c r="JC17" s="83">
        <v>371.37025199999999</v>
      </c>
      <c r="JD17" s="83">
        <v>302.84860200000003</v>
      </c>
      <c r="JE17" s="83">
        <v>330.47616599999998</v>
      </c>
      <c r="JF17" s="83">
        <v>227.21930699999999</v>
      </c>
      <c r="JG17" s="83">
        <v>478.56047599999999</v>
      </c>
      <c r="JH17" s="83">
        <v>356.62452400000001</v>
      </c>
      <c r="JI17" s="83">
        <v>299.61466100000001</v>
      </c>
      <c r="JJ17" s="83">
        <v>355.873018</v>
      </c>
      <c r="JK17" s="83">
        <v>297.43455599999999</v>
      </c>
      <c r="JL17" s="83">
        <v>337.33553499999999</v>
      </c>
      <c r="JM17" s="83">
        <v>223.61090899999999</v>
      </c>
      <c r="JN17" s="83">
        <v>354.34244799999999</v>
      </c>
      <c r="JO17" s="83">
        <v>441.36381799999998</v>
      </c>
      <c r="JP17" s="83">
        <v>243.84806499999999</v>
      </c>
      <c r="JQ17" s="83">
        <v>299.800815</v>
      </c>
      <c r="JR17" s="83">
        <v>245.093479</v>
      </c>
      <c r="JS17" s="83">
        <v>342.93552899999997</v>
      </c>
      <c r="JT17" s="83">
        <v>362.32888700000001</v>
      </c>
      <c r="JU17" s="83">
        <v>317.69189799999998</v>
      </c>
      <c r="JV17" s="83">
        <v>316.123739</v>
      </c>
      <c r="JW17" s="83">
        <v>328.86388699999998</v>
      </c>
      <c r="JX17" s="83">
        <v>314.37205599999999</v>
      </c>
      <c r="JY17" s="83">
        <v>316.106719</v>
      </c>
      <c r="JZ17" s="83">
        <v>314.89961599999998</v>
      </c>
      <c r="KA17" s="83">
        <v>327.13355300000001</v>
      </c>
      <c r="KB17" s="83">
        <v>317.94311699999997</v>
      </c>
      <c r="KC17" s="83">
        <v>317.130021</v>
      </c>
      <c r="KD17" s="83">
        <v>331.84134999999998</v>
      </c>
      <c r="KE17" s="83">
        <v>318.802031</v>
      </c>
      <c r="KF17" s="83">
        <v>320.37156099999999</v>
      </c>
      <c r="KG17" s="83">
        <v>318.69588900000002</v>
      </c>
      <c r="KH17" s="83">
        <v>338.62240000000003</v>
      </c>
      <c r="KI17" s="83">
        <v>312.16643399999998</v>
      </c>
      <c r="KJ17" s="83">
        <v>310.19046100000003</v>
      </c>
      <c r="KK17" s="83">
        <v>324.00125200000002</v>
      </c>
      <c r="KL17" s="83">
        <v>308.92510499999997</v>
      </c>
      <c r="KM17" s="83">
        <v>310.450447</v>
      </c>
      <c r="KN17" s="83">
        <v>309.71154999999999</v>
      </c>
      <c r="KO17" s="83">
        <v>322.24438900000001</v>
      </c>
      <c r="KP17" s="83">
        <v>304.54469799999998</v>
      </c>
      <c r="KQ17" s="83">
        <v>303.34043000000003</v>
      </c>
      <c r="KR17" s="83">
        <v>316.91229700000002</v>
      </c>
      <c r="KS17" s="83">
        <v>303.30445600000002</v>
      </c>
      <c r="KT17" s="83">
        <v>304.69015000000002</v>
      </c>
      <c r="KU17" s="83">
        <v>303.45268499999997</v>
      </c>
      <c r="KV17" s="83">
        <v>323.40259300000002</v>
      </c>
      <c r="KW17" s="83">
        <v>308.66177099999999</v>
      </c>
      <c r="KX17" s="83">
        <v>307.34728200000001</v>
      </c>
      <c r="KY17" s="83">
        <v>320.83334500000001</v>
      </c>
      <c r="KZ17" s="83">
        <v>306.784471</v>
      </c>
      <c r="LA17" s="83">
        <v>308.63604800000002</v>
      </c>
      <c r="LB17" s="83">
        <v>307.17273999999998</v>
      </c>
      <c r="LC17" s="83">
        <v>319.202405</v>
      </c>
      <c r="LD17" s="83">
        <v>312.32400000000001</v>
      </c>
      <c r="LE17" s="83">
        <v>310.95645400000001</v>
      </c>
      <c r="LF17" s="83">
        <v>325.61022400000002</v>
      </c>
      <c r="LG17" s="83">
        <v>311.74347699999998</v>
      </c>
      <c r="LH17" s="83">
        <v>313.03905300000002</v>
      </c>
      <c r="LI17" s="83">
        <v>311.98307</v>
      </c>
      <c r="LJ17" s="83">
        <v>332.23594100000003</v>
      </c>
      <c r="LK17" s="83">
        <v>289.49225100000001</v>
      </c>
      <c r="LL17" s="83">
        <v>287.752208</v>
      </c>
      <c r="LM17" s="83">
        <v>302.90778499999999</v>
      </c>
      <c r="LN17" s="83">
        <v>288.167574</v>
      </c>
      <c r="LO17" s="83">
        <v>289.81437099999999</v>
      </c>
      <c r="LP17" s="83">
        <v>288.80370699999997</v>
      </c>
      <c r="LQ17" s="83">
        <v>301.16409599999997</v>
      </c>
      <c r="LR17" s="83">
        <v>297.774654</v>
      </c>
      <c r="LS17" s="83">
        <v>296.37649199999998</v>
      </c>
      <c r="LT17" s="83">
        <v>323.67988500000001</v>
      </c>
      <c r="LU17" s="83">
        <v>309.71284400000002</v>
      </c>
      <c r="LV17" s="83">
        <v>310.95961499999999</v>
      </c>
      <c r="LW17" s="83">
        <v>309.93434999999999</v>
      </c>
      <c r="LX17" s="83">
        <v>330.94390199999998</v>
      </c>
      <c r="LY17" s="83">
        <v>294.408523</v>
      </c>
      <c r="LZ17" s="83">
        <v>293.27247599999998</v>
      </c>
      <c r="MA17" s="83">
        <v>294.75236000000001</v>
      </c>
      <c r="MB17" s="83">
        <v>280.85944499999999</v>
      </c>
      <c r="MC17" s="83">
        <v>282.81926499999997</v>
      </c>
      <c r="MD17" s="83">
        <v>281.107033</v>
      </c>
      <c r="ME17" s="83">
        <v>293.02891199999999</v>
      </c>
      <c r="MF17" s="83">
        <v>308.53660100000002</v>
      </c>
      <c r="MG17" s="83">
        <v>307.433266</v>
      </c>
      <c r="MH17" s="83">
        <v>320.75006200000001</v>
      </c>
      <c r="MI17" s="83">
        <v>307.20881000000003</v>
      </c>
      <c r="MJ17" s="83">
        <v>308.59243099999998</v>
      </c>
      <c r="MK17" s="83">
        <v>307.23661099999998</v>
      </c>
      <c r="ML17" s="83">
        <v>328.26647400000002</v>
      </c>
      <c r="MM17" s="83">
        <v>299.77968800000002</v>
      </c>
      <c r="MN17" s="83">
        <v>297.78682800000001</v>
      </c>
      <c r="MO17" s="83">
        <v>332.58003400000001</v>
      </c>
      <c r="MP17" s="83">
        <v>317.39670799999999</v>
      </c>
      <c r="MQ17" s="83">
        <v>318.92724900000002</v>
      </c>
      <c r="MR17" s="83">
        <v>318.17119300000002</v>
      </c>
      <c r="MS17" s="83">
        <v>330.73558200000002</v>
      </c>
      <c r="MT17" s="83">
        <v>281.68550299999998</v>
      </c>
      <c r="MU17" s="83">
        <v>281.65784000000002</v>
      </c>
      <c r="MV17" s="83">
        <v>276.483428</v>
      </c>
      <c r="MW17" s="83">
        <v>264.68595699999997</v>
      </c>
      <c r="MX17" s="83">
        <v>266.68663400000003</v>
      </c>
      <c r="MY17" s="83">
        <v>264.137789</v>
      </c>
      <c r="MZ17" s="83">
        <v>282.655644</v>
      </c>
      <c r="NA17" s="83">
        <v>291.83837299999999</v>
      </c>
      <c r="NB17" s="83">
        <v>290.08073400000001</v>
      </c>
      <c r="NC17" s="83">
        <v>305.28017699999998</v>
      </c>
      <c r="ND17" s="83">
        <v>290.47312199999999</v>
      </c>
      <c r="NE17" s="83">
        <v>292.11785200000003</v>
      </c>
      <c r="NF17" s="83">
        <v>291.10898400000002</v>
      </c>
      <c r="NG17" s="83">
        <v>303.491872</v>
      </c>
      <c r="NH17" s="83">
        <v>297.52948199999997</v>
      </c>
      <c r="NI17" s="83">
        <v>296.68135999999998</v>
      </c>
      <c r="NJ17" s="83">
        <v>305.55574999999999</v>
      </c>
      <c r="NK17" s="83">
        <v>292.40782100000001</v>
      </c>
      <c r="NL17" s="83">
        <v>293.92531100000002</v>
      </c>
      <c r="NM17" s="83">
        <v>292.28511600000002</v>
      </c>
      <c r="NN17" s="83">
        <v>312.99420700000002</v>
      </c>
      <c r="NO17" s="83">
        <v>309.19701199999997</v>
      </c>
      <c r="NP17" s="83">
        <v>306.93873300000001</v>
      </c>
      <c r="NQ17" s="83">
        <v>327.374326</v>
      </c>
      <c r="NR17" s="83">
        <v>311.69389100000001</v>
      </c>
      <c r="NS17" s="83">
        <v>313.10769699999997</v>
      </c>
      <c r="NT17" s="83">
        <v>312.60484200000002</v>
      </c>
      <c r="NU17" s="83">
        <v>325.39071300000001</v>
      </c>
      <c r="NV17" s="83">
        <v>300.72557399999999</v>
      </c>
      <c r="NW17" s="83">
        <v>300.36127299999998</v>
      </c>
      <c r="NX17" s="83">
        <v>312.08362099999999</v>
      </c>
      <c r="NY17" s="83">
        <v>299.58518500000002</v>
      </c>
      <c r="NZ17" s="83">
        <v>301.29689999999999</v>
      </c>
      <c r="OA17" s="83">
        <v>299.111243</v>
      </c>
      <c r="OB17" s="83">
        <v>320.51824900000003</v>
      </c>
      <c r="OC17" s="83">
        <v>298.67588999999998</v>
      </c>
      <c r="OD17" s="83">
        <v>297.12033600000001</v>
      </c>
      <c r="OE17" s="83">
        <v>329.01414699999998</v>
      </c>
      <c r="OF17" s="83">
        <v>314.32315899999998</v>
      </c>
      <c r="OG17" s="83">
        <v>316.10057699999999</v>
      </c>
      <c r="OH17" s="83">
        <v>314.78314599999999</v>
      </c>
      <c r="OI17" s="83">
        <v>327.05801400000001</v>
      </c>
      <c r="OJ17" s="83">
        <v>310.389273</v>
      </c>
      <c r="OK17" s="83">
        <v>309.80119300000001</v>
      </c>
      <c r="OL17" s="83">
        <v>305.79813300000001</v>
      </c>
      <c r="OM17" s="83">
        <v>292.92514199999999</v>
      </c>
      <c r="ON17" s="83">
        <v>294.50122399999998</v>
      </c>
      <c r="OO17" s="83">
        <v>292.56298600000002</v>
      </c>
      <c r="OP17" s="83">
        <v>314.652107</v>
      </c>
      <c r="OQ17" s="83">
        <v>298.01228200000003</v>
      </c>
      <c r="OR17" s="83">
        <v>295.92539199999999</v>
      </c>
      <c r="OS17" s="83">
        <v>311.846024</v>
      </c>
      <c r="OT17" s="83">
        <v>296.38868300000001</v>
      </c>
      <c r="OU17" s="83">
        <v>297.89421599999997</v>
      </c>
      <c r="OV17" s="83">
        <v>297.18469299999998</v>
      </c>
      <c r="OW17" s="83">
        <v>309.85013199999997</v>
      </c>
      <c r="OX17" s="83">
        <v>306.94628999999998</v>
      </c>
      <c r="OY17" s="83">
        <v>306.10654</v>
      </c>
      <c r="OZ17" s="83">
        <v>312.39616999999998</v>
      </c>
      <c r="PA17" s="83">
        <v>299.19604700000002</v>
      </c>
      <c r="PB17" s="83">
        <v>300.67765600000001</v>
      </c>
      <c r="PC17" s="83">
        <v>299.023866</v>
      </c>
      <c r="PD17" s="83">
        <v>320.60518000000002</v>
      </c>
      <c r="PE17" s="83">
        <v>315.850212</v>
      </c>
      <c r="PF17" s="83">
        <v>313.995542</v>
      </c>
      <c r="PG17" s="83">
        <v>336.46885099999997</v>
      </c>
      <c r="PH17" s="83">
        <v>321.29877099999999</v>
      </c>
      <c r="PI17" s="83">
        <v>322.93111099999999</v>
      </c>
      <c r="PJ17" s="83">
        <v>321.93482</v>
      </c>
      <c r="PK17" s="83">
        <v>334.44054499999999</v>
      </c>
      <c r="PL17" s="83">
        <v>304.91137099999997</v>
      </c>
      <c r="PM17" s="83">
        <v>304.072518</v>
      </c>
      <c r="PN17" s="83">
        <v>316.80415699999998</v>
      </c>
      <c r="PO17" s="83">
        <v>303.606156</v>
      </c>
      <c r="PP17" s="83">
        <v>305.08873599999998</v>
      </c>
      <c r="PQ17" s="83">
        <v>303.43404099999998</v>
      </c>
      <c r="PR17" s="83">
        <v>325.003556</v>
      </c>
      <c r="PS17" s="83">
        <v>303.01946199999998</v>
      </c>
      <c r="PT17" s="83">
        <v>300.32399600000002</v>
      </c>
      <c r="PU17" s="83">
        <v>317.51278500000001</v>
      </c>
      <c r="PV17" s="83">
        <v>301.24295599999999</v>
      </c>
      <c r="PW17" s="83">
        <v>302.42617300000001</v>
      </c>
      <c r="PX17" s="83">
        <v>302.44172200000003</v>
      </c>
      <c r="PY17" s="83">
        <v>315.53951699999999</v>
      </c>
      <c r="PZ17" s="83">
        <v>286.229693</v>
      </c>
      <c r="QA17" s="83">
        <v>285.66768999999999</v>
      </c>
      <c r="QB17" s="83">
        <v>297.87111399999998</v>
      </c>
      <c r="QC17" s="83">
        <v>285.20475699999997</v>
      </c>
      <c r="QD17" s="83">
        <v>286.89729</v>
      </c>
      <c r="QE17" s="83">
        <v>284.94093400000003</v>
      </c>
      <c r="QF17" s="83">
        <v>304.74235299999998</v>
      </c>
      <c r="QG17" s="83">
        <v>272.49266299999999</v>
      </c>
      <c r="QH17" s="83">
        <v>271.34031299999998</v>
      </c>
      <c r="QI17" s="83">
        <v>285.23546399999998</v>
      </c>
      <c r="QJ17" s="83">
        <v>271.49501299999997</v>
      </c>
      <c r="QK17" s="83">
        <v>273.41710799999998</v>
      </c>
      <c r="QL17" s="83">
        <v>271.80117999999999</v>
      </c>
      <c r="QM17" s="83">
        <v>283.69446199999999</v>
      </c>
      <c r="QN17" s="83">
        <v>272.66800699999999</v>
      </c>
      <c r="QO17" s="83">
        <v>273.085621</v>
      </c>
      <c r="QP17" s="83">
        <v>283.22014799999999</v>
      </c>
      <c r="QQ17" s="83">
        <v>272.027287</v>
      </c>
      <c r="QR17" s="83">
        <v>274.21099700000002</v>
      </c>
      <c r="QS17" s="83">
        <v>271.16056200000003</v>
      </c>
    </row>
    <row r="18" spans="6:461" x14ac:dyDescent="0.25">
      <c r="F18" s="82" t="str">
        <f xml:space="preserve"> _xll.EPMOlapMemberO("[PRDDESCR].[].[HELGAS GFREE TRAD WHITE 470G]","","HELGAS GFREE TRAD WHITE 470G","","000")</f>
        <v>HELGAS GFREE TRAD WHITE 470G</v>
      </c>
      <c r="G18" s="82" t="str">
        <f xml:space="preserve"> _xll.EPMOlapMemberO("[PRDID].[].[168846]","","168846","","000")</f>
        <v>168846</v>
      </c>
      <c r="H18" s="82" t="str">
        <f xml:space="preserve"> _xll.EPMOlapMemberO("[LOCID].[].[6110]","","6110","","000")</f>
        <v>6110</v>
      </c>
      <c r="I18" s="82" t="str">
        <f xml:space="preserve"> _xll.EPMOlapMemberO("[LOCDESCR].[].[QBA-Burleigh Heads]","","QBA-Burleigh Heads","","000")</f>
        <v>QBA-Burleigh Heads</v>
      </c>
      <c r="J18" s="82" t="str">
        <f xml:space="preserve"> _xll.EPMOlapMemberO("[KEY_FIGURES].[].[ZGFAPPROVEDFCSTQTY]","","Approved Forecast","","000")</f>
        <v>Approved Forecast</v>
      </c>
      <c r="K18" s="83">
        <v>799.378827</v>
      </c>
      <c r="L18" s="83">
        <v>551.79368199999999</v>
      </c>
      <c r="M18" s="83">
        <v>802.18254000000002</v>
      </c>
      <c r="N18" s="83">
        <v>580.80875800000001</v>
      </c>
      <c r="O18" s="83">
        <v>5.5953999999999997E-2</v>
      </c>
      <c r="P18" s="83">
        <v>1053.366689</v>
      </c>
      <c r="Q18" s="83">
        <v>516.59129199999995</v>
      </c>
      <c r="R18" s="83">
        <v>824.91975000000002</v>
      </c>
      <c r="S18" s="83">
        <v>557.60011499999996</v>
      </c>
      <c r="T18" s="83">
        <v>816.20175600000005</v>
      </c>
      <c r="U18" s="83">
        <v>581.52209800000003</v>
      </c>
      <c r="V18" s="83">
        <v>0</v>
      </c>
      <c r="W18" s="83">
        <v>960.49337200000002</v>
      </c>
      <c r="X18" s="83">
        <v>485.04363000000001</v>
      </c>
      <c r="Y18" s="83">
        <v>777.034267</v>
      </c>
      <c r="Z18" s="83">
        <v>532.99512700000002</v>
      </c>
      <c r="AA18" s="83">
        <v>753.97562300000004</v>
      </c>
      <c r="AB18" s="83">
        <v>526.264366</v>
      </c>
      <c r="AC18" s="83">
        <v>3.1327000000000001E-2</v>
      </c>
      <c r="AD18" s="83">
        <v>1007.251337</v>
      </c>
      <c r="AE18" s="83">
        <v>495.34625699999998</v>
      </c>
      <c r="AF18" s="83">
        <v>801.777871</v>
      </c>
      <c r="AG18" s="83">
        <v>551.01804300000003</v>
      </c>
      <c r="AH18" s="83">
        <v>766.35655399999996</v>
      </c>
      <c r="AI18" s="83">
        <v>531.86004600000001</v>
      </c>
      <c r="AJ18" s="83">
        <v>2.9939E-2</v>
      </c>
      <c r="AK18" s="83">
        <v>967.76454000000001</v>
      </c>
      <c r="AL18" s="83">
        <v>446.79907500000002</v>
      </c>
      <c r="AM18" s="83">
        <v>735.27284899999995</v>
      </c>
      <c r="AN18" s="83">
        <v>493.542798</v>
      </c>
      <c r="AO18" s="83">
        <v>709.46390399999996</v>
      </c>
      <c r="AP18" s="83">
        <v>506.940922</v>
      </c>
      <c r="AQ18" s="83">
        <v>3.0544999999999999E-2</v>
      </c>
      <c r="AR18" s="83">
        <v>980.563581</v>
      </c>
      <c r="AS18" s="83">
        <v>481.14182199999999</v>
      </c>
      <c r="AT18" s="83">
        <v>779.91124000000002</v>
      </c>
      <c r="AU18" s="83">
        <v>533.30336599999998</v>
      </c>
      <c r="AV18" s="83">
        <v>741.28218700000002</v>
      </c>
      <c r="AW18" s="83">
        <v>514.83153000000004</v>
      </c>
      <c r="AX18" s="83">
        <v>3.1951E-2</v>
      </c>
      <c r="AY18" s="83">
        <v>1089.449239</v>
      </c>
      <c r="AZ18" s="83">
        <v>501.68494399999997</v>
      </c>
      <c r="BA18" s="83">
        <v>823.90325700000005</v>
      </c>
      <c r="BB18" s="83">
        <v>556.48791700000004</v>
      </c>
      <c r="BC18" s="83">
        <v>795.57461000000001</v>
      </c>
      <c r="BD18" s="83">
        <v>566.03944300000001</v>
      </c>
      <c r="BE18" s="83">
        <v>3.1670999999999998E-2</v>
      </c>
      <c r="BF18" s="83">
        <v>1056.3590939999999</v>
      </c>
      <c r="BG18" s="83">
        <v>515.69791999999995</v>
      </c>
      <c r="BH18" s="83">
        <v>823.30786799999998</v>
      </c>
      <c r="BI18" s="83">
        <v>534.75980100000004</v>
      </c>
      <c r="BJ18" s="83">
        <v>793.411472</v>
      </c>
      <c r="BK18" s="83">
        <v>581.72613000000001</v>
      </c>
      <c r="BL18" s="83">
        <v>3.1695000000000001E-2</v>
      </c>
      <c r="BM18" s="83">
        <v>998.31083000000001</v>
      </c>
      <c r="BN18" s="83">
        <v>514.39419699999996</v>
      </c>
      <c r="BO18" s="83">
        <v>845.35070099999996</v>
      </c>
      <c r="BP18" s="83">
        <v>539.27423899999997</v>
      </c>
      <c r="BQ18" s="83">
        <v>795.08610499999998</v>
      </c>
      <c r="BR18" s="83">
        <v>576.84099800000001</v>
      </c>
      <c r="BS18" s="83">
        <v>3.3346000000000001E-2</v>
      </c>
      <c r="BT18" s="83">
        <v>1030.540393</v>
      </c>
      <c r="BU18" s="83">
        <v>516.76202499999999</v>
      </c>
      <c r="BV18" s="83">
        <v>818.50857699999995</v>
      </c>
      <c r="BW18" s="83">
        <v>532.64846</v>
      </c>
      <c r="BX18" s="83">
        <v>788.60861399999999</v>
      </c>
      <c r="BY18" s="83">
        <v>567.12004400000001</v>
      </c>
      <c r="BZ18" s="83">
        <v>3.107E-2</v>
      </c>
      <c r="CA18" s="83">
        <v>965.40842599999996</v>
      </c>
      <c r="CB18" s="83">
        <v>480.96554300000003</v>
      </c>
      <c r="CC18" s="83">
        <v>751.66574400000002</v>
      </c>
      <c r="CD18" s="83">
        <v>496.388327</v>
      </c>
      <c r="CE18" s="83">
        <v>733.37240999999995</v>
      </c>
      <c r="CF18" s="83">
        <v>532.84487300000001</v>
      </c>
      <c r="CG18" s="83">
        <v>3.3463E-2</v>
      </c>
      <c r="CH18" s="83">
        <v>1091.716316</v>
      </c>
      <c r="CI18" s="83">
        <v>525.36305300000004</v>
      </c>
      <c r="CJ18" s="83">
        <v>872.76457800000003</v>
      </c>
      <c r="CK18" s="83">
        <v>552.82873400000005</v>
      </c>
      <c r="CL18" s="83">
        <v>835.26905199999999</v>
      </c>
      <c r="CM18" s="83">
        <v>618.35927900000002</v>
      </c>
      <c r="CN18" s="83">
        <v>3.4754E-2</v>
      </c>
      <c r="CO18" s="83">
        <v>1139.501244</v>
      </c>
      <c r="CP18" s="83">
        <v>569.18615899999998</v>
      </c>
      <c r="CQ18" s="83">
        <v>905.82905400000004</v>
      </c>
      <c r="CR18" s="83">
        <v>589.827946</v>
      </c>
      <c r="CS18" s="83">
        <v>874.01950899999997</v>
      </c>
      <c r="CT18" s="83">
        <v>633.16213300000004</v>
      </c>
      <c r="CU18" s="83">
        <v>3.2516000000000003E-2</v>
      </c>
      <c r="CV18" s="83">
        <v>1031.08017</v>
      </c>
      <c r="CW18" s="83">
        <v>531.91108799999995</v>
      </c>
      <c r="CX18" s="83">
        <v>849.78406399999994</v>
      </c>
      <c r="CY18" s="83">
        <v>551.422596</v>
      </c>
      <c r="CZ18" s="83">
        <v>814.65166799999997</v>
      </c>
      <c r="DA18" s="83">
        <v>597.94381199999998</v>
      </c>
      <c r="DB18" s="83">
        <v>3.1257E-2</v>
      </c>
      <c r="DC18" s="83">
        <v>1001.811739</v>
      </c>
      <c r="DD18" s="83">
        <v>480.84449999999998</v>
      </c>
      <c r="DE18" s="83">
        <v>781.24001199999998</v>
      </c>
      <c r="DF18" s="83">
        <v>501.23544199999998</v>
      </c>
      <c r="DG18" s="83">
        <v>734.37973</v>
      </c>
      <c r="DH18" s="83">
        <v>525.29719799999998</v>
      </c>
      <c r="DI18" s="83">
        <v>3.0446999999999998E-2</v>
      </c>
      <c r="DJ18" s="83">
        <v>1000.676327</v>
      </c>
      <c r="DK18" s="83">
        <v>501.96653099999997</v>
      </c>
      <c r="DL18" s="83">
        <v>794.25724300000002</v>
      </c>
      <c r="DM18" s="83">
        <v>520.17971199999999</v>
      </c>
      <c r="DN18" s="83">
        <v>767.39416400000005</v>
      </c>
      <c r="DO18" s="83">
        <v>553.05734299999995</v>
      </c>
      <c r="DP18" s="83">
        <v>3.0131000000000002E-2</v>
      </c>
      <c r="DQ18" s="83">
        <v>1065.111386</v>
      </c>
      <c r="DR18" s="83">
        <v>517.159177</v>
      </c>
      <c r="DS18" s="83">
        <v>824.65585799999997</v>
      </c>
      <c r="DT18" s="83">
        <v>537.64668900000004</v>
      </c>
      <c r="DU18" s="83">
        <v>790.335284</v>
      </c>
      <c r="DV18" s="83">
        <v>579.94934000000001</v>
      </c>
      <c r="DW18" s="83">
        <v>3.1064999999999999E-2</v>
      </c>
      <c r="DX18" s="83">
        <v>965.91549099999997</v>
      </c>
      <c r="DY18" s="83">
        <v>479.01129600000002</v>
      </c>
      <c r="DZ18" s="83">
        <v>789.49418400000002</v>
      </c>
      <c r="EA18" s="83">
        <v>502.76817799999998</v>
      </c>
      <c r="EB18" s="83">
        <v>755.04187999999999</v>
      </c>
      <c r="EC18" s="83">
        <v>553.89046800000006</v>
      </c>
      <c r="ED18" s="83">
        <v>2.945E-2</v>
      </c>
      <c r="EE18" s="83">
        <v>934.93978500000003</v>
      </c>
      <c r="EF18" s="83">
        <v>468.06789800000001</v>
      </c>
      <c r="EG18" s="83">
        <v>751.96202000000005</v>
      </c>
      <c r="EH18" s="83">
        <v>483.65716800000001</v>
      </c>
      <c r="EI18" s="83">
        <v>715.050253</v>
      </c>
      <c r="EJ18" s="83">
        <v>517.05050300000005</v>
      </c>
      <c r="EK18" s="83">
        <v>3.0453999999999998E-2</v>
      </c>
      <c r="EL18" s="83">
        <v>952.82630400000005</v>
      </c>
      <c r="EM18" s="83">
        <v>470.97389500000003</v>
      </c>
      <c r="EN18" s="83">
        <v>755.44786899999997</v>
      </c>
      <c r="EO18" s="83">
        <v>486.674735</v>
      </c>
      <c r="EP18" s="83">
        <v>724.00303499999995</v>
      </c>
      <c r="EQ18" s="83">
        <v>532.10773400000005</v>
      </c>
      <c r="ER18" s="83">
        <v>3.5302E-2</v>
      </c>
      <c r="ES18" s="83">
        <v>1185.3897239999999</v>
      </c>
      <c r="ET18" s="83">
        <v>561.56254899999999</v>
      </c>
      <c r="EU18" s="83">
        <v>922.09938599999998</v>
      </c>
      <c r="EV18" s="83">
        <v>589.40847399999996</v>
      </c>
      <c r="EW18" s="83">
        <v>874.72114299999998</v>
      </c>
      <c r="EX18" s="83">
        <v>636.48805000000004</v>
      </c>
      <c r="EY18" s="83">
        <v>3.2911000000000003E-2</v>
      </c>
      <c r="EZ18" s="83">
        <v>1118.1674270000001</v>
      </c>
      <c r="FA18" s="83">
        <v>582.13051099999996</v>
      </c>
      <c r="FB18" s="83">
        <v>919.23013700000001</v>
      </c>
      <c r="FC18" s="83">
        <v>606.06682599999999</v>
      </c>
      <c r="FD18" s="83">
        <v>888.63077599999997</v>
      </c>
      <c r="FE18" s="83">
        <v>640.53204200000005</v>
      </c>
      <c r="FF18" s="83">
        <v>3.5309E-2</v>
      </c>
      <c r="FG18" s="83">
        <v>1073.5395659999999</v>
      </c>
      <c r="FH18" s="83">
        <v>580.49954600000001</v>
      </c>
      <c r="FI18" s="83">
        <v>885.49616700000001</v>
      </c>
      <c r="FJ18" s="83">
        <v>597.91203900000005</v>
      </c>
      <c r="FK18" s="83">
        <v>859.960646</v>
      </c>
      <c r="FL18" s="83">
        <v>610.91104299999995</v>
      </c>
      <c r="FM18" s="83">
        <v>3.2452000000000002E-2</v>
      </c>
      <c r="FN18" s="83">
        <v>1068.982133</v>
      </c>
      <c r="FO18" s="83">
        <v>492.97949499999999</v>
      </c>
      <c r="FP18" s="83">
        <v>805.19358999999997</v>
      </c>
      <c r="FQ18" s="83">
        <v>515.13394200000005</v>
      </c>
      <c r="FR18" s="83">
        <v>767.13691100000005</v>
      </c>
      <c r="FS18" s="83">
        <v>556.72010299999999</v>
      </c>
      <c r="FT18" s="83">
        <v>3.1060999999999998E-2</v>
      </c>
      <c r="FU18" s="83">
        <v>974.268237</v>
      </c>
      <c r="FV18" s="83">
        <v>509.8338</v>
      </c>
      <c r="FW18" s="83">
        <v>819.25741700000003</v>
      </c>
      <c r="FX18" s="83">
        <v>528.85972300000003</v>
      </c>
      <c r="FY18" s="83">
        <v>782.54842199999996</v>
      </c>
      <c r="FZ18" s="83">
        <v>567.80541300000004</v>
      </c>
      <c r="GA18" s="83">
        <v>3.1011E-2</v>
      </c>
      <c r="GB18" s="83">
        <v>1040.4859570000001</v>
      </c>
      <c r="GC18" s="83">
        <v>499.95695000000001</v>
      </c>
      <c r="GD18" s="83">
        <v>787.22363800000005</v>
      </c>
      <c r="GE18" s="83">
        <v>515.89532199999996</v>
      </c>
      <c r="GF18" s="83">
        <v>752.52576299999998</v>
      </c>
      <c r="GG18" s="83">
        <v>544.00170800000001</v>
      </c>
      <c r="GH18" s="83">
        <v>2.9175E-2</v>
      </c>
      <c r="GI18" s="83">
        <v>925.97308099999998</v>
      </c>
      <c r="GJ18" s="83">
        <v>454.73585000000003</v>
      </c>
      <c r="GK18" s="83">
        <v>747.10258099999999</v>
      </c>
      <c r="GL18" s="83">
        <v>475.62563299999999</v>
      </c>
      <c r="GM18" s="83">
        <v>705.425119</v>
      </c>
      <c r="GN18" s="83">
        <v>512.43841499999996</v>
      </c>
      <c r="GO18" s="83">
        <v>2.8724E-2</v>
      </c>
      <c r="GP18" s="83">
        <v>975.026208</v>
      </c>
      <c r="GQ18" s="83">
        <v>483.08216299999998</v>
      </c>
      <c r="GR18" s="83">
        <v>778.82557699999995</v>
      </c>
      <c r="GS18" s="83">
        <v>502.39626500000003</v>
      </c>
      <c r="GT18" s="83">
        <v>746.141164</v>
      </c>
      <c r="GU18" s="83">
        <v>544.86164900000006</v>
      </c>
      <c r="GV18" s="83">
        <v>3.3022999999999997E-2</v>
      </c>
      <c r="GW18" s="83">
        <v>1094.3836570000001</v>
      </c>
      <c r="GX18" s="83">
        <v>549.99499800000001</v>
      </c>
      <c r="GY18" s="83">
        <v>866.17871200000002</v>
      </c>
      <c r="GZ18" s="83">
        <v>569.80546100000004</v>
      </c>
      <c r="HA18" s="83">
        <v>833.82266400000003</v>
      </c>
      <c r="HB18" s="83">
        <v>606.222668</v>
      </c>
      <c r="HC18" s="83">
        <v>3.2621999999999998E-2</v>
      </c>
      <c r="HD18" s="83">
        <v>1048.440533</v>
      </c>
      <c r="HE18" s="83">
        <v>567.42759899999999</v>
      </c>
      <c r="HF18" s="83">
        <v>880.10150799999997</v>
      </c>
      <c r="HG18" s="83">
        <v>595.66821300000004</v>
      </c>
      <c r="HH18" s="83">
        <v>835.27657499999998</v>
      </c>
      <c r="HI18" s="83">
        <v>573.07353699999999</v>
      </c>
      <c r="HJ18" s="83">
        <v>3.0761E-2</v>
      </c>
      <c r="HK18" s="83">
        <v>1039.015799</v>
      </c>
      <c r="HL18" s="83">
        <v>494.15231999999997</v>
      </c>
      <c r="HM18" s="83">
        <v>772.60080900000003</v>
      </c>
      <c r="HN18" s="83">
        <v>509.95827300000002</v>
      </c>
      <c r="HO18" s="83">
        <v>745.32697599999995</v>
      </c>
      <c r="HP18" s="83">
        <v>529.79061899999999</v>
      </c>
      <c r="HQ18" s="83">
        <v>3.0373000000000001E-2</v>
      </c>
      <c r="HR18" s="83">
        <v>1029.556366</v>
      </c>
      <c r="HS18" s="83">
        <v>514.826368</v>
      </c>
      <c r="HT18" s="83">
        <v>823.36140799999998</v>
      </c>
      <c r="HU18" s="83">
        <v>534.09561599999995</v>
      </c>
      <c r="HV18" s="83">
        <v>788.94734000000005</v>
      </c>
      <c r="HW18" s="83">
        <v>578.99902499999996</v>
      </c>
      <c r="HX18" s="83">
        <v>3.3791000000000002E-2</v>
      </c>
      <c r="HY18" s="83">
        <v>1159.171067</v>
      </c>
      <c r="HZ18" s="83">
        <v>559.30190600000003</v>
      </c>
      <c r="IA18" s="83">
        <v>935.13138500000002</v>
      </c>
      <c r="IB18" s="83">
        <v>591.78474700000004</v>
      </c>
      <c r="IC18" s="83">
        <v>897.24819000000002</v>
      </c>
      <c r="ID18" s="83">
        <v>670.36691599999995</v>
      </c>
      <c r="IE18" s="83">
        <v>3.4848999999999998E-2</v>
      </c>
      <c r="IF18" s="83">
        <v>1146.2857839999999</v>
      </c>
      <c r="IG18" s="83">
        <v>600.37634600000001</v>
      </c>
      <c r="IH18" s="83">
        <v>941.89604499999996</v>
      </c>
      <c r="II18" s="83">
        <v>623.30315199999995</v>
      </c>
      <c r="IJ18" s="83">
        <v>912.35503100000005</v>
      </c>
      <c r="IK18" s="83">
        <v>653.92798000000005</v>
      </c>
      <c r="IL18" s="83">
        <v>3.5855999999999999E-2</v>
      </c>
      <c r="IM18" s="83">
        <v>1189.7141549999999</v>
      </c>
      <c r="IN18" s="83">
        <v>556.07492000000002</v>
      </c>
      <c r="IO18" s="83">
        <v>894.66918899999996</v>
      </c>
      <c r="IP18" s="83">
        <v>575.86208799999997</v>
      </c>
      <c r="IQ18" s="83">
        <v>862.15319</v>
      </c>
      <c r="IR18" s="83">
        <v>637.49696100000006</v>
      </c>
      <c r="IS18" s="83">
        <v>3.5945999999999999E-2</v>
      </c>
      <c r="IT18" s="83">
        <v>1117.1497099999999</v>
      </c>
      <c r="IU18" s="83">
        <v>545.63492199999996</v>
      </c>
      <c r="IV18" s="83">
        <v>893.64290300000005</v>
      </c>
      <c r="IW18" s="83">
        <v>572.35507600000005</v>
      </c>
      <c r="IX18" s="83">
        <v>862.307502</v>
      </c>
      <c r="IY18" s="83">
        <v>632.10586799999999</v>
      </c>
      <c r="IZ18" s="83">
        <v>3.5896999999999998E-2</v>
      </c>
      <c r="JA18" s="83">
        <v>1124.3413439999999</v>
      </c>
      <c r="JB18" s="83">
        <v>566.00785199999996</v>
      </c>
      <c r="JC18" s="83">
        <v>898.97821099999999</v>
      </c>
      <c r="JD18" s="83">
        <v>585.81140400000004</v>
      </c>
      <c r="JE18" s="83">
        <v>873.34862699999996</v>
      </c>
      <c r="JF18" s="83">
        <v>633.16311700000006</v>
      </c>
      <c r="JG18" s="83">
        <v>3.2215000000000001E-2</v>
      </c>
      <c r="JH18" s="83">
        <v>1043.855902</v>
      </c>
      <c r="JI18" s="83">
        <v>611.28602999999998</v>
      </c>
      <c r="JJ18" s="83">
        <v>872.40008599999999</v>
      </c>
      <c r="JK18" s="83">
        <v>626.82320400000003</v>
      </c>
      <c r="JL18" s="83">
        <v>846.66633000000002</v>
      </c>
      <c r="JM18" s="83">
        <v>566.20290399999999</v>
      </c>
      <c r="JN18" s="83">
        <v>1.041782</v>
      </c>
      <c r="JO18" s="83">
        <v>1857.652677</v>
      </c>
      <c r="JP18" s="83">
        <v>821.84544200000005</v>
      </c>
      <c r="JQ18" s="83">
        <v>1405.0563959999999</v>
      </c>
      <c r="JR18" s="83">
        <v>833.55529200000001</v>
      </c>
      <c r="JS18" s="83">
        <v>0.99892499999999995</v>
      </c>
      <c r="JT18" s="83">
        <v>1.065831</v>
      </c>
      <c r="JU18" s="83">
        <v>644.10060199999998</v>
      </c>
      <c r="JV18" s="83">
        <v>702.25748099999998</v>
      </c>
      <c r="JW18" s="83">
        <v>778.84020699999996</v>
      </c>
      <c r="JX18" s="83">
        <v>719.90427799999998</v>
      </c>
      <c r="JY18" s="83">
        <v>710.33784400000002</v>
      </c>
      <c r="JZ18" s="83">
        <v>660.12302399999999</v>
      </c>
      <c r="KA18" s="83">
        <v>722.31085399999995</v>
      </c>
      <c r="KB18" s="83">
        <v>621.76503400000001</v>
      </c>
      <c r="KC18" s="83">
        <v>682.72388899999999</v>
      </c>
      <c r="KD18" s="83">
        <v>764.88877300000001</v>
      </c>
      <c r="KE18" s="83">
        <v>704.93279700000005</v>
      </c>
      <c r="KF18" s="83">
        <v>694.99725999999998</v>
      </c>
      <c r="KG18" s="83">
        <v>643.91200000000003</v>
      </c>
      <c r="KH18" s="83">
        <v>738.74675000000002</v>
      </c>
      <c r="KI18" s="83">
        <v>614.76027899999997</v>
      </c>
      <c r="KJ18" s="83">
        <v>676.21259599999996</v>
      </c>
      <c r="KK18" s="83">
        <v>742.08288200000004</v>
      </c>
      <c r="KL18" s="83">
        <v>702.32574999999997</v>
      </c>
      <c r="KM18" s="83">
        <v>676.90195200000005</v>
      </c>
      <c r="KN18" s="83">
        <v>635.021117</v>
      </c>
      <c r="KO18" s="83">
        <v>726.93149500000004</v>
      </c>
      <c r="KP18" s="83">
        <v>546.01731800000005</v>
      </c>
      <c r="KQ18" s="83">
        <v>596.30270499999995</v>
      </c>
      <c r="KR18" s="83">
        <v>668.40167699999995</v>
      </c>
      <c r="KS18" s="83">
        <v>615.61869799999999</v>
      </c>
      <c r="KT18" s="83">
        <v>605.200694</v>
      </c>
      <c r="KU18" s="83">
        <v>564.48285599999997</v>
      </c>
      <c r="KV18" s="83">
        <v>620.66209500000002</v>
      </c>
      <c r="KW18" s="83">
        <v>595.22207700000001</v>
      </c>
      <c r="KX18" s="83">
        <v>653.03658199999995</v>
      </c>
      <c r="KY18" s="83">
        <v>725.27404000000001</v>
      </c>
      <c r="KZ18" s="83">
        <v>668.88196600000003</v>
      </c>
      <c r="LA18" s="83">
        <v>659.78645300000005</v>
      </c>
      <c r="LB18" s="83">
        <v>611.20767899999998</v>
      </c>
      <c r="LC18" s="83">
        <v>700.02821600000004</v>
      </c>
      <c r="LD18" s="83">
        <v>559.52925300000004</v>
      </c>
      <c r="LE18" s="83">
        <v>615.92667500000005</v>
      </c>
      <c r="LF18" s="83">
        <v>681.05514900000003</v>
      </c>
      <c r="LG18" s="83">
        <v>643.01810999999998</v>
      </c>
      <c r="LH18" s="83">
        <v>623.21234900000002</v>
      </c>
      <c r="LI18" s="83">
        <v>580.86941100000001</v>
      </c>
      <c r="LJ18" s="83">
        <v>659.59021299999995</v>
      </c>
      <c r="LK18" s="83">
        <v>546.23476800000003</v>
      </c>
      <c r="LL18" s="83">
        <v>596.62473999999997</v>
      </c>
      <c r="LM18" s="83">
        <v>666.88901399999997</v>
      </c>
      <c r="LN18" s="83">
        <v>615.24885300000005</v>
      </c>
      <c r="LO18" s="83">
        <v>605.58537799999999</v>
      </c>
      <c r="LP18" s="83">
        <v>563.68396399999995</v>
      </c>
      <c r="LQ18" s="83">
        <v>618.10882900000001</v>
      </c>
      <c r="LR18" s="83">
        <v>558.80764999999997</v>
      </c>
      <c r="LS18" s="83">
        <v>614.19059700000003</v>
      </c>
      <c r="LT18" s="83">
        <v>714.09846900000002</v>
      </c>
      <c r="LU18" s="83">
        <v>657.78962000000001</v>
      </c>
      <c r="LV18" s="83">
        <v>647.83619199999998</v>
      </c>
      <c r="LW18" s="83">
        <v>601.21000400000003</v>
      </c>
      <c r="LX18" s="83">
        <v>691.29123900000002</v>
      </c>
      <c r="LY18" s="83">
        <v>582.93950800000005</v>
      </c>
      <c r="LZ18" s="83">
        <v>640.42497100000003</v>
      </c>
      <c r="MA18" s="83">
        <v>674.56373099999996</v>
      </c>
      <c r="MB18" s="83">
        <v>637.89595699999995</v>
      </c>
      <c r="MC18" s="83">
        <v>616.83963300000005</v>
      </c>
      <c r="MD18" s="83">
        <v>576.56161699999996</v>
      </c>
      <c r="ME18" s="83">
        <v>657.42670099999998</v>
      </c>
      <c r="MF18" s="83">
        <v>564.17524100000003</v>
      </c>
      <c r="MG18" s="83">
        <v>615.51286400000004</v>
      </c>
      <c r="MH18" s="83">
        <v>688.68999399999996</v>
      </c>
      <c r="MI18" s="83">
        <v>635.36104599999999</v>
      </c>
      <c r="MJ18" s="83">
        <v>625.75493600000004</v>
      </c>
      <c r="MK18" s="83">
        <v>582.76958400000001</v>
      </c>
      <c r="ML18" s="83">
        <v>639.41578400000003</v>
      </c>
      <c r="MM18" s="83">
        <v>539.33881699999995</v>
      </c>
      <c r="MN18" s="83">
        <v>592.97691199999997</v>
      </c>
      <c r="MO18" s="83">
        <v>699.89531299999999</v>
      </c>
      <c r="MP18" s="83">
        <v>645.58079599999996</v>
      </c>
      <c r="MQ18" s="83">
        <v>636.91377799999998</v>
      </c>
      <c r="MR18" s="83">
        <v>589.53226900000004</v>
      </c>
      <c r="MS18" s="83">
        <v>673.92211999999995</v>
      </c>
      <c r="MT18" s="83">
        <v>552.99535300000002</v>
      </c>
      <c r="MU18" s="83">
        <v>607.34142199999997</v>
      </c>
      <c r="MV18" s="83">
        <v>631.95343500000001</v>
      </c>
      <c r="MW18" s="83">
        <v>596.90275399999996</v>
      </c>
      <c r="MX18" s="83">
        <v>577.87022100000002</v>
      </c>
      <c r="MY18" s="83">
        <v>539.66903100000002</v>
      </c>
      <c r="MZ18" s="83">
        <v>612.88120000000004</v>
      </c>
      <c r="NA18" s="83">
        <v>545.72729700000002</v>
      </c>
      <c r="NB18" s="83">
        <v>596.68343000000004</v>
      </c>
      <c r="NC18" s="83">
        <v>668.02091199999995</v>
      </c>
      <c r="ND18" s="83">
        <v>615.52740600000004</v>
      </c>
      <c r="NE18" s="83">
        <v>605.36193000000003</v>
      </c>
      <c r="NF18" s="83">
        <v>563.53277400000002</v>
      </c>
      <c r="NG18" s="83">
        <v>618.93591300000003</v>
      </c>
      <c r="NH18" s="83">
        <v>562.07048499999996</v>
      </c>
      <c r="NI18" s="83">
        <v>617.586994</v>
      </c>
      <c r="NJ18" s="83">
        <v>680.03999299999998</v>
      </c>
      <c r="NK18" s="83">
        <v>625.53685900000005</v>
      </c>
      <c r="NL18" s="83">
        <v>615.53547800000001</v>
      </c>
      <c r="NM18" s="83">
        <v>571.26133800000002</v>
      </c>
      <c r="NN18" s="83">
        <v>659.20621500000004</v>
      </c>
      <c r="NO18" s="83">
        <v>580.05375500000002</v>
      </c>
      <c r="NP18" s="83">
        <v>636.98562400000003</v>
      </c>
      <c r="NQ18" s="83">
        <v>711.28797799999995</v>
      </c>
      <c r="NR18" s="83">
        <v>672.99984600000005</v>
      </c>
      <c r="NS18" s="83">
        <v>652.66006600000003</v>
      </c>
      <c r="NT18" s="83">
        <v>609.46286999999995</v>
      </c>
      <c r="NU18" s="83">
        <v>691.21794499999999</v>
      </c>
      <c r="NV18" s="83">
        <v>513.91832699999998</v>
      </c>
      <c r="NW18" s="83">
        <v>561.59776699999998</v>
      </c>
      <c r="NX18" s="83">
        <v>628.88646500000004</v>
      </c>
      <c r="NY18" s="83">
        <v>579.46918300000004</v>
      </c>
      <c r="NZ18" s="83">
        <v>569.86841400000003</v>
      </c>
      <c r="OA18" s="83">
        <v>530.86094300000002</v>
      </c>
      <c r="OB18" s="83">
        <v>583.16634199999999</v>
      </c>
      <c r="OC18" s="83">
        <v>525.84305300000005</v>
      </c>
      <c r="OD18" s="83">
        <v>577.75579200000004</v>
      </c>
      <c r="OE18" s="83">
        <v>678.89545299999997</v>
      </c>
      <c r="OF18" s="83">
        <v>625.94829700000003</v>
      </c>
      <c r="OG18" s="83">
        <v>616.85123499999997</v>
      </c>
      <c r="OH18" s="83">
        <v>572.26921500000003</v>
      </c>
      <c r="OI18" s="83">
        <v>656.10578799999996</v>
      </c>
      <c r="OJ18" s="83">
        <v>519.65289499999994</v>
      </c>
      <c r="OK18" s="83">
        <v>571.50568899999996</v>
      </c>
      <c r="OL18" s="83">
        <v>596.57984299999998</v>
      </c>
      <c r="OM18" s="83">
        <v>562.89858300000003</v>
      </c>
      <c r="ON18" s="83">
        <v>545.12656500000003</v>
      </c>
      <c r="OO18" s="83">
        <v>508.18764299999998</v>
      </c>
      <c r="OP18" s="83">
        <v>577.420119</v>
      </c>
      <c r="OQ18" s="83">
        <v>517.18152699999996</v>
      </c>
      <c r="OR18" s="83">
        <v>564.51813400000003</v>
      </c>
      <c r="OS18" s="83">
        <v>632.516795</v>
      </c>
      <c r="OT18" s="83">
        <v>582.45341699999994</v>
      </c>
      <c r="OU18" s="83">
        <v>571.70984099999998</v>
      </c>
      <c r="OV18" s="83">
        <v>534.66159000000005</v>
      </c>
      <c r="OW18" s="83">
        <v>587.97822499999995</v>
      </c>
      <c r="OX18" s="83">
        <v>574.97083199999997</v>
      </c>
      <c r="OY18" s="83">
        <v>630.90437599999996</v>
      </c>
      <c r="OZ18" s="83">
        <v>686.99799399999995</v>
      </c>
      <c r="PA18" s="83">
        <v>633.17283099999997</v>
      </c>
      <c r="PB18" s="83">
        <v>624.10871599999996</v>
      </c>
      <c r="PC18" s="83">
        <v>578.32784400000003</v>
      </c>
      <c r="PD18" s="83">
        <v>663.09878300000003</v>
      </c>
      <c r="PE18" s="83">
        <v>568.89680299999998</v>
      </c>
      <c r="PF18" s="83">
        <v>625.31288700000005</v>
      </c>
      <c r="PG18" s="83">
        <v>705.35547699999995</v>
      </c>
      <c r="PH18" s="83">
        <v>666.63297799999998</v>
      </c>
      <c r="PI18" s="83">
        <v>647.976766</v>
      </c>
      <c r="PJ18" s="83">
        <v>603.16140099999996</v>
      </c>
      <c r="PK18" s="83">
        <v>682.298498</v>
      </c>
      <c r="PL18" s="83">
        <v>557.53717500000005</v>
      </c>
      <c r="PM18" s="83">
        <v>608.28346599999998</v>
      </c>
      <c r="PN18" s="83">
        <v>679.55089299999997</v>
      </c>
      <c r="PO18" s="83">
        <v>627.39347999999995</v>
      </c>
      <c r="PP18" s="83">
        <v>617.96661700000004</v>
      </c>
      <c r="PQ18" s="83">
        <v>575.36207200000001</v>
      </c>
      <c r="PR18" s="83">
        <v>630.47244000000001</v>
      </c>
      <c r="PS18" s="83">
        <v>550.48135600000001</v>
      </c>
      <c r="PT18" s="83">
        <v>605.57698800000003</v>
      </c>
      <c r="PU18" s="83">
        <v>675.74973199999999</v>
      </c>
      <c r="PV18" s="83">
        <v>621.49832100000003</v>
      </c>
      <c r="PW18" s="83">
        <v>611.32742900000005</v>
      </c>
      <c r="PX18" s="83">
        <v>567.05587200000002</v>
      </c>
      <c r="PY18" s="83">
        <v>653.21561199999996</v>
      </c>
      <c r="PZ18" s="83">
        <v>510.352101</v>
      </c>
      <c r="QA18" s="83">
        <v>563.17793500000005</v>
      </c>
      <c r="QB18" s="83">
        <v>622.74315100000001</v>
      </c>
      <c r="QC18" s="83">
        <v>587.91174899999999</v>
      </c>
      <c r="QD18" s="83">
        <v>566.85174700000005</v>
      </c>
      <c r="QE18" s="83">
        <v>529.97650799999997</v>
      </c>
      <c r="QF18" s="83">
        <v>607.09361999999999</v>
      </c>
      <c r="QG18" s="83">
        <v>580.51681699999995</v>
      </c>
      <c r="QH18" s="83">
        <v>634.35513200000003</v>
      </c>
      <c r="QI18" s="83">
        <v>708.65734399999997</v>
      </c>
      <c r="QJ18" s="83">
        <v>654.37553600000001</v>
      </c>
      <c r="QK18" s="83">
        <v>645.57183699999996</v>
      </c>
      <c r="QL18" s="83">
        <v>598.709881</v>
      </c>
      <c r="QM18" s="83">
        <v>655.70434599999999</v>
      </c>
      <c r="QN18" s="83">
        <v>610.34943699999997</v>
      </c>
      <c r="QO18" s="83">
        <v>670.38700700000004</v>
      </c>
      <c r="QP18" s="83">
        <v>747.212042</v>
      </c>
      <c r="QQ18" s="83">
        <v>688.19650899999999</v>
      </c>
      <c r="QR18" s="83">
        <v>677.95094400000005</v>
      </c>
      <c r="QS18" s="83">
        <v>628.56640200000004</v>
      </c>
    </row>
    <row r="19" spans="6:461" x14ac:dyDescent="0.25">
      <c r="F19" s="82" t="str">
        <f xml:space="preserve"> _xll.EPMOlapMemberO("[PRDDESCR].[].[HELGAS GFREE TRAD WHITE 470G]","","HELGAS GFREE TRAD WHITE 470G","","000")</f>
        <v>HELGAS GFREE TRAD WHITE 470G</v>
      </c>
      <c r="G19" s="82" t="str">
        <f xml:space="preserve"> _xll.EPMOlapMemberO("[PRDID].[].[168846]","","168846","","000")</f>
        <v>168846</v>
      </c>
      <c r="H19" s="82" t="str">
        <f xml:space="preserve"> _xll.EPMOlapMemberO("[LOCID].[].[6120]","","6120","","000")</f>
        <v>6120</v>
      </c>
      <c r="I19" s="82" t="str">
        <f xml:space="preserve"> _xll.EPMOlapMemberO("[LOCDESCR].[].[QBA-Hobart]","","QBA-Hobart","","000")</f>
        <v>QBA-Hobart</v>
      </c>
      <c r="J19" s="82" t="str">
        <f xml:space="preserve"> _xll.EPMOlapMemberO("[KEY_FIGURES].[].[ZGFAPPROVEDFCSTQTY]","","Approved Forecast","","000")</f>
        <v>Approved Forecast</v>
      </c>
      <c r="K19" s="83">
        <v>7.6055999999999999E-2</v>
      </c>
      <c r="L19" s="83">
        <v>149.66799900000001</v>
      </c>
      <c r="M19" s="83">
        <v>0</v>
      </c>
      <c r="N19" s="83">
        <v>0</v>
      </c>
      <c r="O19" s="83">
        <v>132.427156</v>
      </c>
      <c r="P19" s="83">
        <v>0.22816900000000001</v>
      </c>
      <c r="Q19" s="83">
        <v>91.489035999999999</v>
      </c>
      <c r="R19" s="83">
        <v>7.5414999999999996E-2</v>
      </c>
      <c r="S19" s="83">
        <v>149.17274</v>
      </c>
      <c r="T19" s="83">
        <v>0</v>
      </c>
      <c r="U19" s="83">
        <v>0</v>
      </c>
      <c r="V19" s="83">
        <v>152.67603800000001</v>
      </c>
      <c r="W19" s="83">
        <v>0.226247</v>
      </c>
      <c r="X19" s="83">
        <v>122.533749</v>
      </c>
      <c r="Y19" s="83">
        <v>7.3122000000000006E-2</v>
      </c>
      <c r="Z19" s="83">
        <v>187.02794800000001</v>
      </c>
      <c r="AA19" s="83">
        <v>0</v>
      </c>
      <c r="AB19" s="83">
        <v>0</v>
      </c>
      <c r="AC19" s="83">
        <v>164.01435799999999</v>
      </c>
      <c r="AD19" s="83">
        <v>0.219365</v>
      </c>
      <c r="AE19" s="83">
        <v>127.35561300000001</v>
      </c>
      <c r="AF19" s="83">
        <v>7.4963000000000002E-2</v>
      </c>
      <c r="AG19" s="83">
        <v>193.242805</v>
      </c>
      <c r="AH19" s="83">
        <v>0</v>
      </c>
      <c r="AI19" s="83">
        <v>0</v>
      </c>
      <c r="AJ19" s="83">
        <v>164.755831</v>
      </c>
      <c r="AK19" s="83">
        <v>0.224887</v>
      </c>
      <c r="AL19" s="83">
        <v>131.32378199999999</v>
      </c>
      <c r="AM19" s="83">
        <v>8.2286999999999999E-2</v>
      </c>
      <c r="AN19" s="83">
        <v>202.04558599999999</v>
      </c>
      <c r="AO19" s="83">
        <v>0</v>
      </c>
      <c r="AP19" s="83">
        <v>0</v>
      </c>
      <c r="AQ19" s="83">
        <v>181.67056400000001</v>
      </c>
      <c r="AR19" s="83">
        <v>0.26984599999999997</v>
      </c>
      <c r="AS19" s="83">
        <v>134.31119899999999</v>
      </c>
      <c r="AT19" s="83">
        <v>8.9948E-2</v>
      </c>
      <c r="AU19" s="83">
        <v>209.87010000000001</v>
      </c>
      <c r="AV19" s="83">
        <v>0</v>
      </c>
      <c r="AW19" s="83">
        <v>0</v>
      </c>
      <c r="AX19" s="83">
        <v>157.21050600000001</v>
      </c>
      <c r="AY19" s="83">
        <v>0.207648</v>
      </c>
      <c r="AZ19" s="83">
        <v>117.38158199999999</v>
      </c>
      <c r="BA19" s="83">
        <v>6.9216E-2</v>
      </c>
      <c r="BB19" s="83">
        <v>178.16895199999999</v>
      </c>
      <c r="BC19" s="83">
        <v>0</v>
      </c>
      <c r="BD19" s="83">
        <v>0</v>
      </c>
      <c r="BE19" s="83">
        <v>151.87642500000001</v>
      </c>
      <c r="BF19" s="83">
        <v>0.184693</v>
      </c>
      <c r="BG19" s="83">
        <v>130.04369</v>
      </c>
      <c r="BH19" s="83">
        <v>5.3474000000000001E-2</v>
      </c>
      <c r="BI19" s="83">
        <v>161.27680899999999</v>
      </c>
      <c r="BJ19" s="83">
        <v>0</v>
      </c>
      <c r="BK19" s="83">
        <v>0</v>
      </c>
      <c r="BL19" s="83">
        <v>168.81041099999999</v>
      </c>
      <c r="BM19" s="83">
        <v>0.19505900000000001</v>
      </c>
      <c r="BN19" s="83">
        <v>145.582211</v>
      </c>
      <c r="BO19" s="83">
        <v>6.5165000000000001E-2</v>
      </c>
      <c r="BP19" s="83">
        <v>181.21754200000001</v>
      </c>
      <c r="BQ19" s="83">
        <v>0</v>
      </c>
      <c r="BR19" s="83">
        <v>0</v>
      </c>
      <c r="BS19" s="83">
        <v>193.709091</v>
      </c>
      <c r="BT19" s="83">
        <v>0.21785599999999999</v>
      </c>
      <c r="BU19" s="83">
        <v>162.389681</v>
      </c>
      <c r="BV19" s="83">
        <v>7.2779999999999997E-2</v>
      </c>
      <c r="BW19" s="83">
        <v>202.150588</v>
      </c>
      <c r="BX19" s="83">
        <v>0</v>
      </c>
      <c r="BY19" s="83">
        <v>0</v>
      </c>
      <c r="BZ19" s="83">
        <v>138.11047300000001</v>
      </c>
      <c r="CA19" s="83">
        <v>0.17221</v>
      </c>
      <c r="CB19" s="83">
        <v>112.978745</v>
      </c>
      <c r="CC19" s="83">
        <v>5.7530999999999999E-2</v>
      </c>
      <c r="CD19" s="83">
        <v>141.49848</v>
      </c>
      <c r="CE19" s="83">
        <v>0</v>
      </c>
      <c r="CF19" s="83">
        <v>0</v>
      </c>
      <c r="CG19" s="83">
        <v>216.21737999999999</v>
      </c>
      <c r="CH19" s="83">
        <v>0.22911100000000001</v>
      </c>
      <c r="CI19" s="83">
        <v>183.75881100000001</v>
      </c>
      <c r="CJ19" s="83">
        <v>7.6539999999999997E-2</v>
      </c>
      <c r="CK19" s="83">
        <v>227.792565</v>
      </c>
      <c r="CL19" s="83">
        <v>0</v>
      </c>
      <c r="CM19" s="83">
        <v>0</v>
      </c>
      <c r="CN19" s="83">
        <v>201.460104</v>
      </c>
      <c r="CO19" s="83">
        <v>0.173819</v>
      </c>
      <c r="CP19" s="83">
        <v>178.094979</v>
      </c>
      <c r="CQ19" s="83">
        <v>5.8067000000000001E-2</v>
      </c>
      <c r="CR19" s="83">
        <v>218.35656599999999</v>
      </c>
      <c r="CS19" s="83">
        <v>0</v>
      </c>
      <c r="CT19" s="83">
        <v>0</v>
      </c>
      <c r="CU19" s="83">
        <v>258.39560299999999</v>
      </c>
      <c r="CV19" s="83">
        <v>0.21557699999999999</v>
      </c>
      <c r="CW19" s="83">
        <v>244.95973599999999</v>
      </c>
      <c r="CX19" s="83">
        <v>7.2019E-2</v>
      </c>
      <c r="CY19" s="83">
        <v>300.22039699999999</v>
      </c>
      <c r="CZ19" s="83">
        <v>0</v>
      </c>
      <c r="DA19" s="83">
        <v>0</v>
      </c>
      <c r="DB19" s="83">
        <v>250.335238</v>
      </c>
      <c r="DC19" s="83">
        <v>0.227268</v>
      </c>
      <c r="DD19" s="83">
        <v>205.87113500000001</v>
      </c>
      <c r="DE19" s="83">
        <v>7.5923000000000004E-2</v>
      </c>
      <c r="DF19" s="83">
        <v>254.24745899999999</v>
      </c>
      <c r="DG19" s="83">
        <v>0</v>
      </c>
      <c r="DH19" s="83">
        <v>0</v>
      </c>
      <c r="DI19" s="83">
        <v>208.16816600000001</v>
      </c>
      <c r="DJ19" s="83">
        <v>0.16139700000000001</v>
      </c>
      <c r="DK19" s="83">
        <v>186.61746199999999</v>
      </c>
      <c r="DL19" s="83">
        <v>5.3918000000000001E-2</v>
      </c>
      <c r="DM19" s="83">
        <v>228.56076400000001</v>
      </c>
      <c r="DN19" s="83">
        <v>0</v>
      </c>
      <c r="DO19" s="83">
        <v>0</v>
      </c>
      <c r="DP19" s="83">
        <v>242.265604</v>
      </c>
      <c r="DQ19" s="83">
        <v>0.213921</v>
      </c>
      <c r="DR19" s="83">
        <v>204.529348</v>
      </c>
      <c r="DS19" s="83">
        <v>7.1464E-2</v>
      </c>
      <c r="DT19" s="83">
        <v>252.07946699999999</v>
      </c>
      <c r="DU19" s="83">
        <v>0</v>
      </c>
      <c r="DV19" s="83">
        <v>0</v>
      </c>
      <c r="DW19" s="83">
        <v>214.57979499999999</v>
      </c>
      <c r="DX19" s="83">
        <v>0.168352</v>
      </c>
      <c r="DY19" s="83">
        <v>200.53648000000001</v>
      </c>
      <c r="DZ19" s="83">
        <v>5.6240999999999999E-2</v>
      </c>
      <c r="EA19" s="83">
        <v>245.45800700000001</v>
      </c>
      <c r="EB19" s="83">
        <v>0</v>
      </c>
      <c r="EC19" s="83">
        <v>0</v>
      </c>
      <c r="ED19" s="83">
        <v>215.04022699999999</v>
      </c>
      <c r="EE19" s="83">
        <v>0.17038600000000001</v>
      </c>
      <c r="EF19" s="83">
        <v>192.23541399999999</v>
      </c>
      <c r="EG19" s="83">
        <v>5.6920999999999999E-2</v>
      </c>
      <c r="EH19" s="83">
        <v>235.52086399999999</v>
      </c>
      <c r="EI19" s="83">
        <v>0</v>
      </c>
      <c r="EJ19" s="83">
        <v>0</v>
      </c>
      <c r="EK19" s="83">
        <v>220.81462200000001</v>
      </c>
      <c r="EL19" s="83">
        <v>0.19527900000000001</v>
      </c>
      <c r="EM19" s="83">
        <v>193.91716500000001</v>
      </c>
      <c r="EN19" s="83">
        <v>6.5237000000000003E-2</v>
      </c>
      <c r="EO19" s="83">
        <v>238.70437899999999</v>
      </c>
      <c r="EP19" s="83">
        <v>0</v>
      </c>
      <c r="EQ19" s="83">
        <v>0</v>
      </c>
      <c r="ER19" s="83">
        <v>222.34087199999999</v>
      </c>
      <c r="ES19" s="83">
        <v>0.190606</v>
      </c>
      <c r="ET19" s="83">
        <v>185.903719</v>
      </c>
      <c r="EU19" s="83">
        <v>6.3674999999999995E-2</v>
      </c>
      <c r="EV19" s="83">
        <v>228.74367799999999</v>
      </c>
      <c r="EW19" s="83">
        <v>0</v>
      </c>
      <c r="EX19" s="83">
        <v>0</v>
      </c>
      <c r="EY19" s="83">
        <v>233.86160599999999</v>
      </c>
      <c r="EZ19" s="83">
        <v>0.21473999999999999</v>
      </c>
      <c r="FA19" s="83">
        <v>215.481774</v>
      </c>
      <c r="FB19" s="83">
        <v>7.1737999999999996E-2</v>
      </c>
      <c r="FC19" s="83">
        <v>265.08225700000003</v>
      </c>
      <c r="FD19" s="83">
        <v>0</v>
      </c>
      <c r="FE19" s="83">
        <v>0</v>
      </c>
      <c r="FF19" s="83">
        <v>217.70218700000001</v>
      </c>
      <c r="FG19" s="83">
        <v>0.19067100000000001</v>
      </c>
      <c r="FH19" s="83">
        <v>221.72889000000001</v>
      </c>
      <c r="FI19" s="83">
        <v>9.1151999999999997E-2</v>
      </c>
      <c r="FJ19" s="83">
        <v>274.77889499999998</v>
      </c>
      <c r="FK19" s="83">
        <v>0</v>
      </c>
      <c r="FL19" s="83">
        <v>0</v>
      </c>
      <c r="FM19" s="83">
        <v>204.82527200000001</v>
      </c>
      <c r="FN19" s="83">
        <v>0.213061</v>
      </c>
      <c r="FO19" s="83">
        <v>151.08874900000001</v>
      </c>
      <c r="FP19" s="83">
        <v>4.9737000000000003E-2</v>
      </c>
      <c r="FQ19" s="83">
        <v>185.84877</v>
      </c>
      <c r="FR19" s="83">
        <v>0</v>
      </c>
      <c r="FS19" s="83">
        <v>0</v>
      </c>
      <c r="FT19" s="83">
        <v>216.42810900000001</v>
      </c>
      <c r="FU19" s="83">
        <v>0.19342200000000001</v>
      </c>
      <c r="FV19" s="83">
        <v>205.61584999999999</v>
      </c>
      <c r="FW19" s="83">
        <v>6.4616000000000007E-2</v>
      </c>
      <c r="FX19" s="83">
        <v>252.51921100000001</v>
      </c>
      <c r="FY19" s="83">
        <v>0</v>
      </c>
      <c r="FZ19" s="83">
        <v>0</v>
      </c>
      <c r="GA19" s="83">
        <v>263.45841200000001</v>
      </c>
      <c r="GB19" s="83">
        <v>0.19334100000000001</v>
      </c>
      <c r="GC19" s="83">
        <v>218.32071300000001</v>
      </c>
      <c r="GD19" s="83">
        <v>6.4588999999999994E-2</v>
      </c>
      <c r="GE19" s="83">
        <v>267.53587399999998</v>
      </c>
      <c r="GF19" s="83">
        <v>0</v>
      </c>
      <c r="GG19" s="83">
        <v>0</v>
      </c>
      <c r="GH19" s="83">
        <v>158.78374299999999</v>
      </c>
      <c r="GI19" s="83">
        <v>0.122934</v>
      </c>
      <c r="GJ19" s="83">
        <v>142.38198199999999</v>
      </c>
      <c r="GK19" s="83">
        <v>4.1068E-2</v>
      </c>
      <c r="GL19" s="83">
        <v>174.36410599999999</v>
      </c>
      <c r="GM19" s="83">
        <v>0</v>
      </c>
      <c r="GN19" s="83">
        <v>0</v>
      </c>
      <c r="GO19" s="83">
        <v>230.94021799999999</v>
      </c>
      <c r="GP19" s="83">
        <v>0.209873</v>
      </c>
      <c r="GQ19" s="83">
        <v>200.85986700000001</v>
      </c>
      <c r="GR19" s="83">
        <v>7.0111999999999994E-2</v>
      </c>
      <c r="GS19" s="83">
        <v>247.54817600000001</v>
      </c>
      <c r="GT19" s="83">
        <v>0</v>
      </c>
      <c r="GU19" s="83">
        <v>0</v>
      </c>
      <c r="GV19" s="83">
        <v>168.50647000000001</v>
      </c>
      <c r="GW19" s="83">
        <v>0.11380899999999999</v>
      </c>
      <c r="GX19" s="83">
        <v>154.73147399999999</v>
      </c>
      <c r="GY19" s="83">
        <v>3.8019999999999998E-2</v>
      </c>
      <c r="GZ19" s="83">
        <v>188.72435999999999</v>
      </c>
      <c r="HA19" s="83">
        <v>0</v>
      </c>
      <c r="HB19" s="83">
        <v>0</v>
      </c>
      <c r="HC19" s="83">
        <v>214.43976699999999</v>
      </c>
      <c r="HD19" s="83">
        <v>0.185781</v>
      </c>
      <c r="HE19" s="83">
        <v>217.14702800000001</v>
      </c>
      <c r="HF19" s="83">
        <v>8.7744000000000003E-2</v>
      </c>
      <c r="HG19" s="83">
        <v>269.05533700000001</v>
      </c>
      <c r="HH19" s="83">
        <v>0</v>
      </c>
      <c r="HI19" s="83">
        <v>0</v>
      </c>
      <c r="HJ19" s="83">
        <v>228.54816</v>
      </c>
      <c r="HK19" s="83">
        <v>0.24596199999999999</v>
      </c>
      <c r="HL19" s="83">
        <v>167.08383799999999</v>
      </c>
      <c r="HM19" s="83">
        <v>5.8119999999999998E-2</v>
      </c>
      <c r="HN19" s="83">
        <v>205.91094799999999</v>
      </c>
      <c r="HO19" s="83">
        <v>0</v>
      </c>
      <c r="HP19" s="83">
        <v>0</v>
      </c>
      <c r="HQ19" s="83">
        <v>220.91422600000001</v>
      </c>
      <c r="HR19" s="83">
        <v>0.19408700000000001</v>
      </c>
      <c r="HS19" s="83">
        <v>191.560846</v>
      </c>
      <c r="HT19" s="83">
        <v>6.4838000000000007E-2</v>
      </c>
      <c r="HU19" s="83">
        <v>235.78295800000001</v>
      </c>
      <c r="HV19" s="83">
        <v>0</v>
      </c>
      <c r="HW19" s="83">
        <v>0</v>
      </c>
      <c r="HX19" s="83">
        <v>255.18808799999999</v>
      </c>
      <c r="HY19" s="83">
        <v>0.21049399999999999</v>
      </c>
      <c r="HZ19" s="83">
        <v>229.95640800000001</v>
      </c>
      <c r="IA19" s="83">
        <v>7.0320999999999995E-2</v>
      </c>
      <c r="IB19" s="83">
        <v>282.19228099999998</v>
      </c>
      <c r="IC19" s="83">
        <v>0</v>
      </c>
      <c r="ID19" s="83">
        <v>0</v>
      </c>
      <c r="IE19" s="83">
        <v>246.17594800000001</v>
      </c>
      <c r="IF19" s="83">
        <v>0.21562300000000001</v>
      </c>
      <c r="IG19" s="83">
        <v>240.21630500000001</v>
      </c>
      <c r="IH19" s="83">
        <v>9.3647999999999995E-2</v>
      </c>
      <c r="II19" s="83">
        <v>297.29165599999999</v>
      </c>
      <c r="IJ19" s="83">
        <v>0</v>
      </c>
      <c r="IK19" s="83">
        <v>0</v>
      </c>
      <c r="IL19" s="83">
        <v>232.19170099999999</v>
      </c>
      <c r="IM19" s="83">
        <v>0.19619500000000001</v>
      </c>
      <c r="IN19" s="83">
        <v>185.16233399999999</v>
      </c>
      <c r="IO19" s="83">
        <v>5.0416999999999997E-2</v>
      </c>
      <c r="IP19" s="83">
        <v>226.43296599999999</v>
      </c>
      <c r="IQ19" s="83">
        <v>0</v>
      </c>
      <c r="IR19" s="83">
        <v>0</v>
      </c>
      <c r="IS19" s="83">
        <v>214.04220100000001</v>
      </c>
      <c r="IT19" s="83">
        <v>0.185303</v>
      </c>
      <c r="IU19" s="83">
        <v>192.05098599999999</v>
      </c>
      <c r="IV19" s="83">
        <v>6.1904000000000001E-2</v>
      </c>
      <c r="IW19" s="83">
        <v>236.071156</v>
      </c>
      <c r="IX19" s="83">
        <v>0</v>
      </c>
      <c r="IY19" s="83">
        <v>0</v>
      </c>
      <c r="IZ19" s="83">
        <v>261.61468100000002</v>
      </c>
      <c r="JA19" s="83">
        <v>0.21621599999999999</v>
      </c>
      <c r="JB19" s="83">
        <v>237.33689899999999</v>
      </c>
      <c r="JC19" s="83">
        <v>7.2232000000000005E-2</v>
      </c>
      <c r="JD19" s="83">
        <v>291.18326999999999</v>
      </c>
      <c r="JE19" s="83">
        <v>0</v>
      </c>
      <c r="JF19" s="83">
        <v>0</v>
      </c>
      <c r="JG19" s="83">
        <v>252.78868399999999</v>
      </c>
      <c r="JH19" s="83">
        <v>0.22303600000000001</v>
      </c>
      <c r="JI19" s="83">
        <v>259.48573800000003</v>
      </c>
      <c r="JJ19" s="83">
        <v>0.11277</v>
      </c>
      <c r="JK19" s="83">
        <v>322.58231799999999</v>
      </c>
      <c r="JL19" s="83">
        <v>0</v>
      </c>
      <c r="JM19" s="83">
        <v>0</v>
      </c>
      <c r="JN19" s="83">
        <v>129.261021</v>
      </c>
      <c r="JO19" s="83">
        <v>0.18774399999999999</v>
      </c>
      <c r="JP19" s="83">
        <v>85.560390999999996</v>
      </c>
      <c r="JQ19" s="83">
        <v>3.6628000000000001E-2</v>
      </c>
      <c r="JR19" s="83">
        <v>105.51207700000001</v>
      </c>
      <c r="JS19" s="83">
        <v>80.909360000000007</v>
      </c>
      <c r="JT19" s="83">
        <v>80.818545</v>
      </c>
      <c r="JU19" s="83">
        <v>61.339793</v>
      </c>
      <c r="JV19" s="83">
        <v>52.063473000000002</v>
      </c>
      <c r="JW19" s="83">
        <v>66.266086999999999</v>
      </c>
      <c r="JX19" s="83">
        <v>51.809849</v>
      </c>
      <c r="JY19" s="83">
        <v>50.783048999999998</v>
      </c>
      <c r="JZ19" s="83">
        <v>50.800539000000001</v>
      </c>
      <c r="KA19" s="83">
        <v>50.715389999999999</v>
      </c>
      <c r="KB19" s="83">
        <v>55.289892999999999</v>
      </c>
      <c r="KC19" s="83">
        <v>46.911724999999997</v>
      </c>
      <c r="KD19" s="83">
        <v>59.510762999999997</v>
      </c>
      <c r="KE19" s="83">
        <v>47.276397000000003</v>
      </c>
      <c r="KF19" s="83">
        <v>46.456983000000001</v>
      </c>
      <c r="KG19" s="83">
        <v>46.467131000000002</v>
      </c>
      <c r="KH19" s="83">
        <v>46.393833000000001</v>
      </c>
      <c r="KI19" s="83">
        <v>58.340815999999997</v>
      </c>
      <c r="KJ19" s="83">
        <v>49.518109000000003</v>
      </c>
      <c r="KK19" s="83">
        <v>63.062099000000003</v>
      </c>
      <c r="KL19" s="83">
        <v>49.296047999999999</v>
      </c>
      <c r="KM19" s="83">
        <v>48.317464999999999</v>
      </c>
      <c r="KN19" s="83">
        <v>48.334167000000001</v>
      </c>
      <c r="KO19" s="83">
        <v>48.253309999999999</v>
      </c>
      <c r="KP19" s="83">
        <v>51.060583999999999</v>
      </c>
      <c r="KQ19" s="83">
        <v>43.321694000000001</v>
      </c>
      <c r="KR19" s="83">
        <v>54.444533999999997</v>
      </c>
      <c r="KS19" s="83">
        <v>43.369038000000003</v>
      </c>
      <c r="KT19" s="83">
        <v>42.655450000000002</v>
      </c>
      <c r="KU19" s="83">
        <v>42.663780000000003</v>
      </c>
      <c r="KV19" s="83">
        <v>42.579349000000001</v>
      </c>
      <c r="KW19" s="83">
        <v>74.778597000000005</v>
      </c>
      <c r="KX19" s="83">
        <v>63.450378000000001</v>
      </c>
      <c r="KY19" s="83">
        <v>80.223515000000006</v>
      </c>
      <c r="KZ19" s="83">
        <v>63.338355</v>
      </c>
      <c r="LA19" s="83">
        <v>62.171526999999998</v>
      </c>
      <c r="LB19" s="83">
        <v>62.188150999999998</v>
      </c>
      <c r="LC19" s="83">
        <v>62.095115</v>
      </c>
      <c r="LD19" s="83">
        <v>50.798831</v>
      </c>
      <c r="LE19" s="83">
        <v>43.112121000000002</v>
      </c>
      <c r="LF19" s="83">
        <v>54.560355000000001</v>
      </c>
      <c r="LG19" s="83">
        <v>43.293683999999999</v>
      </c>
      <c r="LH19" s="83">
        <v>42.551369000000001</v>
      </c>
      <c r="LI19" s="83">
        <v>42.560979000000003</v>
      </c>
      <c r="LJ19" s="83">
        <v>42.479391999999997</v>
      </c>
      <c r="LK19" s="83">
        <v>59.399057999999997</v>
      </c>
      <c r="LL19" s="83">
        <v>50.402701</v>
      </c>
      <c r="LM19" s="83">
        <v>64.172600000000003</v>
      </c>
      <c r="LN19" s="83">
        <v>50.463883000000003</v>
      </c>
      <c r="LO19" s="83">
        <v>49.516668000000003</v>
      </c>
      <c r="LP19" s="83">
        <v>49.531413999999998</v>
      </c>
      <c r="LQ19" s="83">
        <v>49.443700999999997</v>
      </c>
      <c r="LR19" s="83">
        <v>62.256596999999999</v>
      </c>
      <c r="LS19" s="83">
        <v>52.828707999999999</v>
      </c>
      <c r="LT19" s="83">
        <v>70.499177000000003</v>
      </c>
      <c r="LU19" s="83">
        <v>55.684711</v>
      </c>
      <c r="LV19" s="83">
        <v>54.663119000000002</v>
      </c>
      <c r="LW19" s="83">
        <v>54.677557999999998</v>
      </c>
      <c r="LX19" s="83">
        <v>54.595444000000001</v>
      </c>
      <c r="LY19" s="83">
        <v>71.817421999999993</v>
      </c>
      <c r="LZ19" s="83">
        <v>60.961215000000003</v>
      </c>
      <c r="MA19" s="83">
        <v>74.120795999999999</v>
      </c>
      <c r="MB19" s="83">
        <v>58.036532999999999</v>
      </c>
      <c r="MC19" s="83">
        <v>56.900848000000003</v>
      </c>
      <c r="MD19" s="83">
        <v>56.919834000000002</v>
      </c>
      <c r="ME19" s="83">
        <v>56.823327999999997</v>
      </c>
      <c r="MF19" s="83">
        <v>72.035666000000006</v>
      </c>
      <c r="MG19" s="83">
        <v>61.127772</v>
      </c>
      <c r="MH19" s="83">
        <v>78.133989999999997</v>
      </c>
      <c r="MI19" s="83">
        <v>61.204206999999997</v>
      </c>
      <c r="MJ19" s="83">
        <v>60.012230000000002</v>
      </c>
      <c r="MK19" s="83">
        <v>60.031986000000003</v>
      </c>
      <c r="ML19" s="83">
        <v>59.929501999999999</v>
      </c>
      <c r="MM19" s="83">
        <v>60.950105999999998</v>
      </c>
      <c r="MN19" s="83">
        <v>51.726833999999997</v>
      </c>
      <c r="MO19" s="83">
        <v>70.543035000000003</v>
      </c>
      <c r="MP19" s="83">
        <v>55.094205000000002</v>
      </c>
      <c r="MQ19" s="83">
        <v>53.972948000000002</v>
      </c>
      <c r="MR19" s="83">
        <v>53.992089</v>
      </c>
      <c r="MS19" s="83">
        <v>53.919131</v>
      </c>
      <c r="MT19" s="83">
        <v>68.954948000000002</v>
      </c>
      <c r="MU19" s="83">
        <v>58.518498000000001</v>
      </c>
      <c r="MV19" s="83">
        <v>68.745130000000003</v>
      </c>
      <c r="MW19" s="83">
        <v>54.331668000000001</v>
      </c>
      <c r="MX19" s="83">
        <v>53.361075999999997</v>
      </c>
      <c r="MY19" s="83">
        <v>53.374813000000003</v>
      </c>
      <c r="MZ19" s="83">
        <v>53.275942000000001</v>
      </c>
      <c r="NA19" s="83">
        <v>67.182768999999993</v>
      </c>
      <c r="NB19" s="83">
        <v>57.005341000000001</v>
      </c>
      <c r="NC19" s="83">
        <v>72.290764999999993</v>
      </c>
      <c r="ND19" s="83">
        <v>57.072401999999997</v>
      </c>
      <c r="NE19" s="83">
        <v>56.041786000000002</v>
      </c>
      <c r="NF19" s="83">
        <v>56.056691000000001</v>
      </c>
      <c r="NG19" s="83">
        <v>55.953828999999999</v>
      </c>
      <c r="NH19" s="83">
        <v>77.377854999999997</v>
      </c>
      <c r="NI19" s="83">
        <v>65.660443999999998</v>
      </c>
      <c r="NJ19" s="83">
        <v>82.721417000000002</v>
      </c>
      <c r="NK19" s="83">
        <v>64.738954000000007</v>
      </c>
      <c r="NL19" s="83">
        <v>63.445253999999998</v>
      </c>
      <c r="NM19" s="83">
        <v>63.466689000000002</v>
      </c>
      <c r="NN19" s="83">
        <v>63.379176999999999</v>
      </c>
      <c r="NO19" s="83">
        <v>77.801471000000006</v>
      </c>
      <c r="NP19" s="83">
        <v>66.036186999999998</v>
      </c>
      <c r="NQ19" s="83">
        <v>85.707285999999996</v>
      </c>
      <c r="NR19" s="83">
        <v>67.135014999999996</v>
      </c>
      <c r="NS19" s="83">
        <v>65.827257000000003</v>
      </c>
      <c r="NT19" s="83">
        <v>65.848922000000002</v>
      </c>
      <c r="NU19" s="83">
        <v>65.736545000000007</v>
      </c>
      <c r="NV19" s="83">
        <v>67.442904999999996</v>
      </c>
      <c r="NW19" s="83">
        <v>57.224145</v>
      </c>
      <c r="NX19" s="83">
        <v>72.316607000000005</v>
      </c>
      <c r="NY19" s="83">
        <v>57.289636000000002</v>
      </c>
      <c r="NZ19" s="83">
        <v>56.290562999999999</v>
      </c>
      <c r="OA19" s="83">
        <v>56.303992000000001</v>
      </c>
      <c r="OB19" s="83">
        <v>56.197535000000002</v>
      </c>
      <c r="OC19" s="83">
        <v>77.624272000000005</v>
      </c>
      <c r="OD19" s="83">
        <v>65.870183999999995</v>
      </c>
      <c r="OE19" s="83">
        <v>89.169882000000001</v>
      </c>
      <c r="OF19" s="83">
        <v>70.457364999999996</v>
      </c>
      <c r="OG19" s="83">
        <v>69.169229999999999</v>
      </c>
      <c r="OH19" s="83">
        <v>69.187282999999994</v>
      </c>
      <c r="OI19" s="83">
        <v>69.083056999999997</v>
      </c>
      <c r="OJ19" s="83">
        <v>81.232100000000003</v>
      </c>
      <c r="OK19" s="83">
        <v>68.942756000000003</v>
      </c>
      <c r="OL19" s="83">
        <v>82.560252000000006</v>
      </c>
      <c r="OM19" s="83">
        <v>64.632452999999998</v>
      </c>
      <c r="ON19" s="83">
        <v>63.366636</v>
      </c>
      <c r="OO19" s="83">
        <v>63.387794</v>
      </c>
      <c r="OP19" s="83">
        <v>63.280214999999998</v>
      </c>
      <c r="OQ19" s="83">
        <v>78.614538999999994</v>
      </c>
      <c r="OR19" s="83">
        <v>66.715875999999994</v>
      </c>
      <c r="OS19" s="83">
        <v>85.987471999999997</v>
      </c>
      <c r="OT19" s="83">
        <v>66.804512000000003</v>
      </c>
      <c r="OU19" s="83">
        <v>65.403295</v>
      </c>
      <c r="OV19" s="83">
        <v>65.429180000000002</v>
      </c>
      <c r="OW19" s="83">
        <v>65.326357000000002</v>
      </c>
      <c r="OX19" s="83">
        <v>69.259653999999998</v>
      </c>
      <c r="OY19" s="83">
        <v>58.766603000000003</v>
      </c>
      <c r="OZ19" s="83">
        <v>72.662431999999995</v>
      </c>
      <c r="PA19" s="83">
        <v>57.285048000000003</v>
      </c>
      <c r="PB19" s="83">
        <v>56.214953999999999</v>
      </c>
      <c r="PC19" s="83">
        <v>56.230637000000002</v>
      </c>
      <c r="PD19" s="83">
        <v>56.147610999999998</v>
      </c>
      <c r="PE19" s="83">
        <v>67.699121000000005</v>
      </c>
      <c r="PF19" s="83">
        <v>57.451540999999999</v>
      </c>
      <c r="PG19" s="83">
        <v>73.863501999999997</v>
      </c>
      <c r="PH19" s="83">
        <v>59.274814999999997</v>
      </c>
      <c r="PI19" s="83">
        <v>58.377563000000002</v>
      </c>
      <c r="PJ19" s="83">
        <v>58.385553999999999</v>
      </c>
      <c r="PK19" s="83">
        <v>58.263100000000001</v>
      </c>
      <c r="PL19" s="83">
        <v>75.677683000000002</v>
      </c>
      <c r="PM19" s="83">
        <v>64.211669999999998</v>
      </c>
      <c r="PN19" s="83">
        <v>81.207740999999999</v>
      </c>
      <c r="PO19" s="83">
        <v>64.285600000000002</v>
      </c>
      <c r="PP19" s="83">
        <v>63.155963999999997</v>
      </c>
      <c r="PQ19" s="83">
        <v>63.171391999999997</v>
      </c>
      <c r="PR19" s="83">
        <v>63.052712</v>
      </c>
      <c r="PS19" s="83">
        <v>84.420590000000004</v>
      </c>
      <c r="PT19" s="83">
        <v>71.630052000000006</v>
      </c>
      <c r="PU19" s="83">
        <v>90.603187000000005</v>
      </c>
      <c r="PV19" s="83">
        <v>71.712604999999996</v>
      </c>
      <c r="PW19" s="83">
        <v>70.450554999999994</v>
      </c>
      <c r="PX19" s="83">
        <v>70.467872</v>
      </c>
      <c r="PY19" s="83">
        <v>70.335645999999997</v>
      </c>
      <c r="PZ19" s="83">
        <v>59.176096000000001</v>
      </c>
      <c r="QA19" s="83">
        <v>50.218018999999998</v>
      </c>
      <c r="QB19" s="83">
        <v>64.526409999999998</v>
      </c>
      <c r="QC19" s="83">
        <v>50.283267000000002</v>
      </c>
      <c r="QD19" s="83">
        <v>49.256439</v>
      </c>
      <c r="QE19" s="83">
        <v>49.274729000000001</v>
      </c>
      <c r="QF19" s="83">
        <v>49.194825000000002</v>
      </c>
      <c r="QG19" s="83">
        <v>95.085932999999997</v>
      </c>
      <c r="QH19" s="83">
        <v>80.688019999999995</v>
      </c>
      <c r="QI19" s="83">
        <v>101.207638</v>
      </c>
      <c r="QJ19" s="83">
        <v>80.774840999999995</v>
      </c>
      <c r="QK19" s="83">
        <v>79.471601000000007</v>
      </c>
      <c r="QL19" s="83">
        <v>79.486024</v>
      </c>
      <c r="QM19" s="83">
        <v>79.326757000000001</v>
      </c>
      <c r="QN19" s="83">
        <v>90.998418999999998</v>
      </c>
      <c r="QO19" s="83">
        <v>77.227782000000005</v>
      </c>
      <c r="QP19" s="83">
        <v>94.498743000000005</v>
      </c>
      <c r="QQ19" s="83">
        <v>77.293661</v>
      </c>
      <c r="QR19" s="83">
        <v>76.377103000000005</v>
      </c>
      <c r="QS19" s="83">
        <v>76.376671000000002</v>
      </c>
    </row>
    <row r="20" spans="6:461" x14ac:dyDescent="0.25">
      <c r="F20" s="82" t="str">
        <f xml:space="preserve"> _xll.EPMOlapMemberO("[PRDDESCR].[].[HELGAS GFREE TRAD WHITE 470G]","","HELGAS GFREE TRAD WHITE 470G","","000")</f>
        <v>HELGAS GFREE TRAD WHITE 470G</v>
      </c>
      <c r="G20" s="82" t="str">
        <f xml:space="preserve"> _xll.EPMOlapMemberO("[PRDID].[].[168846]","","168846","","000")</f>
        <v>168846</v>
      </c>
      <c r="H20" s="82" t="str">
        <f xml:space="preserve"> _xll.EPMOlapMemberO("[LOCID].[].[6123]","","6123","","000")</f>
        <v>6123</v>
      </c>
      <c r="I20" s="82" t="str">
        <f xml:space="preserve"> _xll.EPMOlapMemberO("[LOCDESCR].[].[QBA-Clayton - Fairbank]","","QBA-Clayton - Fairbank","","000")</f>
        <v>QBA-Clayton - Fairbank</v>
      </c>
      <c r="J20" s="82" t="str">
        <f xml:space="preserve"> _xll.EPMOlapMemberO("[KEY_FIGURES].[].[ZGFAPPROVEDFCSTQTY]","","Approved Forecast","","000")</f>
        <v>Approved Forecast</v>
      </c>
      <c r="K20" s="83">
        <v>281.52444100000002</v>
      </c>
      <c r="L20" s="83">
        <v>583.45897000000002</v>
      </c>
      <c r="M20" s="83">
        <v>353.474512</v>
      </c>
      <c r="N20" s="83">
        <v>768.13024399999995</v>
      </c>
      <c r="O20" s="83">
        <v>3.5680999999999997E-2</v>
      </c>
      <c r="P20" s="83">
        <v>0.48695300000000002</v>
      </c>
      <c r="Q20" s="83">
        <v>942.26460199999997</v>
      </c>
      <c r="R20" s="83">
        <v>244.00388799999999</v>
      </c>
      <c r="S20" s="83">
        <v>549.81026999999995</v>
      </c>
      <c r="T20" s="83">
        <v>329.062681</v>
      </c>
      <c r="U20" s="83">
        <v>742.41871600000002</v>
      </c>
      <c r="V20" s="83">
        <v>0.36865100000000001</v>
      </c>
      <c r="W20" s="83">
        <v>0.36865100000000001</v>
      </c>
      <c r="X20" s="83">
        <v>817.148368</v>
      </c>
      <c r="Y20" s="83">
        <v>194.15021300000001</v>
      </c>
      <c r="Z20" s="83">
        <v>470.040144</v>
      </c>
      <c r="AA20" s="83">
        <v>283.40621199999998</v>
      </c>
      <c r="AB20" s="83">
        <v>657.05390999999997</v>
      </c>
      <c r="AC20" s="83">
        <v>0.42292999999999997</v>
      </c>
      <c r="AD20" s="83">
        <v>0.422931</v>
      </c>
      <c r="AE20" s="83">
        <v>865.26276800000005</v>
      </c>
      <c r="AF20" s="83">
        <v>203.25664800000001</v>
      </c>
      <c r="AG20" s="83">
        <v>490.77673199999998</v>
      </c>
      <c r="AH20" s="83">
        <v>298.98961400000002</v>
      </c>
      <c r="AI20" s="83">
        <v>693.97461199999998</v>
      </c>
      <c r="AJ20" s="83">
        <v>0.43663200000000002</v>
      </c>
      <c r="AK20" s="83">
        <v>0.43663200000000002</v>
      </c>
      <c r="AL20" s="83">
        <v>843.49258299999997</v>
      </c>
      <c r="AM20" s="83">
        <v>208.988756</v>
      </c>
      <c r="AN20" s="83">
        <v>489.558288</v>
      </c>
      <c r="AO20" s="83">
        <v>286.10745800000001</v>
      </c>
      <c r="AP20" s="83">
        <v>682.01212599999997</v>
      </c>
      <c r="AQ20" s="83">
        <v>0.42511199999999999</v>
      </c>
      <c r="AR20" s="83">
        <v>0.42511300000000002</v>
      </c>
      <c r="AS20" s="83">
        <v>819.51347399999997</v>
      </c>
      <c r="AT20" s="83">
        <v>198.82634400000001</v>
      </c>
      <c r="AU20" s="83">
        <v>470.33889499999998</v>
      </c>
      <c r="AV20" s="83">
        <v>282.00145199999997</v>
      </c>
      <c r="AW20" s="83">
        <v>670.98094000000003</v>
      </c>
      <c r="AX20" s="83">
        <v>0.42001500000000003</v>
      </c>
      <c r="AY20" s="83">
        <v>0.420016</v>
      </c>
      <c r="AZ20" s="83">
        <v>883.07169099999999</v>
      </c>
      <c r="BA20" s="83">
        <v>214.17290600000001</v>
      </c>
      <c r="BB20" s="83">
        <v>510.54693800000001</v>
      </c>
      <c r="BC20" s="83">
        <v>309.74032499999998</v>
      </c>
      <c r="BD20" s="83">
        <v>766.26057300000002</v>
      </c>
      <c r="BE20" s="83">
        <v>0.41928100000000001</v>
      </c>
      <c r="BF20" s="83">
        <v>0.41928199999999999</v>
      </c>
      <c r="BG20" s="83">
        <v>882.39318900000001</v>
      </c>
      <c r="BH20" s="83">
        <v>217.85346899999999</v>
      </c>
      <c r="BI20" s="83">
        <v>501.47951899999998</v>
      </c>
      <c r="BJ20" s="83">
        <v>311.42949700000003</v>
      </c>
      <c r="BK20" s="83">
        <v>756.49634900000001</v>
      </c>
      <c r="BL20" s="83">
        <v>0.42687999999999998</v>
      </c>
      <c r="BM20" s="83">
        <v>0.42687999999999998</v>
      </c>
      <c r="BN20" s="83">
        <v>920.16605500000003</v>
      </c>
      <c r="BO20" s="83">
        <v>227.19897399999999</v>
      </c>
      <c r="BP20" s="83">
        <v>525.11508900000001</v>
      </c>
      <c r="BQ20" s="83">
        <v>321.55149999999998</v>
      </c>
      <c r="BR20" s="83">
        <v>773.69388700000002</v>
      </c>
      <c r="BS20" s="83">
        <v>0.42438799999999999</v>
      </c>
      <c r="BT20" s="83">
        <v>0.42438999999999999</v>
      </c>
      <c r="BU20" s="83">
        <v>878.11416099999997</v>
      </c>
      <c r="BV20" s="83">
        <v>218.67685599999999</v>
      </c>
      <c r="BW20" s="83">
        <v>502.17009300000001</v>
      </c>
      <c r="BX20" s="83">
        <v>307.24937999999997</v>
      </c>
      <c r="BY20" s="83">
        <v>746.94882500000006</v>
      </c>
      <c r="BZ20" s="83">
        <v>0.411325</v>
      </c>
      <c r="CA20" s="83">
        <v>0.411327</v>
      </c>
      <c r="CB20" s="83">
        <v>844.69832599999995</v>
      </c>
      <c r="CC20" s="83">
        <v>205.54584199999999</v>
      </c>
      <c r="CD20" s="83">
        <v>473.81927999999999</v>
      </c>
      <c r="CE20" s="83">
        <v>300.256843</v>
      </c>
      <c r="CF20" s="83">
        <v>719.28458000000001</v>
      </c>
      <c r="CG20" s="83">
        <v>0.41478799999999999</v>
      </c>
      <c r="CH20" s="83">
        <v>0.41478900000000002</v>
      </c>
      <c r="CI20" s="83">
        <v>879.94444299999998</v>
      </c>
      <c r="CJ20" s="83">
        <v>214.707459</v>
      </c>
      <c r="CK20" s="83">
        <v>495.93340799999999</v>
      </c>
      <c r="CL20" s="83">
        <v>312.11969900000003</v>
      </c>
      <c r="CM20" s="83">
        <v>752.52087900000004</v>
      </c>
      <c r="CN20" s="83">
        <v>0.41735899999999998</v>
      </c>
      <c r="CO20" s="83">
        <v>0.41736099999999998</v>
      </c>
      <c r="CP20" s="83">
        <v>890.71209899999997</v>
      </c>
      <c r="CQ20" s="83">
        <v>218.10870800000001</v>
      </c>
      <c r="CR20" s="83">
        <v>503.98878000000002</v>
      </c>
      <c r="CS20" s="83">
        <v>315.00269800000001</v>
      </c>
      <c r="CT20" s="83">
        <v>761.14803099999995</v>
      </c>
      <c r="CU20" s="83">
        <v>0.41832900000000001</v>
      </c>
      <c r="CV20" s="83">
        <v>0.41833100000000001</v>
      </c>
      <c r="CW20" s="83">
        <v>891.04487300000005</v>
      </c>
      <c r="CX20" s="83">
        <v>216.036776</v>
      </c>
      <c r="CY20" s="83">
        <v>499.05859900000002</v>
      </c>
      <c r="CZ20" s="83">
        <v>313.70830599999999</v>
      </c>
      <c r="DA20" s="83">
        <v>738.13534700000002</v>
      </c>
      <c r="DB20" s="83">
        <v>0.42539199999999999</v>
      </c>
      <c r="DC20" s="83">
        <v>0.42539199999999999</v>
      </c>
      <c r="DD20" s="83">
        <v>836.12000599999999</v>
      </c>
      <c r="DE20" s="83">
        <v>208.77044799999999</v>
      </c>
      <c r="DF20" s="83">
        <v>476.86334900000003</v>
      </c>
      <c r="DG20" s="83">
        <v>290.11468600000001</v>
      </c>
      <c r="DH20" s="83">
        <v>691.94436900000005</v>
      </c>
      <c r="DI20" s="83">
        <v>0.42154000000000003</v>
      </c>
      <c r="DJ20" s="83">
        <v>0.42154000000000003</v>
      </c>
      <c r="DK20" s="83">
        <v>905.612392</v>
      </c>
      <c r="DL20" s="83">
        <v>221.417924</v>
      </c>
      <c r="DM20" s="83">
        <v>510.79450300000002</v>
      </c>
      <c r="DN20" s="83">
        <v>318.11678699999999</v>
      </c>
      <c r="DO20" s="83">
        <v>757.75572</v>
      </c>
      <c r="DP20" s="83">
        <v>0.41699199999999997</v>
      </c>
      <c r="DQ20" s="83">
        <v>0.41699199999999997</v>
      </c>
      <c r="DR20" s="83">
        <v>911.39926700000001</v>
      </c>
      <c r="DS20" s="83">
        <v>224.597712</v>
      </c>
      <c r="DT20" s="83">
        <v>519.68307400000003</v>
      </c>
      <c r="DU20" s="83">
        <v>323.82045499999998</v>
      </c>
      <c r="DV20" s="83">
        <v>800.69282599999997</v>
      </c>
      <c r="DW20" s="83">
        <v>0.42185400000000001</v>
      </c>
      <c r="DX20" s="83">
        <v>0.42185400000000001</v>
      </c>
      <c r="DY20" s="83">
        <v>815.72247100000004</v>
      </c>
      <c r="DZ20" s="83">
        <v>205.533906</v>
      </c>
      <c r="EA20" s="83">
        <v>468.60152099999999</v>
      </c>
      <c r="EB20" s="83">
        <v>284.92022600000001</v>
      </c>
      <c r="EC20" s="83">
        <v>697.17828099999997</v>
      </c>
      <c r="ED20" s="83">
        <v>0.42405100000000001</v>
      </c>
      <c r="EE20" s="83">
        <v>0.42404999999999998</v>
      </c>
      <c r="EF20" s="83">
        <v>830.86442099999999</v>
      </c>
      <c r="EG20" s="83">
        <v>208.61666099999999</v>
      </c>
      <c r="EH20" s="83">
        <v>477.915505</v>
      </c>
      <c r="EI20" s="83">
        <v>289.18281400000001</v>
      </c>
      <c r="EJ20" s="83">
        <v>701.13692900000001</v>
      </c>
      <c r="EK20" s="83">
        <v>0.41858499999999998</v>
      </c>
      <c r="EL20" s="83">
        <v>0.41858499999999998</v>
      </c>
      <c r="EM20" s="83">
        <v>809.72536100000002</v>
      </c>
      <c r="EN20" s="83">
        <v>203.165536</v>
      </c>
      <c r="EO20" s="83">
        <v>463.670793</v>
      </c>
      <c r="EP20" s="83">
        <v>284.226427</v>
      </c>
      <c r="EQ20" s="83">
        <v>696.18197199999997</v>
      </c>
      <c r="ER20" s="83">
        <v>0.43723299999999998</v>
      </c>
      <c r="ES20" s="83">
        <v>0.43723200000000001</v>
      </c>
      <c r="ET20" s="83">
        <v>919.86437799999999</v>
      </c>
      <c r="EU20" s="83">
        <v>231.79034799999999</v>
      </c>
      <c r="EV20" s="83">
        <v>530.1309</v>
      </c>
      <c r="EW20" s="83">
        <v>316.63539100000003</v>
      </c>
      <c r="EX20" s="83">
        <v>765.90064199999995</v>
      </c>
      <c r="EY20" s="83">
        <v>0.43974800000000003</v>
      </c>
      <c r="EZ20" s="83">
        <v>0.43974800000000003</v>
      </c>
      <c r="FA20" s="83">
        <v>909.88117699999998</v>
      </c>
      <c r="FB20" s="83">
        <v>231.39221000000001</v>
      </c>
      <c r="FC20" s="83">
        <v>528.07105899999999</v>
      </c>
      <c r="FD20" s="83">
        <v>311.922819</v>
      </c>
      <c r="FE20" s="83">
        <v>760.15305699999999</v>
      </c>
      <c r="FF20" s="83">
        <v>0.422205</v>
      </c>
      <c r="FG20" s="83">
        <v>0.42220400000000002</v>
      </c>
      <c r="FH20" s="83">
        <v>857.13020700000004</v>
      </c>
      <c r="FI20" s="83">
        <v>207.57419200000001</v>
      </c>
      <c r="FJ20" s="83">
        <v>476.44899199999998</v>
      </c>
      <c r="FK20" s="83">
        <v>297.87794600000001</v>
      </c>
      <c r="FL20" s="83">
        <v>676.28236200000003</v>
      </c>
      <c r="FM20" s="83">
        <v>0.42219699999999999</v>
      </c>
      <c r="FN20" s="83">
        <v>0.42219699999999999</v>
      </c>
      <c r="FO20" s="83">
        <v>775.57421599999998</v>
      </c>
      <c r="FP20" s="83">
        <v>197.75742700000001</v>
      </c>
      <c r="FQ20" s="83">
        <v>448.16909099999998</v>
      </c>
      <c r="FR20" s="83">
        <v>269.69337300000001</v>
      </c>
      <c r="FS20" s="83">
        <v>663.08633799999996</v>
      </c>
      <c r="FT20" s="83">
        <v>0.42197699999999999</v>
      </c>
      <c r="FU20" s="83">
        <v>0.42197600000000002</v>
      </c>
      <c r="FV20" s="83">
        <v>803.10223900000005</v>
      </c>
      <c r="FW20" s="83">
        <v>204.08893</v>
      </c>
      <c r="FX20" s="83">
        <v>464.56511399999999</v>
      </c>
      <c r="FY20" s="83">
        <v>280.468276</v>
      </c>
      <c r="FZ20" s="83">
        <v>695.04966200000001</v>
      </c>
      <c r="GA20" s="83">
        <v>0.42411900000000002</v>
      </c>
      <c r="GB20" s="83">
        <v>0.42411900000000002</v>
      </c>
      <c r="GC20" s="83">
        <v>780.34189800000001</v>
      </c>
      <c r="GD20" s="83">
        <v>197.77666199999999</v>
      </c>
      <c r="GE20" s="83">
        <v>448.05972100000002</v>
      </c>
      <c r="GF20" s="83">
        <v>269.95022</v>
      </c>
      <c r="GG20" s="83">
        <v>650.40437299999996</v>
      </c>
      <c r="GH20" s="83">
        <v>0.42057</v>
      </c>
      <c r="GI20" s="83">
        <v>0.42057</v>
      </c>
      <c r="GJ20" s="83">
        <v>841.95284700000002</v>
      </c>
      <c r="GK20" s="83">
        <v>208.33466200000001</v>
      </c>
      <c r="GL20" s="83">
        <v>477.10396700000001</v>
      </c>
      <c r="GM20" s="83">
        <v>294.61192599999998</v>
      </c>
      <c r="GN20" s="83">
        <v>703.75562600000001</v>
      </c>
      <c r="GO20" s="83">
        <v>0.42515999999999998</v>
      </c>
      <c r="GP20" s="83">
        <v>0.42515999999999998</v>
      </c>
      <c r="GQ20" s="83">
        <v>874.220598</v>
      </c>
      <c r="GR20" s="83">
        <v>221.609397</v>
      </c>
      <c r="GS20" s="83">
        <v>507.80420900000001</v>
      </c>
      <c r="GT20" s="83">
        <v>306.46708899999999</v>
      </c>
      <c r="GU20" s="83">
        <v>771.02985899999999</v>
      </c>
      <c r="GV20" s="83">
        <v>0.43232700000000002</v>
      </c>
      <c r="GW20" s="83">
        <v>0.43232700000000002</v>
      </c>
      <c r="GX20" s="83">
        <v>898.00411699999995</v>
      </c>
      <c r="GY20" s="83">
        <v>225.157421</v>
      </c>
      <c r="GZ20" s="83">
        <v>516.12040100000002</v>
      </c>
      <c r="HA20" s="83">
        <v>310.52105599999999</v>
      </c>
      <c r="HB20" s="83">
        <v>749.06969200000003</v>
      </c>
      <c r="HC20" s="83">
        <v>0.422178</v>
      </c>
      <c r="HD20" s="83">
        <v>0.422178</v>
      </c>
      <c r="HE20" s="83">
        <v>900.20630300000005</v>
      </c>
      <c r="HF20" s="83">
        <v>214.17981399999999</v>
      </c>
      <c r="HG20" s="83">
        <v>496.34933699999999</v>
      </c>
      <c r="HH20" s="83">
        <v>313.60680400000001</v>
      </c>
      <c r="HI20" s="83">
        <v>701.57177000000001</v>
      </c>
      <c r="HJ20" s="83">
        <v>0.409136</v>
      </c>
      <c r="HK20" s="83">
        <v>0.409136</v>
      </c>
      <c r="HL20" s="83">
        <v>780.47775999999999</v>
      </c>
      <c r="HM20" s="83">
        <v>195.364968</v>
      </c>
      <c r="HN20" s="83">
        <v>445.113787</v>
      </c>
      <c r="HO20" s="83">
        <v>271.52430900000002</v>
      </c>
      <c r="HP20" s="83">
        <v>650.61361699999998</v>
      </c>
      <c r="HQ20" s="83">
        <v>0.41578799999999999</v>
      </c>
      <c r="HR20" s="83">
        <v>0.41578799999999999</v>
      </c>
      <c r="HS20" s="83">
        <v>888.75309400000003</v>
      </c>
      <c r="HT20" s="83">
        <v>220.15496300000001</v>
      </c>
      <c r="HU20" s="83">
        <v>504.18357800000001</v>
      </c>
      <c r="HV20" s="83">
        <v>307.836704</v>
      </c>
      <c r="HW20" s="83">
        <v>727.235724</v>
      </c>
      <c r="HX20" s="83">
        <v>0.42257499999999998</v>
      </c>
      <c r="HY20" s="83">
        <v>0.42257499999999998</v>
      </c>
      <c r="HZ20" s="83">
        <v>1023.621114</v>
      </c>
      <c r="IA20" s="83">
        <v>249.462322</v>
      </c>
      <c r="IB20" s="83">
        <v>582.44013199999995</v>
      </c>
      <c r="IC20" s="83">
        <v>363.37439799999999</v>
      </c>
      <c r="ID20" s="83">
        <v>893.47232899999995</v>
      </c>
      <c r="IE20" s="83">
        <v>0.42355199999999998</v>
      </c>
      <c r="IF20" s="83">
        <v>0.42355199999999998</v>
      </c>
      <c r="IG20" s="83">
        <v>969.59414500000003</v>
      </c>
      <c r="IH20" s="83">
        <v>233.018981</v>
      </c>
      <c r="II20" s="83">
        <v>541.32552799999996</v>
      </c>
      <c r="IJ20" s="83">
        <v>340.37899199999998</v>
      </c>
      <c r="IK20" s="83">
        <v>793.02315299999998</v>
      </c>
      <c r="IL20" s="83">
        <v>0.42328199999999999</v>
      </c>
      <c r="IM20" s="83">
        <v>0.42328199999999999</v>
      </c>
      <c r="IN20" s="83">
        <v>861.25061300000004</v>
      </c>
      <c r="IO20" s="83">
        <v>215.259567</v>
      </c>
      <c r="IP20" s="83">
        <v>493.12319600000001</v>
      </c>
      <c r="IQ20" s="83">
        <v>301.34267699999998</v>
      </c>
      <c r="IR20" s="83">
        <v>735.18491200000005</v>
      </c>
      <c r="IS20" s="83">
        <v>0.42559900000000001</v>
      </c>
      <c r="IT20" s="83">
        <v>0.42559900000000001</v>
      </c>
      <c r="IU20" s="83">
        <v>861.69630199999995</v>
      </c>
      <c r="IV20" s="83">
        <v>216.72545500000001</v>
      </c>
      <c r="IW20" s="83">
        <v>495.61253299999998</v>
      </c>
      <c r="IX20" s="83">
        <v>300.61084</v>
      </c>
      <c r="IY20" s="83">
        <v>737.32314399999996</v>
      </c>
      <c r="IZ20" s="83">
        <v>0.42066999999999999</v>
      </c>
      <c r="JA20" s="83">
        <v>0.42066999999999999</v>
      </c>
      <c r="JB20" s="83">
        <v>817.66734799999995</v>
      </c>
      <c r="JC20" s="83">
        <v>204.06639899999999</v>
      </c>
      <c r="JD20" s="83">
        <v>468.49516199999999</v>
      </c>
      <c r="JE20" s="83">
        <v>285.51438100000001</v>
      </c>
      <c r="JF20" s="83">
        <v>687.90777500000002</v>
      </c>
      <c r="JG20" s="83">
        <v>0.414775</v>
      </c>
      <c r="JH20" s="83">
        <v>0.414775</v>
      </c>
      <c r="JI20" s="83">
        <v>792.55303100000003</v>
      </c>
      <c r="JJ20" s="83">
        <v>193.91175999999999</v>
      </c>
      <c r="JK20" s="83">
        <v>442.65751899999998</v>
      </c>
      <c r="JL20" s="83">
        <v>277.91584599999999</v>
      </c>
      <c r="JM20" s="83">
        <v>647.01129000000003</v>
      </c>
      <c r="JN20" s="83">
        <v>1.8640030000000001</v>
      </c>
      <c r="JO20" s="83">
        <v>1.8640000000000001</v>
      </c>
      <c r="JP20" s="83">
        <v>1414.5526600000001</v>
      </c>
      <c r="JQ20" s="83">
        <v>400.463413</v>
      </c>
      <c r="JR20" s="83">
        <v>809.13692900000001</v>
      </c>
      <c r="JS20" s="83">
        <v>1.6393580000000001</v>
      </c>
      <c r="JT20" s="83">
        <v>1.6148180000000001</v>
      </c>
      <c r="JU20" s="83">
        <v>363.13601199999999</v>
      </c>
      <c r="JV20" s="83">
        <v>363.13592199999999</v>
      </c>
      <c r="JW20" s="83">
        <v>390.517312</v>
      </c>
      <c r="JX20" s="83">
        <v>450.66137400000002</v>
      </c>
      <c r="JY20" s="83">
        <v>381.32517100000001</v>
      </c>
      <c r="JZ20" s="83">
        <v>391.53363400000001</v>
      </c>
      <c r="KA20" s="83">
        <v>370.88945899999999</v>
      </c>
      <c r="KB20" s="83">
        <v>339.368402</v>
      </c>
      <c r="KC20" s="83">
        <v>339.36835200000002</v>
      </c>
      <c r="KD20" s="83">
        <v>370.05622399999999</v>
      </c>
      <c r="KE20" s="83">
        <v>426.92133100000001</v>
      </c>
      <c r="KF20" s="83">
        <v>361.82832200000001</v>
      </c>
      <c r="KG20" s="83">
        <v>370.71886899999998</v>
      </c>
      <c r="KH20" s="83">
        <v>350.74530399999998</v>
      </c>
      <c r="KI20" s="83">
        <v>322.47856000000002</v>
      </c>
      <c r="KJ20" s="83">
        <v>322.47849500000001</v>
      </c>
      <c r="KK20" s="83">
        <v>346.378829</v>
      </c>
      <c r="KL20" s="83">
        <v>401.91865999999999</v>
      </c>
      <c r="KM20" s="83">
        <v>339.08678700000002</v>
      </c>
      <c r="KN20" s="83">
        <v>347.132633</v>
      </c>
      <c r="KO20" s="83">
        <v>329.83212099999997</v>
      </c>
      <c r="KP20" s="83">
        <v>321.317947</v>
      </c>
      <c r="KQ20" s="83">
        <v>321.317905</v>
      </c>
      <c r="KR20" s="83">
        <v>346.747342</v>
      </c>
      <c r="KS20" s="83">
        <v>400.32433900000001</v>
      </c>
      <c r="KT20" s="83">
        <v>339.87811599999998</v>
      </c>
      <c r="KU20" s="83">
        <v>347.22326600000002</v>
      </c>
      <c r="KV20" s="83">
        <v>329.64505000000003</v>
      </c>
      <c r="KW20" s="83">
        <v>364.44440500000002</v>
      </c>
      <c r="KX20" s="83">
        <v>364.444322</v>
      </c>
      <c r="KY20" s="83">
        <v>394.04688299999998</v>
      </c>
      <c r="KZ20" s="83">
        <v>454.39117199999998</v>
      </c>
      <c r="LA20" s="83">
        <v>384.62992500000001</v>
      </c>
      <c r="LB20" s="83">
        <v>395.013665</v>
      </c>
      <c r="LC20" s="83">
        <v>373.59868</v>
      </c>
      <c r="LD20" s="83">
        <v>335.05994700000002</v>
      </c>
      <c r="LE20" s="83">
        <v>335.05987199999998</v>
      </c>
      <c r="LF20" s="83">
        <v>362.95765499999999</v>
      </c>
      <c r="LG20" s="83">
        <v>419.14813299999997</v>
      </c>
      <c r="LH20" s="83">
        <v>355.22379899999999</v>
      </c>
      <c r="LI20" s="83">
        <v>363.674262</v>
      </c>
      <c r="LJ20" s="83">
        <v>345.139049</v>
      </c>
      <c r="LK20" s="83">
        <v>320.08298200000002</v>
      </c>
      <c r="LL20" s="83">
        <v>320.08292299999999</v>
      </c>
      <c r="LM20" s="83">
        <v>345.78144300000002</v>
      </c>
      <c r="LN20" s="83">
        <v>401.70471099999997</v>
      </c>
      <c r="LO20" s="83">
        <v>338.48607099999998</v>
      </c>
      <c r="LP20" s="83">
        <v>346.62349999999998</v>
      </c>
      <c r="LQ20" s="83">
        <v>329.72600699999998</v>
      </c>
      <c r="LR20" s="83">
        <v>320.33025099999998</v>
      </c>
      <c r="LS20" s="83">
        <v>320.330197</v>
      </c>
      <c r="LT20" s="83">
        <v>364.29656399999999</v>
      </c>
      <c r="LU20" s="83">
        <v>421.507046</v>
      </c>
      <c r="LV20" s="83">
        <v>356.27294499999999</v>
      </c>
      <c r="LW20" s="83">
        <v>365.12755700000002</v>
      </c>
      <c r="LX20" s="83">
        <v>346.428335</v>
      </c>
      <c r="LY20" s="83">
        <v>355.41873099999998</v>
      </c>
      <c r="LZ20" s="83">
        <v>355.41865999999999</v>
      </c>
      <c r="MA20" s="83">
        <v>364.05943000000002</v>
      </c>
      <c r="MB20" s="83">
        <v>420.32112999999998</v>
      </c>
      <c r="MC20" s="83">
        <v>356.24381099999999</v>
      </c>
      <c r="MD20" s="83">
        <v>364.757654</v>
      </c>
      <c r="ME20" s="83">
        <v>345.94054799999998</v>
      </c>
      <c r="MF20" s="83">
        <v>360.22020199999997</v>
      </c>
      <c r="MG20" s="83">
        <v>360.22011099999997</v>
      </c>
      <c r="MH20" s="83">
        <v>390.49070399999999</v>
      </c>
      <c r="MI20" s="83">
        <v>451.69631900000002</v>
      </c>
      <c r="MJ20" s="83">
        <v>381.05331699999999</v>
      </c>
      <c r="MK20" s="83">
        <v>391.65016700000001</v>
      </c>
      <c r="ML20" s="83">
        <v>371.083124</v>
      </c>
      <c r="MM20" s="83">
        <v>308.40768400000002</v>
      </c>
      <c r="MN20" s="83">
        <v>308.40764000000001</v>
      </c>
      <c r="MO20" s="83">
        <v>355.57928299999998</v>
      </c>
      <c r="MP20" s="83">
        <v>412.07719600000001</v>
      </c>
      <c r="MQ20" s="83">
        <v>347.93459999999999</v>
      </c>
      <c r="MR20" s="83">
        <v>356.40601099999998</v>
      </c>
      <c r="MS20" s="83">
        <v>338.59761900000001</v>
      </c>
      <c r="MT20" s="83">
        <v>350.67989299999999</v>
      </c>
      <c r="MU20" s="83">
        <v>350.67979700000001</v>
      </c>
      <c r="MV20" s="83">
        <v>354.46166799999997</v>
      </c>
      <c r="MW20" s="83">
        <v>411.15950500000002</v>
      </c>
      <c r="MX20" s="83">
        <v>347.03199799999999</v>
      </c>
      <c r="MY20" s="83">
        <v>355.427255</v>
      </c>
      <c r="MZ20" s="83">
        <v>338.78240199999999</v>
      </c>
      <c r="NA20" s="83">
        <v>315.37489699999998</v>
      </c>
      <c r="NB20" s="83">
        <v>315.374796</v>
      </c>
      <c r="NC20" s="83">
        <v>339.44796400000001</v>
      </c>
      <c r="ND20" s="83">
        <v>393.11078199999997</v>
      </c>
      <c r="NE20" s="83">
        <v>332.97046999999998</v>
      </c>
      <c r="NF20" s="83">
        <v>340.11181900000003</v>
      </c>
      <c r="NG20" s="83">
        <v>324.35031500000002</v>
      </c>
      <c r="NH20" s="83">
        <v>388.354218</v>
      </c>
      <c r="NI20" s="83">
        <v>388.35413299999999</v>
      </c>
      <c r="NJ20" s="83">
        <v>413.457337</v>
      </c>
      <c r="NK20" s="83">
        <v>476.74222600000002</v>
      </c>
      <c r="NL20" s="83">
        <v>403.41804200000001</v>
      </c>
      <c r="NM20" s="83">
        <v>414.84511600000002</v>
      </c>
      <c r="NN20" s="83">
        <v>393.89496100000002</v>
      </c>
      <c r="NO20" s="83">
        <v>362.05030599999998</v>
      </c>
      <c r="NP20" s="83">
        <v>362.05022100000002</v>
      </c>
      <c r="NQ20" s="83">
        <v>398.91191600000002</v>
      </c>
      <c r="NR20" s="83">
        <v>459.763465</v>
      </c>
      <c r="NS20" s="83">
        <v>389.38672200000002</v>
      </c>
      <c r="NT20" s="83">
        <v>399.95094499999999</v>
      </c>
      <c r="NU20" s="83">
        <v>378.612212</v>
      </c>
      <c r="NV20" s="83">
        <v>306.76624199999998</v>
      </c>
      <c r="NW20" s="83">
        <v>306.766165</v>
      </c>
      <c r="NX20" s="83">
        <v>331.16013700000002</v>
      </c>
      <c r="NY20" s="83">
        <v>385.56353799999999</v>
      </c>
      <c r="NZ20" s="83">
        <v>324.47788500000001</v>
      </c>
      <c r="OA20" s="83">
        <v>331.90947999999997</v>
      </c>
      <c r="OB20" s="83">
        <v>316.05341099999998</v>
      </c>
      <c r="OC20" s="83">
        <v>331.72470499999997</v>
      </c>
      <c r="OD20" s="83">
        <v>331.724626</v>
      </c>
      <c r="OE20" s="83">
        <v>383.01135199999999</v>
      </c>
      <c r="OF20" s="83">
        <v>445.22655800000001</v>
      </c>
      <c r="OG20" s="83">
        <v>373.59290399999998</v>
      </c>
      <c r="OH20" s="83">
        <v>384.41501799999998</v>
      </c>
      <c r="OI20" s="83">
        <v>365.03038299999997</v>
      </c>
      <c r="OJ20" s="83">
        <v>356.41223500000001</v>
      </c>
      <c r="OK20" s="83">
        <v>356.41215999999997</v>
      </c>
      <c r="OL20" s="83">
        <v>360.23468800000001</v>
      </c>
      <c r="OM20" s="83">
        <v>415.76176900000002</v>
      </c>
      <c r="ON20" s="83">
        <v>352.94142599999998</v>
      </c>
      <c r="OO20" s="83">
        <v>360.98493300000001</v>
      </c>
      <c r="OP20" s="83">
        <v>343.66515299999998</v>
      </c>
      <c r="OQ20" s="83">
        <v>323.98142300000001</v>
      </c>
      <c r="OR20" s="83">
        <v>323.98138699999998</v>
      </c>
      <c r="OS20" s="83">
        <v>349.89448399999998</v>
      </c>
      <c r="OT20" s="83">
        <v>406.81823100000003</v>
      </c>
      <c r="OU20" s="83">
        <v>342.38767200000001</v>
      </c>
      <c r="OV20" s="83">
        <v>350.87988799999999</v>
      </c>
      <c r="OW20" s="83">
        <v>334.14173799999998</v>
      </c>
      <c r="OX20" s="83">
        <v>371.05842999999999</v>
      </c>
      <c r="OY20" s="83">
        <v>371.05836599999998</v>
      </c>
      <c r="OZ20" s="83">
        <v>391.57984099999999</v>
      </c>
      <c r="PA20" s="83">
        <v>453.05426999999997</v>
      </c>
      <c r="PB20" s="83">
        <v>381.97644600000001</v>
      </c>
      <c r="PC20" s="83">
        <v>392.731041</v>
      </c>
      <c r="PD20" s="83">
        <v>371.72666199999998</v>
      </c>
      <c r="PE20" s="83">
        <v>362.34493700000002</v>
      </c>
      <c r="PF20" s="83">
        <v>362.34483999999998</v>
      </c>
      <c r="PG20" s="83">
        <v>404.46159399999999</v>
      </c>
      <c r="PH20" s="83">
        <v>468.81533100000001</v>
      </c>
      <c r="PI20" s="83">
        <v>393.99018000000001</v>
      </c>
      <c r="PJ20" s="83">
        <v>405.91416199999998</v>
      </c>
      <c r="PK20" s="83">
        <v>384.22701000000001</v>
      </c>
      <c r="PL20" s="83">
        <v>369.23175199999997</v>
      </c>
      <c r="PM20" s="83">
        <v>369.23166700000002</v>
      </c>
      <c r="PN20" s="83">
        <v>400.262541</v>
      </c>
      <c r="PO20" s="83">
        <v>463.59824700000001</v>
      </c>
      <c r="PP20" s="83">
        <v>390.28448400000002</v>
      </c>
      <c r="PQ20" s="83">
        <v>401.68844999999999</v>
      </c>
      <c r="PR20" s="83">
        <v>381.06272799999999</v>
      </c>
      <c r="PS20" s="83">
        <v>354.20613900000001</v>
      </c>
      <c r="PT20" s="83">
        <v>354.206097</v>
      </c>
      <c r="PU20" s="83">
        <v>383.66999399999997</v>
      </c>
      <c r="PV20" s="83">
        <v>444.39114799999999</v>
      </c>
      <c r="PW20" s="83">
        <v>374.54456900000002</v>
      </c>
      <c r="PX20" s="83">
        <v>384.84981099999999</v>
      </c>
      <c r="PY20" s="83">
        <v>365.127386</v>
      </c>
      <c r="PZ20" s="83">
        <v>338.331166</v>
      </c>
      <c r="QA20" s="83">
        <v>338.33109100000001</v>
      </c>
      <c r="QB20" s="83">
        <v>367.40341000000001</v>
      </c>
      <c r="QC20" s="83">
        <v>429.969177</v>
      </c>
      <c r="QD20" s="83">
        <v>358.12284499999998</v>
      </c>
      <c r="QE20" s="83">
        <v>368.94814700000001</v>
      </c>
      <c r="QF20" s="83">
        <v>350.55192799999998</v>
      </c>
      <c r="QG20" s="83">
        <v>353.39860399999998</v>
      </c>
      <c r="QH20" s="83">
        <v>353.398529</v>
      </c>
      <c r="QI20" s="83">
        <v>383.86601999999999</v>
      </c>
      <c r="QJ20" s="83">
        <v>447.607034</v>
      </c>
      <c r="QK20" s="83">
        <v>373.99621300000001</v>
      </c>
      <c r="QL20" s="83">
        <v>385.43311899999998</v>
      </c>
      <c r="QM20" s="83">
        <v>365.724785</v>
      </c>
      <c r="QN20" s="83">
        <v>358.13552900000002</v>
      </c>
      <c r="QO20" s="83">
        <v>358.135471</v>
      </c>
      <c r="QP20" s="83">
        <v>388.86236300000002</v>
      </c>
      <c r="QQ20" s="83">
        <v>452.52777700000001</v>
      </c>
      <c r="QR20" s="83">
        <v>378.92635799999999</v>
      </c>
      <c r="QS20" s="83">
        <v>390.38339400000001</v>
      </c>
    </row>
    <row r="21" spans="6:461" x14ac:dyDescent="0.25">
      <c r="F21" s="82" t="str">
        <f xml:space="preserve"> _xll.EPMOlapMemberO("[PRDDESCR].[].[HELGAS GFREE TRAD WHITE 470G]","","HELGAS GFREE TRAD WHITE 470G","","000")</f>
        <v>HELGAS GFREE TRAD WHITE 470G</v>
      </c>
      <c r="G21" s="82" t="str">
        <f xml:space="preserve"> _xll.EPMOlapMemberO("[PRDID].[].[168846]","","168846","","000")</f>
        <v>168846</v>
      </c>
      <c r="H21" s="82" t="str">
        <f xml:space="preserve"> _xll.EPMOlapMemberO("[LOCID].[].[6125]","","6125","","000")</f>
        <v>6125</v>
      </c>
      <c r="I21" s="82" t="str">
        <f xml:space="preserve"> _xll.EPMOlapMemberO("[LOCDESCR].[].[QBA -Keilor Park]","","QBA -Keilor Park","","000")</f>
        <v>QBA -Keilor Park</v>
      </c>
      <c r="J21" s="82" t="str">
        <f xml:space="preserve"> _xll.EPMOlapMemberO("[KEY_FIGURES].[].[ZGFAPPROVEDFCSTQTY]","","Approved Forecast","","000")</f>
        <v>Approved Forecast</v>
      </c>
      <c r="K21" s="83">
        <v>212.672033</v>
      </c>
      <c r="L21" s="83">
        <v>440.05314299999998</v>
      </c>
      <c r="M21" s="83">
        <v>534.18762000000004</v>
      </c>
      <c r="N21" s="83">
        <v>512.91565500000002</v>
      </c>
      <c r="O21" s="83">
        <v>0.32259399999999999</v>
      </c>
      <c r="P21" s="83">
        <v>0.13314400000000001</v>
      </c>
      <c r="Q21" s="83">
        <v>1100.0411220000001</v>
      </c>
      <c r="R21" s="83">
        <v>199.703664</v>
      </c>
      <c r="S21" s="83">
        <v>474.66990900000002</v>
      </c>
      <c r="T21" s="83">
        <v>600.64207199999998</v>
      </c>
      <c r="U21" s="83">
        <v>510.369485</v>
      </c>
      <c r="V21" s="83">
        <v>0.29180699999999998</v>
      </c>
      <c r="W21" s="83">
        <v>0.118395</v>
      </c>
      <c r="X21" s="83">
        <v>1028.1714420000001</v>
      </c>
      <c r="Y21" s="83">
        <v>182.053583</v>
      </c>
      <c r="Z21" s="83">
        <v>430.79470500000002</v>
      </c>
      <c r="AA21" s="83">
        <v>549.31023400000004</v>
      </c>
      <c r="AB21" s="83">
        <v>470.46563800000001</v>
      </c>
      <c r="AC21" s="83">
        <v>0.234898</v>
      </c>
      <c r="AD21" s="83">
        <v>8.0688999999999997E-2</v>
      </c>
      <c r="AE21" s="83">
        <v>992.89394200000004</v>
      </c>
      <c r="AF21" s="83">
        <v>166.66311400000001</v>
      </c>
      <c r="AG21" s="83">
        <v>417.08930400000003</v>
      </c>
      <c r="AH21" s="83">
        <v>529.65096000000005</v>
      </c>
      <c r="AI21" s="83">
        <v>459.99523399999998</v>
      </c>
      <c r="AJ21" s="83">
        <v>0.20843700000000001</v>
      </c>
      <c r="AK21" s="83">
        <v>8.0562999999999996E-2</v>
      </c>
      <c r="AL21" s="83">
        <v>890.54386099999999</v>
      </c>
      <c r="AM21" s="83">
        <v>140.758388</v>
      </c>
      <c r="AN21" s="83">
        <v>375.76979399999999</v>
      </c>
      <c r="AO21" s="83">
        <v>508.91864700000002</v>
      </c>
      <c r="AP21" s="83">
        <v>474.44212800000003</v>
      </c>
      <c r="AQ21" s="83">
        <v>0.173317</v>
      </c>
      <c r="AR21" s="83">
        <v>7.6305999999999999E-2</v>
      </c>
      <c r="AS21" s="83">
        <v>856.84936100000004</v>
      </c>
      <c r="AT21" s="83">
        <v>140.03194999999999</v>
      </c>
      <c r="AU21" s="83">
        <v>362.03599000000003</v>
      </c>
      <c r="AV21" s="83">
        <v>473.02133500000002</v>
      </c>
      <c r="AW21" s="83">
        <v>427.38313099999999</v>
      </c>
      <c r="AX21" s="83">
        <v>0.167713</v>
      </c>
      <c r="AY21" s="83">
        <v>7.9890000000000003E-2</v>
      </c>
      <c r="AZ21" s="83">
        <v>986.67713300000003</v>
      </c>
      <c r="BA21" s="83">
        <v>157.554192</v>
      </c>
      <c r="BB21" s="83">
        <v>418.13639000000001</v>
      </c>
      <c r="BC21" s="83">
        <v>558.91301599999997</v>
      </c>
      <c r="BD21" s="83">
        <v>519.59170700000004</v>
      </c>
      <c r="BE21" s="83">
        <v>0.175785</v>
      </c>
      <c r="BF21" s="83">
        <v>8.5912000000000002E-2</v>
      </c>
      <c r="BG21" s="83">
        <v>990.57056999999998</v>
      </c>
      <c r="BH21" s="83">
        <v>162.19797199999999</v>
      </c>
      <c r="BI21" s="83">
        <v>418.22951499999999</v>
      </c>
      <c r="BJ21" s="83">
        <v>564.13246700000002</v>
      </c>
      <c r="BK21" s="83">
        <v>517.96825899999999</v>
      </c>
      <c r="BL21" s="83">
        <v>0.15312000000000001</v>
      </c>
      <c r="BM21" s="83">
        <v>8.2945000000000005E-2</v>
      </c>
      <c r="BN21" s="83">
        <v>950.53296399999999</v>
      </c>
      <c r="BO21" s="83">
        <v>155.44411400000001</v>
      </c>
      <c r="BP21" s="83">
        <v>401.369958</v>
      </c>
      <c r="BQ21" s="83">
        <v>541.55501400000003</v>
      </c>
      <c r="BR21" s="83">
        <v>497.65088600000001</v>
      </c>
      <c r="BS21" s="83">
        <v>0.16023699999999999</v>
      </c>
      <c r="BT21" s="83">
        <v>8.8743000000000002E-2</v>
      </c>
      <c r="BU21" s="83">
        <v>1004.325864</v>
      </c>
      <c r="BV21" s="83">
        <v>164.37290999999999</v>
      </c>
      <c r="BW21" s="83">
        <v>418.84773899999999</v>
      </c>
      <c r="BX21" s="83">
        <v>565.91271800000004</v>
      </c>
      <c r="BY21" s="83">
        <v>509.00614400000001</v>
      </c>
      <c r="BZ21" s="83">
        <v>0.11021499999999999</v>
      </c>
      <c r="CA21" s="83">
        <v>7.7046000000000003E-2</v>
      </c>
      <c r="CB21" s="83">
        <v>796.64257799999996</v>
      </c>
      <c r="CC21" s="83">
        <v>127.98998</v>
      </c>
      <c r="CD21" s="83">
        <v>335.59539999999998</v>
      </c>
      <c r="CE21" s="83">
        <v>460.02174100000002</v>
      </c>
      <c r="CF21" s="83">
        <v>427.23000999999999</v>
      </c>
      <c r="CG21" s="83">
        <v>0.15487100000000001</v>
      </c>
      <c r="CH21" s="83">
        <v>8.2763000000000003E-2</v>
      </c>
      <c r="CI21" s="83">
        <v>937.16599299999996</v>
      </c>
      <c r="CJ21" s="83">
        <v>154.09806</v>
      </c>
      <c r="CK21" s="83">
        <v>392.46806800000002</v>
      </c>
      <c r="CL21" s="83">
        <v>528.13663699999995</v>
      </c>
      <c r="CM21" s="83">
        <v>476.41730100000001</v>
      </c>
      <c r="CN21" s="83">
        <v>0.15954199999999999</v>
      </c>
      <c r="CO21" s="83">
        <v>7.5286000000000006E-2</v>
      </c>
      <c r="CP21" s="83">
        <v>934.92716900000005</v>
      </c>
      <c r="CQ21" s="83">
        <v>154.072869</v>
      </c>
      <c r="CR21" s="83">
        <v>388.11038000000002</v>
      </c>
      <c r="CS21" s="83">
        <v>521.09852000000001</v>
      </c>
      <c r="CT21" s="83">
        <v>461.83147400000001</v>
      </c>
      <c r="CU21" s="83">
        <v>0.119724</v>
      </c>
      <c r="CV21" s="83">
        <v>8.1054000000000001E-2</v>
      </c>
      <c r="CW21" s="83">
        <v>883.34814400000005</v>
      </c>
      <c r="CX21" s="83">
        <v>140.99034900000001</v>
      </c>
      <c r="CY21" s="83">
        <v>377.329566</v>
      </c>
      <c r="CZ21" s="83">
        <v>517.85809099999994</v>
      </c>
      <c r="DA21" s="83">
        <v>494.00491499999998</v>
      </c>
      <c r="DB21" s="83">
        <v>0.13037599999999999</v>
      </c>
      <c r="DC21" s="83">
        <v>8.1501000000000004E-2</v>
      </c>
      <c r="DD21" s="83">
        <v>859.24874999999997</v>
      </c>
      <c r="DE21" s="83">
        <v>139.79558700000001</v>
      </c>
      <c r="DF21" s="83">
        <v>361.51686799999999</v>
      </c>
      <c r="DG21" s="83">
        <v>490.83614399999999</v>
      </c>
      <c r="DH21" s="83">
        <v>450.36475000000002</v>
      </c>
      <c r="DI21" s="83">
        <v>0.143677</v>
      </c>
      <c r="DJ21" s="83">
        <v>8.1198999999999993E-2</v>
      </c>
      <c r="DK21" s="83">
        <v>934.502656</v>
      </c>
      <c r="DL21" s="83">
        <v>151.782296</v>
      </c>
      <c r="DM21" s="83">
        <v>392.93016799999998</v>
      </c>
      <c r="DN21" s="83">
        <v>533.16817600000002</v>
      </c>
      <c r="DO21" s="83">
        <v>489.24407200000002</v>
      </c>
      <c r="DP21" s="83">
        <v>0.13809399999999999</v>
      </c>
      <c r="DQ21" s="83">
        <v>7.9861000000000001E-2</v>
      </c>
      <c r="DR21" s="83">
        <v>958.12724800000001</v>
      </c>
      <c r="DS21" s="83">
        <v>153.94647699999999</v>
      </c>
      <c r="DT21" s="83">
        <v>401.94880499999999</v>
      </c>
      <c r="DU21" s="83">
        <v>549.48090999999999</v>
      </c>
      <c r="DV21" s="83">
        <v>506.69843200000003</v>
      </c>
      <c r="DW21" s="83">
        <v>0.147977</v>
      </c>
      <c r="DX21" s="83">
        <v>8.1717999999999999E-2</v>
      </c>
      <c r="DY21" s="83">
        <v>943.84754399999997</v>
      </c>
      <c r="DZ21" s="83">
        <v>153.93272400000001</v>
      </c>
      <c r="EA21" s="83">
        <v>392.58407499999998</v>
      </c>
      <c r="EB21" s="83">
        <v>531.87587599999995</v>
      </c>
      <c r="EC21" s="83">
        <v>477.59005100000002</v>
      </c>
      <c r="ED21" s="83">
        <v>0.13939499999999999</v>
      </c>
      <c r="EE21" s="83">
        <v>8.1770999999999996E-2</v>
      </c>
      <c r="EF21" s="83">
        <v>915.45668999999998</v>
      </c>
      <c r="EG21" s="83">
        <v>148.76120399999999</v>
      </c>
      <c r="EH21" s="83">
        <v>382.52091200000001</v>
      </c>
      <c r="EI21" s="83">
        <v>519.64856599999996</v>
      </c>
      <c r="EJ21" s="83">
        <v>471.75439699999998</v>
      </c>
      <c r="EK21" s="83">
        <v>0.13145299999999999</v>
      </c>
      <c r="EL21" s="83">
        <v>7.9431000000000002E-2</v>
      </c>
      <c r="EM21" s="83">
        <v>855.07214099999999</v>
      </c>
      <c r="EN21" s="83">
        <v>139.39055099999999</v>
      </c>
      <c r="EO21" s="83">
        <v>356.59711900000002</v>
      </c>
      <c r="EP21" s="83">
        <v>483.87577499999998</v>
      </c>
      <c r="EQ21" s="83">
        <v>436.69669399999998</v>
      </c>
      <c r="ER21" s="83">
        <v>0.16429199999999999</v>
      </c>
      <c r="ES21" s="83">
        <v>8.9139999999999997E-2</v>
      </c>
      <c r="ET21" s="83">
        <v>1036.945084</v>
      </c>
      <c r="EU21" s="83">
        <v>169.53057899999999</v>
      </c>
      <c r="EV21" s="83">
        <v>428.47404599999999</v>
      </c>
      <c r="EW21" s="83">
        <v>579.82531700000004</v>
      </c>
      <c r="EX21" s="83">
        <v>513.70021899999995</v>
      </c>
      <c r="EY21" s="83">
        <v>0.13342799999999999</v>
      </c>
      <c r="EZ21" s="83">
        <v>7.7270000000000005E-2</v>
      </c>
      <c r="FA21" s="83">
        <v>953.41702099999998</v>
      </c>
      <c r="FB21" s="83">
        <v>152.16476299999999</v>
      </c>
      <c r="FC21" s="83">
        <v>404.463908</v>
      </c>
      <c r="FD21" s="83">
        <v>554.34565099999998</v>
      </c>
      <c r="FE21" s="83">
        <v>523.03728899999999</v>
      </c>
      <c r="FF21" s="83">
        <v>0.17036000000000001</v>
      </c>
      <c r="FG21" s="83">
        <v>8.3864999999999995E-2</v>
      </c>
      <c r="FH21" s="83">
        <v>994.36591399999998</v>
      </c>
      <c r="FI21" s="83">
        <v>170.36338499999999</v>
      </c>
      <c r="FJ21" s="83">
        <v>417.41519899999997</v>
      </c>
      <c r="FK21" s="83">
        <v>543.12005299999998</v>
      </c>
      <c r="FL21" s="83">
        <v>473.44562000000002</v>
      </c>
      <c r="FM21" s="83">
        <v>0.16162000000000001</v>
      </c>
      <c r="FN21" s="83">
        <v>8.0440999999999999E-2</v>
      </c>
      <c r="FO21" s="83">
        <v>855.86791400000004</v>
      </c>
      <c r="FP21" s="83">
        <v>139.64897199999999</v>
      </c>
      <c r="FQ21" s="83">
        <v>357.38104399999997</v>
      </c>
      <c r="FR21" s="83">
        <v>484.63326499999999</v>
      </c>
      <c r="FS21" s="83">
        <v>437.99976900000001</v>
      </c>
      <c r="FT21" s="83">
        <v>0.13983499999999999</v>
      </c>
      <c r="FU21" s="83">
        <v>7.7842999999999996E-2</v>
      </c>
      <c r="FV21" s="83">
        <v>916.75956599999995</v>
      </c>
      <c r="FW21" s="83">
        <v>148.73592099999999</v>
      </c>
      <c r="FX21" s="83">
        <v>381.73917499999999</v>
      </c>
      <c r="FY21" s="83">
        <v>518.95033599999999</v>
      </c>
      <c r="FZ21" s="83">
        <v>468.89717400000001</v>
      </c>
      <c r="GA21" s="83">
        <v>0.154721</v>
      </c>
      <c r="GB21" s="83">
        <v>8.2378999999999994E-2</v>
      </c>
      <c r="GC21" s="83">
        <v>924.14423199999999</v>
      </c>
      <c r="GD21" s="83">
        <v>152.226236</v>
      </c>
      <c r="GE21" s="83">
        <v>389.15261199999998</v>
      </c>
      <c r="GF21" s="83">
        <v>522.67534699999999</v>
      </c>
      <c r="GG21" s="83">
        <v>475.20981899999998</v>
      </c>
      <c r="GH21" s="83">
        <v>0.15040000000000001</v>
      </c>
      <c r="GI21" s="83">
        <v>8.1550999999999998E-2</v>
      </c>
      <c r="GJ21" s="83">
        <v>882.08620699999994</v>
      </c>
      <c r="GK21" s="83">
        <v>145.950491</v>
      </c>
      <c r="GL21" s="83">
        <v>371.22135300000002</v>
      </c>
      <c r="GM21" s="83">
        <v>497.35427199999998</v>
      </c>
      <c r="GN21" s="83">
        <v>450.03299299999998</v>
      </c>
      <c r="GO21" s="83">
        <v>0.135684</v>
      </c>
      <c r="GP21" s="83">
        <v>7.9089999999999994E-2</v>
      </c>
      <c r="GQ21" s="83">
        <v>879.69340299999999</v>
      </c>
      <c r="GR21" s="83">
        <v>143.15803700000001</v>
      </c>
      <c r="GS21" s="83">
        <v>369.317543</v>
      </c>
      <c r="GT21" s="83">
        <v>500.91382900000002</v>
      </c>
      <c r="GU21" s="83">
        <v>457.76713999999998</v>
      </c>
      <c r="GV21" s="83">
        <v>0.15514</v>
      </c>
      <c r="GW21" s="83">
        <v>8.6205000000000004E-2</v>
      </c>
      <c r="GX21" s="83">
        <v>990.74235899999996</v>
      </c>
      <c r="GY21" s="83">
        <v>161.46848900000001</v>
      </c>
      <c r="GZ21" s="83">
        <v>415.30573500000003</v>
      </c>
      <c r="HA21" s="83">
        <v>562.31762000000003</v>
      </c>
      <c r="HB21" s="83">
        <v>511.96941099999998</v>
      </c>
      <c r="HC21" s="83">
        <v>0.15782299999999999</v>
      </c>
      <c r="HD21" s="83">
        <v>8.0057000000000003E-2</v>
      </c>
      <c r="HE21" s="83">
        <v>941.99670800000001</v>
      </c>
      <c r="HF21" s="83">
        <v>160.59948700000001</v>
      </c>
      <c r="HG21" s="83">
        <v>398.16564699999998</v>
      </c>
      <c r="HH21" s="83">
        <v>519.534222</v>
      </c>
      <c r="HI21" s="83">
        <v>460.73958199999998</v>
      </c>
      <c r="HJ21" s="83">
        <v>0.189972</v>
      </c>
      <c r="HK21" s="83">
        <v>7.8511999999999998E-2</v>
      </c>
      <c r="HL21" s="83">
        <v>899.84288700000002</v>
      </c>
      <c r="HM21" s="83">
        <v>148.770275</v>
      </c>
      <c r="HN21" s="83">
        <v>376.26342799999998</v>
      </c>
      <c r="HO21" s="83">
        <v>504.19788899999998</v>
      </c>
      <c r="HP21" s="83">
        <v>451.37732599999998</v>
      </c>
      <c r="HQ21" s="83">
        <v>0.179508</v>
      </c>
      <c r="HR21" s="83">
        <v>8.2611000000000004E-2</v>
      </c>
      <c r="HS21" s="83">
        <v>967.27660000000003</v>
      </c>
      <c r="HT21" s="83">
        <v>162.11761799999999</v>
      </c>
      <c r="HU21" s="83">
        <v>406.40193599999998</v>
      </c>
      <c r="HV21" s="83">
        <v>538.65664500000003</v>
      </c>
      <c r="HW21" s="83">
        <v>480.42068</v>
      </c>
      <c r="HX21" s="83">
        <v>0.18094299999999999</v>
      </c>
      <c r="HY21" s="83">
        <v>8.2454E-2</v>
      </c>
      <c r="HZ21" s="83">
        <v>1062.861396</v>
      </c>
      <c r="IA21" s="83">
        <v>174.640074</v>
      </c>
      <c r="IB21" s="83">
        <v>447.09600699999999</v>
      </c>
      <c r="IC21" s="83">
        <v>600.005177</v>
      </c>
      <c r="ID21" s="83">
        <v>545.48472300000003</v>
      </c>
      <c r="IE21" s="83">
        <v>0.16911899999999999</v>
      </c>
      <c r="IF21" s="83">
        <v>8.0935000000000007E-2</v>
      </c>
      <c r="IG21" s="83">
        <v>1032.5158650000001</v>
      </c>
      <c r="IH21" s="83">
        <v>173.432954</v>
      </c>
      <c r="II21" s="83">
        <v>439.10868799999997</v>
      </c>
      <c r="IJ21" s="83">
        <v>578.69448</v>
      </c>
      <c r="IK21" s="83">
        <v>525.86822099999995</v>
      </c>
      <c r="IL21" s="83">
        <v>0.175819</v>
      </c>
      <c r="IM21" s="83">
        <v>8.5401000000000005E-2</v>
      </c>
      <c r="IN21" s="83">
        <v>916.67690700000003</v>
      </c>
      <c r="IO21" s="83">
        <v>150.60461100000001</v>
      </c>
      <c r="IP21" s="83">
        <v>386.01586300000002</v>
      </c>
      <c r="IQ21" s="83">
        <v>519.96236199999998</v>
      </c>
      <c r="IR21" s="83">
        <v>473.90702299999998</v>
      </c>
      <c r="IS21" s="83">
        <v>0.13500200000000001</v>
      </c>
      <c r="IT21" s="83">
        <v>8.1745999999999999E-2</v>
      </c>
      <c r="IU21" s="83">
        <v>933.929574</v>
      </c>
      <c r="IV21" s="83">
        <v>150.43051500000001</v>
      </c>
      <c r="IW21" s="83">
        <v>391.78876100000002</v>
      </c>
      <c r="IX21" s="83">
        <v>535.152107</v>
      </c>
      <c r="IY21" s="83">
        <v>492.56957399999999</v>
      </c>
      <c r="IZ21" s="83">
        <v>0.14160700000000001</v>
      </c>
      <c r="JA21" s="83">
        <v>8.1852999999999995E-2</v>
      </c>
      <c r="JB21" s="83">
        <v>909.72620400000005</v>
      </c>
      <c r="JC21" s="83">
        <v>148.21198100000001</v>
      </c>
      <c r="JD21" s="83">
        <v>383.28994699999998</v>
      </c>
      <c r="JE21" s="83">
        <v>519.13469199999997</v>
      </c>
      <c r="JF21" s="83">
        <v>476.81634600000001</v>
      </c>
      <c r="JG21" s="83">
        <v>0.14482800000000001</v>
      </c>
      <c r="JH21" s="83">
        <v>7.4119000000000004E-2</v>
      </c>
      <c r="JI21" s="83">
        <v>887.88292899999999</v>
      </c>
      <c r="JJ21" s="83">
        <v>151.14621099999999</v>
      </c>
      <c r="JK21" s="83">
        <v>371.29118299999999</v>
      </c>
      <c r="JL21" s="83">
        <v>485.83916099999999</v>
      </c>
      <c r="JM21" s="83">
        <v>423.093659</v>
      </c>
      <c r="JN21" s="83">
        <v>2.6337009999999998</v>
      </c>
      <c r="JO21" s="83">
        <v>2.3747039999999999</v>
      </c>
      <c r="JP21" s="83">
        <v>1699.1544260000001</v>
      </c>
      <c r="JQ21" s="83">
        <v>321.60679099999999</v>
      </c>
      <c r="JR21" s="83">
        <v>633.927414</v>
      </c>
      <c r="JS21" s="83">
        <v>2.4312339999999999</v>
      </c>
      <c r="JT21" s="83">
        <v>2.2417600000000002</v>
      </c>
      <c r="JU21" s="83">
        <v>321.28778399999999</v>
      </c>
      <c r="JV21" s="83">
        <v>321.28774499999997</v>
      </c>
      <c r="JW21" s="83">
        <v>335.78431999999998</v>
      </c>
      <c r="JX21" s="83">
        <v>444.057796</v>
      </c>
      <c r="JY21" s="83">
        <v>363.67245300000002</v>
      </c>
      <c r="JZ21" s="83">
        <v>339.64638300000001</v>
      </c>
      <c r="KA21" s="83">
        <v>325.547618</v>
      </c>
      <c r="KB21" s="83">
        <v>319.58859899999999</v>
      </c>
      <c r="KC21" s="83">
        <v>319.58854300000002</v>
      </c>
      <c r="KD21" s="83">
        <v>338.452495</v>
      </c>
      <c r="KE21" s="83">
        <v>447.77756399999998</v>
      </c>
      <c r="KF21" s="83">
        <v>366.93935399999998</v>
      </c>
      <c r="KG21" s="83">
        <v>341.908276</v>
      </c>
      <c r="KH21" s="83">
        <v>328.275734</v>
      </c>
      <c r="KI21" s="83">
        <v>313.17668600000002</v>
      </c>
      <c r="KJ21" s="83">
        <v>313.17664500000001</v>
      </c>
      <c r="KK21" s="83">
        <v>326.721405</v>
      </c>
      <c r="KL21" s="83">
        <v>427.37416999999999</v>
      </c>
      <c r="KM21" s="83">
        <v>352.57600600000001</v>
      </c>
      <c r="KN21" s="83">
        <v>330.51692200000002</v>
      </c>
      <c r="KO21" s="83">
        <v>317.37439899999998</v>
      </c>
      <c r="KP21" s="83">
        <v>320.89223700000002</v>
      </c>
      <c r="KQ21" s="83">
        <v>320.89216800000003</v>
      </c>
      <c r="KR21" s="83">
        <v>337.51487500000002</v>
      </c>
      <c r="KS21" s="83">
        <v>441.69136900000001</v>
      </c>
      <c r="KT21" s="83">
        <v>363.93450899999999</v>
      </c>
      <c r="KU21" s="83">
        <v>341.84234900000001</v>
      </c>
      <c r="KV21" s="83">
        <v>327.561689</v>
      </c>
      <c r="KW21" s="83">
        <v>335.37651299999999</v>
      </c>
      <c r="KX21" s="83">
        <v>335.37647399999997</v>
      </c>
      <c r="KY21" s="83">
        <v>352.23183399999999</v>
      </c>
      <c r="KZ21" s="83">
        <v>464.54801800000001</v>
      </c>
      <c r="LA21" s="83">
        <v>381.03003799999999</v>
      </c>
      <c r="LB21" s="83">
        <v>356.34782999999999</v>
      </c>
      <c r="LC21" s="83">
        <v>341.42305199999998</v>
      </c>
      <c r="LD21" s="83">
        <v>310.03145999999998</v>
      </c>
      <c r="LE21" s="83">
        <v>310.03139299999998</v>
      </c>
      <c r="LF21" s="83">
        <v>327.16744499999999</v>
      </c>
      <c r="LG21" s="83">
        <v>431.00582600000001</v>
      </c>
      <c r="LH21" s="83">
        <v>353.82919800000002</v>
      </c>
      <c r="LI21" s="83">
        <v>330.97576900000001</v>
      </c>
      <c r="LJ21" s="83">
        <v>317.29189700000001</v>
      </c>
      <c r="LK21" s="83">
        <v>299.88779399999999</v>
      </c>
      <c r="LL21" s="83">
        <v>299.88775900000002</v>
      </c>
      <c r="LM21" s="83">
        <v>315.21738599999998</v>
      </c>
      <c r="LN21" s="83">
        <v>414.34288099999998</v>
      </c>
      <c r="LO21" s="83">
        <v>340.66996499999999</v>
      </c>
      <c r="LP21" s="83">
        <v>318.955037</v>
      </c>
      <c r="LQ21" s="83">
        <v>305.982619</v>
      </c>
      <c r="LR21" s="83">
        <v>306.40131100000002</v>
      </c>
      <c r="LS21" s="83">
        <v>306.40126600000002</v>
      </c>
      <c r="LT21" s="83">
        <v>339.13595099999998</v>
      </c>
      <c r="LU21" s="83">
        <v>444.59133300000002</v>
      </c>
      <c r="LV21" s="83">
        <v>366.281721</v>
      </c>
      <c r="LW21" s="83">
        <v>342.928425</v>
      </c>
      <c r="LX21" s="83">
        <v>329.173721</v>
      </c>
      <c r="LY21" s="83">
        <v>345.13954200000001</v>
      </c>
      <c r="LZ21" s="83">
        <v>345.13946499999997</v>
      </c>
      <c r="MA21" s="83">
        <v>343.28526499999998</v>
      </c>
      <c r="MB21" s="83">
        <v>446.85701599999999</v>
      </c>
      <c r="MC21" s="83">
        <v>369.93470500000001</v>
      </c>
      <c r="MD21" s="83">
        <v>347.00886200000002</v>
      </c>
      <c r="ME21" s="83">
        <v>333.46431699999999</v>
      </c>
      <c r="MF21" s="83">
        <v>350.577763</v>
      </c>
      <c r="MG21" s="83">
        <v>350.57770900000003</v>
      </c>
      <c r="MH21" s="83">
        <v>367.86354599999999</v>
      </c>
      <c r="MI21" s="83">
        <v>481.64244500000001</v>
      </c>
      <c r="MJ21" s="83">
        <v>397.55538799999999</v>
      </c>
      <c r="MK21" s="83">
        <v>371.37274100000002</v>
      </c>
      <c r="ML21" s="83">
        <v>357.24329599999999</v>
      </c>
      <c r="MM21" s="83">
        <v>302.81636400000002</v>
      </c>
      <c r="MN21" s="83">
        <v>302.81631700000003</v>
      </c>
      <c r="MO21" s="83">
        <v>341.12262199999998</v>
      </c>
      <c r="MP21" s="83">
        <v>447.29375099999999</v>
      </c>
      <c r="MQ21" s="83">
        <v>368.84819399999998</v>
      </c>
      <c r="MR21" s="83">
        <v>344.42034000000001</v>
      </c>
      <c r="MS21" s="83">
        <v>331.31260300000002</v>
      </c>
      <c r="MT21" s="83">
        <v>338.53826199999997</v>
      </c>
      <c r="MU21" s="83">
        <v>338.53820999999999</v>
      </c>
      <c r="MV21" s="83">
        <v>331.72125199999999</v>
      </c>
      <c r="MW21" s="83">
        <v>429.38695200000001</v>
      </c>
      <c r="MX21" s="83">
        <v>356.51257299999997</v>
      </c>
      <c r="MY21" s="83">
        <v>335.765353</v>
      </c>
      <c r="MZ21" s="83">
        <v>322.43463600000001</v>
      </c>
      <c r="NA21" s="83">
        <v>314.68349499999999</v>
      </c>
      <c r="NB21" s="83">
        <v>314.68344100000002</v>
      </c>
      <c r="NC21" s="83">
        <v>329.80364100000003</v>
      </c>
      <c r="ND21" s="83">
        <v>428.55610300000001</v>
      </c>
      <c r="NE21" s="83">
        <v>355.19679000000002</v>
      </c>
      <c r="NF21" s="83">
        <v>333.52839399999999</v>
      </c>
      <c r="NG21" s="83">
        <v>320.71490299999999</v>
      </c>
      <c r="NH21" s="83">
        <v>349.39924400000001</v>
      </c>
      <c r="NI21" s="83">
        <v>349.39917400000002</v>
      </c>
      <c r="NJ21" s="83">
        <v>361.14840900000002</v>
      </c>
      <c r="NK21" s="83">
        <v>477.01907399999999</v>
      </c>
      <c r="NL21" s="83">
        <v>391.22194200000001</v>
      </c>
      <c r="NM21" s="83">
        <v>364.939143</v>
      </c>
      <c r="NN21" s="83">
        <v>350.24328400000002</v>
      </c>
      <c r="NO21" s="83">
        <v>379.059552</v>
      </c>
      <c r="NP21" s="83">
        <v>379.05950799999999</v>
      </c>
      <c r="NQ21" s="83">
        <v>404.09493600000002</v>
      </c>
      <c r="NR21" s="83">
        <v>523.91384500000004</v>
      </c>
      <c r="NS21" s="83">
        <v>435.046313</v>
      </c>
      <c r="NT21" s="83">
        <v>408.101383</v>
      </c>
      <c r="NU21" s="83">
        <v>392.53856300000001</v>
      </c>
      <c r="NV21" s="83">
        <v>337.13989400000003</v>
      </c>
      <c r="NW21" s="83">
        <v>337.13983300000001</v>
      </c>
      <c r="NX21" s="83">
        <v>353.65925199999998</v>
      </c>
      <c r="NY21" s="83">
        <v>455.81998700000003</v>
      </c>
      <c r="NZ21" s="83">
        <v>379.44722899999999</v>
      </c>
      <c r="OA21" s="83">
        <v>358.03398099999998</v>
      </c>
      <c r="OB21" s="83">
        <v>343.78045800000001</v>
      </c>
      <c r="OC21" s="83">
        <v>327.07241299999998</v>
      </c>
      <c r="OD21" s="83">
        <v>327.07234999999997</v>
      </c>
      <c r="OE21" s="83">
        <v>365.73195299999998</v>
      </c>
      <c r="OF21" s="83">
        <v>475.18646699999999</v>
      </c>
      <c r="OG21" s="83">
        <v>393.42644899999999</v>
      </c>
      <c r="OH21" s="83">
        <v>370.29596800000002</v>
      </c>
      <c r="OI21" s="83">
        <v>355.11561999999998</v>
      </c>
      <c r="OJ21" s="83">
        <v>342.58095400000002</v>
      </c>
      <c r="OK21" s="83">
        <v>342.58089799999999</v>
      </c>
      <c r="OL21" s="83">
        <v>334.44516900000002</v>
      </c>
      <c r="OM21" s="83">
        <v>442.47545000000002</v>
      </c>
      <c r="ON21" s="83">
        <v>362.58268900000002</v>
      </c>
      <c r="OO21" s="83">
        <v>337.996669</v>
      </c>
      <c r="OP21" s="83">
        <v>324.60669000000001</v>
      </c>
      <c r="OQ21" s="83">
        <v>299.72055899999998</v>
      </c>
      <c r="OR21" s="83">
        <v>299.72049399999997</v>
      </c>
      <c r="OS21" s="83">
        <v>315.87634400000002</v>
      </c>
      <c r="OT21" s="83">
        <v>412.18507699999998</v>
      </c>
      <c r="OU21" s="83">
        <v>339.69637699999998</v>
      </c>
      <c r="OV21" s="83">
        <v>320.67938299999997</v>
      </c>
      <c r="OW21" s="83">
        <v>306.35220600000002</v>
      </c>
      <c r="OX21" s="83">
        <v>367.386822</v>
      </c>
      <c r="OY21" s="83">
        <v>367.38675899999998</v>
      </c>
      <c r="OZ21" s="83">
        <v>375.56628799999999</v>
      </c>
      <c r="PA21" s="83">
        <v>495.518372</v>
      </c>
      <c r="PB21" s="83">
        <v>406.65827000000002</v>
      </c>
      <c r="PC21" s="83">
        <v>379.47234400000002</v>
      </c>
      <c r="PD21" s="83">
        <v>364.12091600000002</v>
      </c>
      <c r="PE21" s="83">
        <v>360.72198800000001</v>
      </c>
      <c r="PF21" s="83">
        <v>360.72191199999997</v>
      </c>
      <c r="PG21" s="83">
        <v>390.61220900000001</v>
      </c>
      <c r="PH21" s="83">
        <v>515.99426600000004</v>
      </c>
      <c r="PI21" s="83">
        <v>422.88591700000001</v>
      </c>
      <c r="PJ21" s="83">
        <v>395.02422300000001</v>
      </c>
      <c r="PK21" s="83">
        <v>378.582808</v>
      </c>
      <c r="PL21" s="83">
        <v>339.028978</v>
      </c>
      <c r="PM21" s="83">
        <v>339.02890500000001</v>
      </c>
      <c r="PN21" s="83">
        <v>357.28695699999997</v>
      </c>
      <c r="PO21" s="83">
        <v>470.60881499999999</v>
      </c>
      <c r="PP21" s="83">
        <v>386.01533999999998</v>
      </c>
      <c r="PQ21" s="83">
        <v>361.93143099999998</v>
      </c>
      <c r="PR21" s="83">
        <v>346.31145299999997</v>
      </c>
      <c r="PS21" s="83">
        <v>355.67684500000001</v>
      </c>
      <c r="PT21" s="83">
        <v>355.67676299999999</v>
      </c>
      <c r="PU21" s="83">
        <v>373.62820099999999</v>
      </c>
      <c r="PV21" s="83">
        <v>489.82355899999999</v>
      </c>
      <c r="PW21" s="83">
        <v>403.466655</v>
      </c>
      <c r="PX21" s="83">
        <v>378.01255500000002</v>
      </c>
      <c r="PY21" s="83">
        <v>362.81733200000002</v>
      </c>
      <c r="PZ21" s="83">
        <v>286.26433500000002</v>
      </c>
      <c r="QA21" s="83">
        <v>286.26429300000001</v>
      </c>
      <c r="QB21" s="83">
        <v>301.07261999999997</v>
      </c>
      <c r="QC21" s="83">
        <v>399.05271099999999</v>
      </c>
      <c r="QD21" s="83">
        <v>326.37666100000001</v>
      </c>
      <c r="QE21" s="83">
        <v>304.64698800000002</v>
      </c>
      <c r="QF21" s="83">
        <v>292.15808299999998</v>
      </c>
      <c r="QG21" s="83">
        <v>331.892382</v>
      </c>
      <c r="QH21" s="83">
        <v>331.892315</v>
      </c>
      <c r="QI21" s="83">
        <v>349.17204700000002</v>
      </c>
      <c r="QJ21" s="83">
        <v>457.75271500000002</v>
      </c>
      <c r="QK21" s="83">
        <v>376.733948</v>
      </c>
      <c r="QL21" s="83">
        <v>353.65484600000002</v>
      </c>
      <c r="QM21" s="83">
        <v>338.82272899999998</v>
      </c>
      <c r="QN21" s="83">
        <v>328.950874</v>
      </c>
      <c r="QO21" s="83">
        <v>328.95080799999999</v>
      </c>
      <c r="QP21" s="83">
        <v>345.45826</v>
      </c>
      <c r="QQ21" s="83">
        <v>450.44203900000002</v>
      </c>
      <c r="QR21" s="83">
        <v>372.384884</v>
      </c>
      <c r="QS21" s="83">
        <v>349.34668799999997</v>
      </c>
    </row>
    <row r="22" spans="6:461" x14ac:dyDescent="0.25">
      <c r="F22" s="82" t="str">
        <f xml:space="preserve"> _xll.EPMOlapMemberO("[PRDDESCR].[].[HELGAS GFREE TRAD WHITE 470G]","","HELGAS GFREE TRAD WHITE 470G","","000")</f>
        <v>HELGAS GFREE TRAD WHITE 470G</v>
      </c>
      <c r="G22" s="82" t="str">
        <f xml:space="preserve"> _xll.EPMOlapMemberO("[PRDID].[].[168846]","","168846","","000")</f>
        <v>168846</v>
      </c>
      <c r="H22" s="82" t="str">
        <f xml:space="preserve"> _xll.EPMOlapMemberO("[LOCID].[].[6130]","","6130","","000")</f>
        <v>6130</v>
      </c>
      <c r="I22" s="82" t="str">
        <f xml:space="preserve"> _xll.EPMOlapMemberO("[LOCDESCR].[].[QBA-Canning Vale]","","QBA-Canning Vale","","000")</f>
        <v>QBA-Canning Vale</v>
      </c>
      <c r="J22" s="82" t="str">
        <f xml:space="preserve"> _xll.EPMOlapMemberO("[KEY_FIGURES].[].[ZGFAPPROVEDFCSTQTY]","","Approved Forecast","","000")</f>
        <v>Approved Forecast</v>
      </c>
      <c r="K22" s="83">
        <v>72.429243</v>
      </c>
      <c r="L22" s="83">
        <v>138.12075100000001</v>
      </c>
      <c r="M22" s="83">
        <v>92.010643999999999</v>
      </c>
      <c r="N22" s="83">
        <v>17.174814000000001</v>
      </c>
      <c r="O22" s="83">
        <v>231.763518</v>
      </c>
      <c r="P22" s="83">
        <v>51.973832000000002</v>
      </c>
      <c r="Q22" s="83">
        <v>147.913963</v>
      </c>
      <c r="R22" s="83">
        <v>76.670589000000007</v>
      </c>
      <c r="S22" s="83">
        <v>126.133289</v>
      </c>
      <c r="T22" s="83">
        <v>87.735625999999996</v>
      </c>
      <c r="U22" s="83">
        <v>21.056377000000001</v>
      </c>
      <c r="V22" s="83">
        <v>221.35382999999999</v>
      </c>
      <c r="W22" s="83">
        <v>47.167262000000001</v>
      </c>
      <c r="X22" s="83">
        <v>140.679562</v>
      </c>
      <c r="Y22" s="83">
        <v>73.030834999999996</v>
      </c>
      <c r="Z22" s="83">
        <v>121.151231</v>
      </c>
      <c r="AA22" s="83">
        <v>83.250923999999998</v>
      </c>
      <c r="AB22" s="83">
        <v>21.886493999999999</v>
      </c>
      <c r="AC22" s="83">
        <v>227.85378700000001</v>
      </c>
      <c r="AD22" s="83">
        <v>49.607700000000001</v>
      </c>
      <c r="AE22" s="83">
        <v>146.837627</v>
      </c>
      <c r="AF22" s="83">
        <v>77.422589000000002</v>
      </c>
      <c r="AG22" s="83">
        <v>128.26039499999999</v>
      </c>
      <c r="AH22" s="83">
        <v>85.967133000000004</v>
      </c>
      <c r="AI22" s="83">
        <v>22.955376000000001</v>
      </c>
      <c r="AJ22" s="83">
        <v>228.75107199999999</v>
      </c>
      <c r="AK22" s="83">
        <v>49.371803999999997</v>
      </c>
      <c r="AL22" s="83">
        <v>155.85423700000001</v>
      </c>
      <c r="AM22" s="83">
        <v>79.041003000000003</v>
      </c>
      <c r="AN22" s="83">
        <v>136.30745200000001</v>
      </c>
      <c r="AO22" s="83">
        <v>89.401972000000001</v>
      </c>
      <c r="AP22" s="83">
        <v>22.566354</v>
      </c>
      <c r="AQ22" s="83">
        <v>253.18050299999999</v>
      </c>
      <c r="AR22" s="83">
        <v>51.889172000000002</v>
      </c>
      <c r="AS22" s="83">
        <v>158.97236699999999</v>
      </c>
      <c r="AT22" s="83">
        <v>78.190289000000007</v>
      </c>
      <c r="AU22" s="83">
        <v>139.12446</v>
      </c>
      <c r="AV22" s="83">
        <v>89.833460000000002</v>
      </c>
      <c r="AW22" s="83">
        <v>21.624699</v>
      </c>
      <c r="AX22" s="83">
        <v>246.028086</v>
      </c>
      <c r="AY22" s="83">
        <v>51.492930000000001</v>
      </c>
      <c r="AZ22" s="83">
        <v>150.39666</v>
      </c>
      <c r="BA22" s="83">
        <v>74.669205000000005</v>
      </c>
      <c r="BB22" s="83">
        <v>131.54989499999999</v>
      </c>
      <c r="BC22" s="83">
        <v>85.356854999999996</v>
      </c>
      <c r="BD22" s="83">
        <v>20.898135</v>
      </c>
      <c r="BE22" s="83">
        <v>257.03799800000002</v>
      </c>
      <c r="BF22" s="83">
        <v>54.295611000000001</v>
      </c>
      <c r="BG22" s="83">
        <v>167.81575699999999</v>
      </c>
      <c r="BH22" s="83">
        <v>86.503988000000007</v>
      </c>
      <c r="BI22" s="83">
        <v>130.04424700000001</v>
      </c>
      <c r="BJ22" s="83">
        <v>98.440757000000005</v>
      </c>
      <c r="BK22" s="83">
        <v>23.625525</v>
      </c>
      <c r="BL22" s="83">
        <v>239.892594</v>
      </c>
      <c r="BM22" s="83">
        <v>51.949779999999997</v>
      </c>
      <c r="BN22" s="83">
        <v>158.95791800000001</v>
      </c>
      <c r="BO22" s="83">
        <v>83.254407999999998</v>
      </c>
      <c r="BP22" s="83">
        <v>123.671128</v>
      </c>
      <c r="BQ22" s="83">
        <v>93.958138000000005</v>
      </c>
      <c r="BR22" s="83">
        <v>23.133716</v>
      </c>
      <c r="BS22" s="83">
        <v>237.066835</v>
      </c>
      <c r="BT22" s="83">
        <v>52.924447000000001</v>
      </c>
      <c r="BU22" s="83">
        <v>152.47449900000001</v>
      </c>
      <c r="BV22" s="83">
        <v>81.699158999999995</v>
      </c>
      <c r="BW22" s="83">
        <v>119.25754999999999</v>
      </c>
      <c r="BX22" s="83">
        <v>91.093171999999996</v>
      </c>
      <c r="BY22" s="83">
        <v>23.308254000000002</v>
      </c>
      <c r="BZ22" s="83">
        <v>192.80459200000001</v>
      </c>
      <c r="CA22" s="83">
        <v>44.260717999999997</v>
      </c>
      <c r="CB22" s="83">
        <v>124.842274</v>
      </c>
      <c r="CC22" s="83">
        <v>69.349912000000003</v>
      </c>
      <c r="CD22" s="83">
        <v>98.486759000000006</v>
      </c>
      <c r="CE22" s="83">
        <v>75.876024000000001</v>
      </c>
      <c r="CF22" s="83">
        <v>20.576678000000001</v>
      </c>
      <c r="CG22" s="83">
        <v>315.401183</v>
      </c>
      <c r="CH22" s="83">
        <v>64.975194000000002</v>
      </c>
      <c r="CI22" s="83">
        <v>199.123682</v>
      </c>
      <c r="CJ22" s="83">
        <v>95.724924000000001</v>
      </c>
      <c r="CK22" s="83">
        <v>151.98560599999999</v>
      </c>
      <c r="CL22" s="83">
        <v>113.19721199999999</v>
      </c>
      <c r="CM22" s="83">
        <v>23.775016000000001</v>
      </c>
      <c r="CN22" s="83">
        <v>251.93488099999999</v>
      </c>
      <c r="CO22" s="83">
        <v>55.296287999999997</v>
      </c>
      <c r="CP22" s="83">
        <v>161.38662299999999</v>
      </c>
      <c r="CQ22" s="83">
        <v>84.562915000000004</v>
      </c>
      <c r="CR22" s="83">
        <v>125.573148</v>
      </c>
      <c r="CS22" s="83">
        <v>95.412796999999998</v>
      </c>
      <c r="CT22" s="83">
        <v>23.509281000000001</v>
      </c>
      <c r="CU22" s="83">
        <v>253.467591</v>
      </c>
      <c r="CV22" s="83">
        <v>54.524982000000001</v>
      </c>
      <c r="CW22" s="83">
        <v>169.408908</v>
      </c>
      <c r="CX22" s="83">
        <v>88.492754000000005</v>
      </c>
      <c r="CY22" s="83">
        <v>131.72149899999999</v>
      </c>
      <c r="CZ22" s="83">
        <v>100.011895</v>
      </c>
      <c r="DA22" s="83">
        <v>24.511727</v>
      </c>
      <c r="DB22" s="83">
        <v>281.47010599999999</v>
      </c>
      <c r="DC22" s="83">
        <v>60.456015000000001</v>
      </c>
      <c r="DD22" s="83">
        <v>171.614453</v>
      </c>
      <c r="DE22" s="83">
        <v>85.276497000000006</v>
      </c>
      <c r="DF22" s="83">
        <v>131.93972299999999</v>
      </c>
      <c r="DG22" s="83">
        <v>99.018034999999998</v>
      </c>
      <c r="DH22" s="83">
        <v>22.177050000000001</v>
      </c>
      <c r="DI22" s="83">
        <v>250.73301900000001</v>
      </c>
      <c r="DJ22" s="83">
        <v>54.667126000000003</v>
      </c>
      <c r="DK22" s="83">
        <v>160.36599200000001</v>
      </c>
      <c r="DL22" s="83">
        <v>83.288186999999994</v>
      </c>
      <c r="DM22" s="83">
        <v>124.525564</v>
      </c>
      <c r="DN22" s="83">
        <v>94.420467000000002</v>
      </c>
      <c r="DO22" s="83">
        <v>22.911134000000001</v>
      </c>
      <c r="DP22" s="83">
        <v>276.04469899999998</v>
      </c>
      <c r="DQ22" s="83">
        <v>58.671716000000004</v>
      </c>
      <c r="DR22" s="83">
        <v>170.916507</v>
      </c>
      <c r="DS22" s="83">
        <v>84.513101000000006</v>
      </c>
      <c r="DT22" s="83">
        <v>131.26040399999999</v>
      </c>
      <c r="DU22" s="83">
        <v>98.396310999999997</v>
      </c>
      <c r="DV22" s="83">
        <v>21.833746999999999</v>
      </c>
      <c r="DW22" s="83">
        <v>246.09905599999999</v>
      </c>
      <c r="DX22" s="83">
        <v>53.424039999999998</v>
      </c>
      <c r="DY22" s="83">
        <v>161.929867</v>
      </c>
      <c r="DZ22" s="83">
        <v>84.833438999999998</v>
      </c>
      <c r="EA22" s="83">
        <v>125.99114299999999</v>
      </c>
      <c r="EB22" s="83">
        <v>95.726598999999993</v>
      </c>
      <c r="EC22" s="83">
        <v>23.579913999999999</v>
      </c>
      <c r="ED22" s="83">
        <v>263.03344499999997</v>
      </c>
      <c r="EE22" s="83">
        <v>55.904783999999999</v>
      </c>
      <c r="EF22" s="83">
        <v>167.24147400000001</v>
      </c>
      <c r="EG22" s="83">
        <v>83.928908000000007</v>
      </c>
      <c r="EH22" s="83">
        <v>128.86054999999999</v>
      </c>
      <c r="EI22" s="83">
        <v>96.928738999999993</v>
      </c>
      <c r="EJ22" s="83">
        <v>22.113374</v>
      </c>
      <c r="EK22" s="83">
        <v>252.99020300000001</v>
      </c>
      <c r="EL22" s="83">
        <v>54.070590000000003</v>
      </c>
      <c r="EM22" s="83">
        <v>161.06210899999999</v>
      </c>
      <c r="EN22" s="83">
        <v>81.440912999999995</v>
      </c>
      <c r="EO22" s="83">
        <v>124.309383</v>
      </c>
      <c r="EP22" s="83">
        <v>93.669549000000004</v>
      </c>
      <c r="EQ22" s="83">
        <v>21.668735999999999</v>
      </c>
      <c r="ER22" s="83">
        <v>274.23893399999997</v>
      </c>
      <c r="ES22" s="83">
        <v>58.995266000000001</v>
      </c>
      <c r="ET22" s="83">
        <v>168.38527999999999</v>
      </c>
      <c r="EU22" s="83">
        <v>84.173137999999994</v>
      </c>
      <c r="EV22" s="83">
        <v>129.62884</v>
      </c>
      <c r="EW22" s="83">
        <v>97.418261999999999</v>
      </c>
      <c r="EX22" s="83">
        <v>22.064240999999999</v>
      </c>
      <c r="EY22" s="83">
        <v>256.08028000000002</v>
      </c>
      <c r="EZ22" s="83">
        <v>55.067835000000002</v>
      </c>
      <c r="FA22" s="83">
        <v>169.831605</v>
      </c>
      <c r="FB22" s="83">
        <v>88.341485000000006</v>
      </c>
      <c r="FC22" s="83">
        <v>131.92268799999999</v>
      </c>
      <c r="FD22" s="83">
        <v>100.065918</v>
      </c>
      <c r="FE22" s="83">
        <v>24.346882999999998</v>
      </c>
      <c r="FF22" s="83">
        <v>272.88304199999999</v>
      </c>
      <c r="FG22" s="83">
        <v>58.858454999999999</v>
      </c>
      <c r="FH22" s="83">
        <v>215.04720399999999</v>
      </c>
      <c r="FI22" s="83">
        <v>101.069188</v>
      </c>
      <c r="FJ22" s="83">
        <v>163.34786500000001</v>
      </c>
      <c r="FK22" s="83">
        <v>121.034919</v>
      </c>
      <c r="FL22" s="83">
        <v>24.272582</v>
      </c>
      <c r="FM22" s="83">
        <v>337.22083500000002</v>
      </c>
      <c r="FN22" s="83">
        <v>69.221581999999998</v>
      </c>
      <c r="FO22" s="83">
        <v>173.32002299999999</v>
      </c>
      <c r="FP22" s="83">
        <v>90.258949000000001</v>
      </c>
      <c r="FQ22" s="83">
        <v>134.66760400000001</v>
      </c>
      <c r="FR22" s="83">
        <v>102.17530499999999</v>
      </c>
      <c r="FS22" s="83">
        <v>24.909410999999999</v>
      </c>
      <c r="FT22" s="83">
        <v>271.68431700000002</v>
      </c>
      <c r="FU22" s="83">
        <v>59.359594000000001</v>
      </c>
      <c r="FV22" s="83">
        <v>184.93708799999999</v>
      </c>
      <c r="FW22" s="83">
        <v>99.152709000000002</v>
      </c>
      <c r="FX22" s="83">
        <v>144.66840400000001</v>
      </c>
      <c r="FY22" s="83">
        <v>110.518584</v>
      </c>
      <c r="FZ22" s="83">
        <v>28.306789999999999</v>
      </c>
      <c r="GA22" s="83">
        <v>297.244393</v>
      </c>
      <c r="GB22" s="83">
        <v>67.137450999999999</v>
      </c>
      <c r="GC22" s="83">
        <v>179.851741</v>
      </c>
      <c r="GD22" s="83">
        <v>95.084010000000006</v>
      </c>
      <c r="GE22" s="83">
        <v>140.230527</v>
      </c>
      <c r="GF22" s="83">
        <v>106.774162</v>
      </c>
      <c r="GG22" s="83">
        <v>26.713010000000001</v>
      </c>
      <c r="GH22" s="83">
        <v>290.14203400000002</v>
      </c>
      <c r="GI22" s="83">
        <v>62.908282</v>
      </c>
      <c r="GJ22" s="83">
        <v>185.330355</v>
      </c>
      <c r="GK22" s="83">
        <v>95.541173999999998</v>
      </c>
      <c r="GL22" s="83">
        <v>143.66643500000001</v>
      </c>
      <c r="GM22" s="83">
        <v>108.744592</v>
      </c>
      <c r="GN22" s="83">
        <v>26.044834999999999</v>
      </c>
      <c r="GO22" s="83">
        <v>275.84708599999999</v>
      </c>
      <c r="GP22" s="83">
        <v>58.902295000000002</v>
      </c>
      <c r="GQ22" s="83">
        <v>175.04173599999999</v>
      </c>
      <c r="GR22" s="83">
        <v>88.255852000000004</v>
      </c>
      <c r="GS22" s="83">
        <v>135.01196999999999</v>
      </c>
      <c r="GT22" s="83">
        <v>101.66624400000001</v>
      </c>
      <c r="GU22" s="83">
        <v>23.395261999999999</v>
      </c>
      <c r="GV22" s="83">
        <v>272.10512399999999</v>
      </c>
      <c r="GW22" s="83">
        <v>60.537049000000003</v>
      </c>
      <c r="GX22" s="83">
        <v>175.47430900000001</v>
      </c>
      <c r="GY22" s="83">
        <v>93.746378000000007</v>
      </c>
      <c r="GZ22" s="83">
        <v>137.15201099999999</v>
      </c>
      <c r="HA22" s="83">
        <v>104.68863899999999</v>
      </c>
      <c r="HB22" s="83">
        <v>26.656122</v>
      </c>
      <c r="HC22" s="83">
        <v>283.10493400000001</v>
      </c>
      <c r="HD22" s="83">
        <v>61.019703999999997</v>
      </c>
      <c r="HE22" s="83">
        <v>221.44151299999999</v>
      </c>
      <c r="HF22" s="83">
        <v>104.275462</v>
      </c>
      <c r="HG22" s="83">
        <v>168.273831</v>
      </c>
      <c r="HH22" s="83">
        <v>124.739453</v>
      </c>
      <c r="HI22" s="83">
        <v>25.116372999999999</v>
      </c>
      <c r="HJ22" s="83">
        <v>347.07405399999999</v>
      </c>
      <c r="HK22" s="83">
        <v>68.258812000000006</v>
      </c>
      <c r="HL22" s="83">
        <v>174.144397</v>
      </c>
      <c r="HM22" s="83">
        <v>85.136072999999996</v>
      </c>
      <c r="HN22" s="83">
        <v>133.40594200000001</v>
      </c>
      <c r="HO22" s="83">
        <v>99.743142000000006</v>
      </c>
      <c r="HP22" s="83">
        <v>21.654890000000002</v>
      </c>
      <c r="HQ22" s="83">
        <v>160.25959800000001</v>
      </c>
      <c r="HR22" s="83">
        <v>38.966189999999997</v>
      </c>
      <c r="HS22" s="83">
        <v>103.89111699999999</v>
      </c>
      <c r="HT22" s="83">
        <v>61.770257999999998</v>
      </c>
      <c r="HU22" s="83">
        <v>83.349200999999994</v>
      </c>
      <c r="HV22" s="83">
        <v>65.275658000000007</v>
      </c>
      <c r="HW22" s="83">
        <v>19.589216</v>
      </c>
      <c r="HX22" s="83">
        <v>360.91842500000001</v>
      </c>
      <c r="HY22" s="83">
        <v>81.980988999999994</v>
      </c>
      <c r="HZ22" s="83">
        <v>235.704486</v>
      </c>
      <c r="IA22" s="83">
        <v>129.76167799999999</v>
      </c>
      <c r="IB22" s="83">
        <v>185.54321400000001</v>
      </c>
      <c r="IC22" s="83">
        <v>142.63921099999999</v>
      </c>
      <c r="ID22" s="83">
        <v>38.137020999999997</v>
      </c>
      <c r="IE22" s="83">
        <v>343.66968900000001</v>
      </c>
      <c r="IF22" s="83">
        <v>70.305453</v>
      </c>
      <c r="IG22" s="83">
        <v>256.91454399999998</v>
      </c>
      <c r="IH22" s="83">
        <v>114.87772</v>
      </c>
      <c r="II22" s="83">
        <v>193.139329</v>
      </c>
      <c r="IJ22" s="83">
        <v>141.51463200000001</v>
      </c>
      <c r="IK22" s="83">
        <v>25.432903</v>
      </c>
      <c r="IL22" s="83">
        <v>275.533051</v>
      </c>
      <c r="IM22" s="83">
        <v>55.672541000000002</v>
      </c>
      <c r="IN22" s="83">
        <v>162.05910600000001</v>
      </c>
      <c r="IO22" s="83">
        <v>79.441242000000003</v>
      </c>
      <c r="IP22" s="83">
        <v>114.53981899999999</v>
      </c>
      <c r="IQ22" s="83">
        <v>88.687321999999995</v>
      </c>
      <c r="IR22" s="83">
        <v>24.195556</v>
      </c>
      <c r="IS22" s="83">
        <v>233.95087100000001</v>
      </c>
      <c r="IT22" s="83">
        <v>44.409930000000003</v>
      </c>
      <c r="IU22" s="83">
        <v>159.42168000000001</v>
      </c>
      <c r="IV22" s="83">
        <v>70.878598999999994</v>
      </c>
      <c r="IW22" s="83">
        <v>106.053669</v>
      </c>
      <c r="IX22" s="83">
        <v>81.611087999999995</v>
      </c>
      <c r="IY22" s="83">
        <v>21.055461000000001</v>
      </c>
      <c r="IZ22" s="83">
        <v>244.35280599999999</v>
      </c>
      <c r="JA22" s="83">
        <v>50.005203000000002</v>
      </c>
      <c r="JB22" s="83">
        <v>163.25936799999999</v>
      </c>
      <c r="JC22" s="83">
        <v>79.336506</v>
      </c>
      <c r="JD22" s="83">
        <v>117.57104099999999</v>
      </c>
      <c r="JE22" s="83">
        <v>90.041432</v>
      </c>
      <c r="JF22" s="83">
        <v>22.975187999999999</v>
      </c>
      <c r="JG22" s="83">
        <v>219.143755</v>
      </c>
      <c r="JH22" s="83">
        <v>44.529986000000001</v>
      </c>
      <c r="JI22" s="83">
        <v>171.622546</v>
      </c>
      <c r="JJ22" s="83">
        <v>76.561178999999996</v>
      </c>
      <c r="JK22" s="83">
        <v>118.852514</v>
      </c>
      <c r="JL22" s="83">
        <v>90.007461000000006</v>
      </c>
      <c r="JM22" s="83">
        <v>20.966508000000001</v>
      </c>
      <c r="JN22" s="83">
        <v>147.42715699999999</v>
      </c>
      <c r="JO22" s="83">
        <v>46.782533000000001</v>
      </c>
      <c r="JP22" s="83">
        <v>116.082915</v>
      </c>
      <c r="JQ22" s="83">
        <v>50.862994999999998</v>
      </c>
      <c r="JR22" s="83">
        <v>74.289619999999999</v>
      </c>
      <c r="JS22" s="83">
        <v>124.86618799999999</v>
      </c>
      <c r="JT22" s="83">
        <v>125.873248</v>
      </c>
      <c r="JU22" s="83">
        <v>97.193281999999996</v>
      </c>
      <c r="JV22" s="83">
        <v>107.297995</v>
      </c>
      <c r="JW22" s="83">
        <v>98.280770000000004</v>
      </c>
      <c r="JX22" s="83">
        <v>100.69815699999999</v>
      </c>
      <c r="JY22" s="83">
        <v>87.039044000000004</v>
      </c>
      <c r="JZ22" s="83">
        <v>98.212889000000004</v>
      </c>
      <c r="KA22" s="83">
        <v>100.86075200000001</v>
      </c>
      <c r="KB22" s="83">
        <v>100.495366</v>
      </c>
      <c r="KC22" s="83">
        <v>111.05810700000001</v>
      </c>
      <c r="KD22" s="83">
        <v>103.327303</v>
      </c>
      <c r="KE22" s="83">
        <v>106.573627</v>
      </c>
      <c r="KF22" s="83">
        <v>90.557705999999996</v>
      </c>
      <c r="KG22" s="83">
        <v>103.851113</v>
      </c>
      <c r="KH22" s="83">
        <v>104.536295</v>
      </c>
      <c r="KI22" s="83">
        <v>110.588694</v>
      </c>
      <c r="KJ22" s="83">
        <v>121.649367</v>
      </c>
      <c r="KK22" s="83">
        <v>111.83768000000001</v>
      </c>
      <c r="KL22" s="83">
        <v>114.51472800000001</v>
      </c>
      <c r="KM22" s="83">
        <v>99.489903999999996</v>
      </c>
      <c r="KN22" s="83">
        <v>111.789329</v>
      </c>
      <c r="KO22" s="83">
        <v>114.596473</v>
      </c>
      <c r="KP22" s="83">
        <v>107.58211900000001</v>
      </c>
      <c r="KQ22" s="83">
        <v>118.64708299999999</v>
      </c>
      <c r="KR22" s="83">
        <v>109.76156899999999</v>
      </c>
      <c r="KS22" s="83">
        <v>113.49862400000001</v>
      </c>
      <c r="KT22" s="83">
        <v>96.055690999999996</v>
      </c>
      <c r="KU22" s="83">
        <v>110.627285</v>
      </c>
      <c r="KV22" s="83">
        <v>110.189801</v>
      </c>
      <c r="KW22" s="83">
        <v>101.811922</v>
      </c>
      <c r="KX22" s="83">
        <v>111.716435</v>
      </c>
      <c r="KY22" s="83">
        <v>103.387336</v>
      </c>
      <c r="KZ22" s="83">
        <v>105.72267100000001</v>
      </c>
      <c r="LA22" s="83">
        <v>92.361828000000003</v>
      </c>
      <c r="LB22" s="83">
        <v>103.278043</v>
      </c>
      <c r="LC22" s="83">
        <v>106.040193</v>
      </c>
      <c r="LD22" s="83">
        <v>91.872236999999998</v>
      </c>
      <c r="LE22" s="83">
        <v>101.70814300000001</v>
      </c>
      <c r="LF22" s="83">
        <v>94.046621999999999</v>
      </c>
      <c r="LG22" s="83">
        <v>95.292536999999996</v>
      </c>
      <c r="LH22" s="83">
        <v>84.324488000000002</v>
      </c>
      <c r="LI22" s="83">
        <v>92.973511000000002</v>
      </c>
      <c r="LJ22" s="83">
        <v>99.184083000000001</v>
      </c>
      <c r="LK22" s="83">
        <v>132.97491600000001</v>
      </c>
      <c r="LL22" s="83">
        <v>146.90141399999999</v>
      </c>
      <c r="LM22" s="83">
        <v>135.82292200000001</v>
      </c>
      <c r="LN22" s="83">
        <v>142.33194599999999</v>
      </c>
      <c r="LO22" s="83">
        <v>116.40275099999999</v>
      </c>
      <c r="LP22" s="83">
        <v>138.50742399999999</v>
      </c>
      <c r="LQ22" s="83">
        <v>132.252655</v>
      </c>
      <c r="LR22" s="83">
        <v>104.91384600000001</v>
      </c>
      <c r="LS22" s="83">
        <v>116.018252</v>
      </c>
      <c r="LT22" s="83">
        <v>114.263792</v>
      </c>
      <c r="LU22" s="83">
        <v>117.080023</v>
      </c>
      <c r="LV22" s="83">
        <v>100.959912</v>
      </c>
      <c r="LW22" s="83">
        <v>114.12990499999999</v>
      </c>
      <c r="LX22" s="83">
        <v>117.470443</v>
      </c>
      <c r="LY22" s="83">
        <v>125.896502</v>
      </c>
      <c r="LZ22" s="83">
        <v>139.10824099999999</v>
      </c>
      <c r="MA22" s="83">
        <v>120.845641</v>
      </c>
      <c r="MB22" s="83">
        <v>124.70719200000001</v>
      </c>
      <c r="MC22" s="83">
        <v>105.911143</v>
      </c>
      <c r="MD22" s="83">
        <v>121.53617300000001</v>
      </c>
      <c r="ME22" s="83">
        <v>122.03639699999999</v>
      </c>
      <c r="MF22" s="83">
        <v>112.49627</v>
      </c>
      <c r="MG22" s="83">
        <v>124.29710900000001</v>
      </c>
      <c r="MH22" s="83">
        <v>114.81339</v>
      </c>
      <c r="MI22" s="83">
        <v>118.67257499999999</v>
      </c>
      <c r="MJ22" s="83">
        <v>100.347859</v>
      </c>
      <c r="MK22" s="83">
        <v>115.624984</v>
      </c>
      <c r="ML22" s="83">
        <v>115.55773600000001</v>
      </c>
      <c r="MM22" s="83">
        <v>114.037852</v>
      </c>
      <c r="MN22" s="83">
        <v>125.77256199999999</v>
      </c>
      <c r="MO22" s="83">
        <v>126.267869</v>
      </c>
      <c r="MP22" s="83">
        <v>129.70145400000001</v>
      </c>
      <c r="MQ22" s="83">
        <v>111.442986</v>
      </c>
      <c r="MR22" s="83">
        <v>126.473373</v>
      </c>
      <c r="MS22" s="83">
        <v>128.824986</v>
      </c>
      <c r="MT22" s="83">
        <v>133.15646899999999</v>
      </c>
      <c r="MU22" s="83">
        <v>145.644081</v>
      </c>
      <c r="MV22" s="83">
        <v>124.17009400000001</v>
      </c>
      <c r="MW22" s="83">
        <v>126.12881400000001</v>
      </c>
      <c r="MX22" s="83">
        <v>112.469249</v>
      </c>
      <c r="MY22" s="83">
        <v>123.430052</v>
      </c>
      <c r="MZ22" s="83">
        <v>128.773369</v>
      </c>
      <c r="NA22" s="83">
        <v>113.307295</v>
      </c>
      <c r="NB22" s="83">
        <v>125.523797</v>
      </c>
      <c r="NC22" s="83">
        <v>115.737087</v>
      </c>
      <c r="ND22" s="83">
        <v>120.267898</v>
      </c>
      <c r="NE22" s="83">
        <v>100.11838</v>
      </c>
      <c r="NF22" s="83">
        <v>117.050483</v>
      </c>
      <c r="NG22" s="83">
        <v>115.288522</v>
      </c>
      <c r="NH22" s="83">
        <v>117.60209399999999</v>
      </c>
      <c r="NI22" s="83">
        <v>130.318095</v>
      </c>
      <c r="NJ22" s="83">
        <v>117.95918</v>
      </c>
      <c r="NK22" s="83">
        <v>122.319079</v>
      </c>
      <c r="NL22" s="83">
        <v>102.329964</v>
      </c>
      <c r="NM22" s="83">
        <v>119.064594</v>
      </c>
      <c r="NN22" s="83">
        <v>118.10870199999999</v>
      </c>
      <c r="NO22" s="83">
        <v>112.38355900000001</v>
      </c>
      <c r="NP22" s="83">
        <v>124.49868499999999</v>
      </c>
      <c r="NQ22" s="83">
        <v>116.81299300000001</v>
      </c>
      <c r="NR22" s="83">
        <v>121.270584</v>
      </c>
      <c r="NS22" s="83">
        <v>101.178462</v>
      </c>
      <c r="NT22" s="83">
        <v>118.03430400000001</v>
      </c>
      <c r="NU22" s="83">
        <v>116.63157699999999</v>
      </c>
      <c r="NV22" s="83">
        <v>119.784644</v>
      </c>
      <c r="NW22" s="83">
        <v>132.654754</v>
      </c>
      <c r="NX22" s="83">
        <v>122.374009</v>
      </c>
      <c r="NY22" s="83">
        <v>127.656468</v>
      </c>
      <c r="NZ22" s="83">
        <v>105.307586</v>
      </c>
      <c r="OA22" s="83">
        <v>124.207511</v>
      </c>
      <c r="OB22" s="83">
        <v>120.742419</v>
      </c>
      <c r="OC22" s="83">
        <v>110.379459</v>
      </c>
      <c r="OD22" s="83">
        <v>122.32938</v>
      </c>
      <c r="OE22" s="83">
        <v>122.226642</v>
      </c>
      <c r="OF22" s="83">
        <v>125.837658</v>
      </c>
      <c r="OG22" s="83">
        <v>107.04938</v>
      </c>
      <c r="OH22" s="83">
        <v>122.55212400000001</v>
      </c>
      <c r="OI22" s="83">
        <v>124.514703</v>
      </c>
      <c r="OJ22" s="83">
        <v>122.924922</v>
      </c>
      <c r="OK22" s="83">
        <v>136.248447</v>
      </c>
      <c r="OL22" s="83">
        <v>116.213429</v>
      </c>
      <c r="OM22" s="83">
        <v>120.613062</v>
      </c>
      <c r="ON22" s="83">
        <v>100.698504</v>
      </c>
      <c r="OO22" s="83">
        <v>117.396744</v>
      </c>
      <c r="OP22" s="83">
        <v>116.11548500000001</v>
      </c>
      <c r="OQ22" s="83">
        <v>115.564913</v>
      </c>
      <c r="OR22" s="83">
        <v>127.99572499999999</v>
      </c>
      <c r="OS22" s="83">
        <v>118.056545</v>
      </c>
      <c r="OT22" s="83">
        <v>122.99785</v>
      </c>
      <c r="OU22" s="83">
        <v>101.76600000000001</v>
      </c>
      <c r="OV22" s="83">
        <v>119.685363</v>
      </c>
      <c r="OW22" s="83">
        <v>116.846773</v>
      </c>
      <c r="OX22" s="83">
        <v>113.277956</v>
      </c>
      <c r="OY22" s="83">
        <v>125.499897</v>
      </c>
      <c r="OZ22" s="83">
        <v>112.503648</v>
      </c>
      <c r="PA22" s="83">
        <v>117.02665500000001</v>
      </c>
      <c r="PB22" s="83">
        <v>97.187932000000004</v>
      </c>
      <c r="PC22" s="83">
        <v>113.887754</v>
      </c>
      <c r="PD22" s="83">
        <v>111.788112</v>
      </c>
      <c r="PE22" s="83">
        <v>119.537375</v>
      </c>
      <c r="PF22" s="83">
        <v>132.45508899999999</v>
      </c>
      <c r="PG22" s="83">
        <v>125.756649</v>
      </c>
      <c r="PH22" s="83">
        <v>130.11026899999999</v>
      </c>
      <c r="PI22" s="83">
        <v>109.42470400000001</v>
      </c>
      <c r="PJ22" s="83">
        <v>126.66882</v>
      </c>
      <c r="PK22" s="83">
        <v>126.608867</v>
      </c>
      <c r="PL22" s="83">
        <v>112.307264</v>
      </c>
      <c r="PM22" s="83">
        <v>124.45922299999999</v>
      </c>
      <c r="PN22" s="83">
        <v>114.69561299999999</v>
      </c>
      <c r="PO22" s="83">
        <v>118.70962400000001</v>
      </c>
      <c r="PP22" s="83">
        <v>99.751615999999999</v>
      </c>
      <c r="PQ22" s="83">
        <v>115.566695</v>
      </c>
      <c r="PR22" s="83">
        <v>115.37109700000001</v>
      </c>
      <c r="PS22" s="83">
        <v>108.29421600000001</v>
      </c>
      <c r="PT22" s="83">
        <v>120.045023</v>
      </c>
      <c r="PU22" s="83">
        <v>110.581952</v>
      </c>
      <c r="PV22" s="83">
        <v>114.088048</v>
      </c>
      <c r="PW22" s="83">
        <v>96.582308999999995</v>
      </c>
      <c r="PX22" s="83">
        <v>111.092658</v>
      </c>
      <c r="PY22" s="83">
        <v>112.08941799999999</v>
      </c>
      <c r="PZ22" s="83">
        <v>89.426278999999994</v>
      </c>
      <c r="QA22" s="83">
        <v>99.173727999999997</v>
      </c>
      <c r="QB22" s="83">
        <v>91.295135999999999</v>
      </c>
      <c r="QC22" s="83">
        <v>93.706485999999998</v>
      </c>
      <c r="QD22" s="83">
        <v>80.279587000000006</v>
      </c>
      <c r="QE22" s="83">
        <v>91.279762000000005</v>
      </c>
      <c r="QF22" s="83">
        <v>93.676803000000007</v>
      </c>
      <c r="QG22" s="83">
        <v>138.04315</v>
      </c>
      <c r="QH22" s="83">
        <v>152.82573600000001</v>
      </c>
      <c r="QI22" s="83">
        <v>141.04991699999999</v>
      </c>
      <c r="QJ22" s="83">
        <v>147.68003100000001</v>
      </c>
      <c r="QK22" s="83">
        <v>120.771338</v>
      </c>
      <c r="QL22" s="83">
        <v>143.65289999999999</v>
      </c>
      <c r="QM22" s="83">
        <v>137.89543499999999</v>
      </c>
      <c r="QN22" s="83">
        <v>114.034435</v>
      </c>
      <c r="QO22" s="83">
        <v>126.373909</v>
      </c>
      <c r="QP22" s="83">
        <v>116.459199</v>
      </c>
      <c r="QQ22" s="83">
        <v>120.52770599999999</v>
      </c>
      <c r="QR22" s="83">
        <v>101.29356900000001</v>
      </c>
      <c r="QS22" s="83">
        <v>117.337141</v>
      </c>
    </row>
    <row r="23" spans="6:461" x14ac:dyDescent="0.25">
      <c r="F23" s="82" t="str">
        <f xml:space="preserve"> _xll.EPMOlapMemberO("[PRDDESCR].[].[HELGAS GFREE TRAD WHITE 470G]","","HELGAS GFREE TRAD WHITE 470G","","000")</f>
        <v>HELGAS GFREE TRAD WHITE 470G</v>
      </c>
      <c r="G23" s="82" t="str">
        <f xml:space="preserve"> _xll.EPMOlapMemberO("[PRDID].[].[168846]","","168846","","000")</f>
        <v>168846</v>
      </c>
      <c r="H23" s="82" t="str">
        <f xml:space="preserve"> _xll.EPMOlapMemberO("[LOCID].[].[6134]","","6134","","000")</f>
        <v>6134</v>
      </c>
      <c r="I23" s="82" t="str">
        <f xml:space="preserve"> _xll.EPMOlapMemberO("[LOCDESCR].[].[QBA-West Richmond SA]","","QBA-West Richmond SA","","000")</f>
        <v>QBA-West Richmond SA</v>
      </c>
      <c r="J23" s="82" t="str">
        <f xml:space="preserve"> _xll.EPMOlapMemberO("[KEY_FIGURES].[].[ZGFAPPROVEDFCSTQTY]","","Approved Forecast","","000")</f>
        <v>Approved Forecast</v>
      </c>
      <c r="K23" s="83">
        <v>170.79068599999999</v>
      </c>
      <c r="L23" s="83">
        <v>354.38019200000002</v>
      </c>
      <c r="M23" s="83">
        <v>183.01365999999999</v>
      </c>
      <c r="N23" s="83">
        <v>113.24720000000001</v>
      </c>
      <c r="O23" s="83">
        <v>397.01505200000003</v>
      </c>
      <c r="P23" s="83">
        <v>137.569942</v>
      </c>
      <c r="Q23" s="83">
        <v>394.68430899999998</v>
      </c>
      <c r="R23" s="83">
        <v>182.57380499999999</v>
      </c>
      <c r="S23" s="83">
        <v>368.47558500000002</v>
      </c>
      <c r="T23" s="83">
        <v>177.67401799999999</v>
      </c>
      <c r="U23" s="83">
        <v>110.989806</v>
      </c>
      <c r="V23" s="83">
        <v>381.02390000000003</v>
      </c>
      <c r="W23" s="83">
        <v>122.711174</v>
      </c>
      <c r="X23" s="83">
        <v>370.61721699999998</v>
      </c>
      <c r="Y23" s="83">
        <v>168.10793899999999</v>
      </c>
      <c r="Z23" s="83">
        <v>347.06841500000002</v>
      </c>
      <c r="AA23" s="83">
        <v>175.79074600000001</v>
      </c>
      <c r="AB23" s="83">
        <v>104.57232500000001</v>
      </c>
      <c r="AC23" s="83">
        <v>377.177505</v>
      </c>
      <c r="AD23" s="83">
        <v>122.93735700000001</v>
      </c>
      <c r="AE23" s="83">
        <v>378.86776800000001</v>
      </c>
      <c r="AF23" s="83">
        <v>173.24071799999999</v>
      </c>
      <c r="AG23" s="83">
        <v>352.633689</v>
      </c>
      <c r="AH23" s="83">
        <v>174.37305699999999</v>
      </c>
      <c r="AI23" s="83">
        <v>104.971074</v>
      </c>
      <c r="AJ23" s="83">
        <v>383.91187500000001</v>
      </c>
      <c r="AK23" s="83">
        <v>125.34867800000001</v>
      </c>
      <c r="AL23" s="83">
        <v>433.97625699999998</v>
      </c>
      <c r="AM23" s="83">
        <v>200.99507299999999</v>
      </c>
      <c r="AN23" s="83">
        <v>411.18823099999997</v>
      </c>
      <c r="AO23" s="83">
        <v>200.64261099999999</v>
      </c>
      <c r="AP23" s="83">
        <v>117.439937</v>
      </c>
      <c r="AQ23" s="83">
        <v>448.07340799999997</v>
      </c>
      <c r="AR23" s="83">
        <v>134.13157000000001</v>
      </c>
      <c r="AS23" s="83">
        <v>428.98204800000002</v>
      </c>
      <c r="AT23" s="83">
        <v>198.09194500000001</v>
      </c>
      <c r="AU23" s="83">
        <v>405.65062499999999</v>
      </c>
      <c r="AV23" s="83">
        <v>199.40598299999999</v>
      </c>
      <c r="AW23" s="83">
        <v>116.759625</v>
      </c>
      <c r="AX23" s="83">
        <v>460.25735300000002</v>
      </c>
      <c r="AY23" s="83">
        <v>136.410741</v>
      </c>
      <c r="AZ23" s="83">
        <v>425.28922899999998</v>
      </c>
      <c r="BA23" s="83">
        <v>195.144766</v>
      </c>
      <c r="BB23" s="83">
        <v>407.280057</v>
      </c>
      <c r="BC23" s="83">
        <v>204.04754199999999</v>
      </c>
      <c r="BD23" s="83">
        <v>118.381676</v>
      </c>
      <c r="BE23" s="83">
        <v>467.51405899999997</v>
      </c>
      <c r="BF23" s="83">
        <v>138.653873</v>
      </c>
      <c r="BG23" s="83">
        <v>416.16325499999999</v>
      </c>
      <c r="BH23" s="83">
        <v>185.73887999999999</v>
      </c>
      <c r="BI23" s="83">
        <v>388.87024500000001</v>
      </c>
      <c r="BJ23" s="83">
        <v>199.55919599999999</v>
      </c>
      <c r="BK23" s="83">
        <v>117.12124900000001</v>
      </c>
      <c r="BL23" s="83">
        <v>408.25705799999997</v>
      </c>
      <c r="BM23" s="83">
        <v>123.964409</v>
      </c>
      <c r="BN23" s="83">
        <v>402.87972000000002</v>
      </c>
      <c r="BO23" s="83">
        <v>180.682503</v>
      </c>
      <c r="BP23" s="83">
        <v>375.95517100000001</v>
      </c>
      <c r="BQ23" s="83">
        <v>190.42701</v>
      </c>
      <c r="BR23" s="83">
        <v>112.24266900000001</v>
      </c>
      <c r="BS23" s="83">
        <v>495.00206600000001</v>
      </c>
      <c r="BT23" s="83">
        <v>149.677965</v>
      </c>
      <c r="BU23" s="83">
        <v>479.905665</v>
      </c>
      <c r="BV23" s="83">
        <v>215.60114799999999</v>
      </c>
      <c r="BW23" s="83">
        <v>447.77230700000001</v>
      </c>
      <c r="BX23" s="83">
        <v>226.40776500000001</v>
      </c>
      <c r="BY23" s="83">
        <v>132.74118899999999</v>
      </c>
      <c r="BZ23" s="83">
        <v>399.03876500000001</v>
      </c>
      <c r="CA23" s="83">
        <v>119.27771300000001</v>
      </c>
      <c r="CB23" s="83">
        <v>378.05107800000002</v>
      </c>
      <c r="CC23" s="83">
        <v>168.67414600000001</v>
      </c>
      <c r="CD23" s="83">
        <v>356.02878399999997</v>
      </c>
      <c r="CE23" s="83">
        <v>183.289703</v>
      </c>
      <c r="CF23" s="83">
        <v>106.45168700000001</v>
      </c>
      <c r="CG23" s="83">
        <v>437.86906900000002</v>
      </c>
      <c r="CH23" s="83">
        <v>132.80804599999999</v>
      </c>
      <c r="CI23" s="83">
        <v>424.96583099999998</v>
      </c>
      <c r="CJ23" s="83">
        <v>190.57844900000001</v>
      </c>
      <c r="CK23" s="83">
        <v>396.191035</v>
      </c>
      <c r="CL23" s="83">
        <v>201.10389900000001</v>
      </c>
      <c r="CM23" s="83">
        <v>118.05806</v>
      </c>
      <c r="CN23" s="83">
        <v>421.14818500000001</v>
      </c>
      <c r="CO23" s="83">
        <v>125.293064</v>
      </c>
      <c r="CP23" s="83">
        <v>394.12024700000001</v>
      </c>
      <c r="CQ23" s="83">
        <v>174.435596</v>
      </c>
      <c r="CR23" s="83">
        <v>373.63383099999999</v>
      </c>
      <c r="CS23" s="83">
        <v>196.10607400000001</v>
      </c>
      <c r="CT23" s="83">
        <v>113.335069</v>
      </c>
      <c r="CU23" s="83">
        <v>427.85136899999998</v>
      </c>
      <c r="CV23" s="83">
        <v>128.67230599999999</v>
      </c>
      <c r="CW23" s="83">
        <v>420.84848599999998</v>
      </c>
      <c r="CX23" s="83">
        <v>187.76791</v>
      </c>
      <c r="CY23" s="83">
        <v>394.75793599999997</v>
      </c>
      <c r="CZ23" s="83">
        <v>202.91050799999999</v>
      </c>
      <c r="DA23" s="83">
        <v>118.64013799999999</v>
      </c>
      <c r="DB23" s="83">
        <v>392.768148</v>
      </c>
      <c r="DC23" s="83">
        <v>121.519622</v>
      </c>
      <c r="DD23" s="83">
        <v>381.29057999999998</v>
      </c>
      <c r="DE23" s="83">
        <v>172.723341</v>
      </c>
      <c r="DF23" s="83">
        <v>352.06826799999999</v>
      </c>
      <c r="DG23" s="83">
        <v>173.52219099999999</v>
      </c>
      <c r="DH23" s="83">
        <v>103.39174800000001</v>
      </c>
      <c r="DI23" s="83">
        <v>428.11476699999997</v>
      </c>
      <c r="DJ23" s="83">
        <v>129.85400000000001</v>
      </c>
      <c r="DK23" s="83">
        <v>414.77810599999998</v>
      </c>
      <c r="DL23" s="83">
        <v>185.968256</v>
      </c>
      <c r="DM23" s="83">
        <v>386.93235700000002</v>
      </c>
      <c r="DN23" s="83">
        <v>196.56511499999999</v>
      </c>
      <c r="DO23" s="83">
        <v>115.33599</v>
      </c>
      <c r="DP23" s="83">
        <v>439.76013399999999</v>
      </c>
      <c r="DQ23" s="83">
        <v>134.64705499999999</v>
      </c>
      <c r="DR23" s="83">
        <v>423.79699399999998</v>
      </c>
      <c r="DS23" s="83">
        <v>190.67933099999999</v>
      </c>
      <c r="DT23" s="83">
        <v>394.21840400000002</v>
      </c>
      <c r="DU23" s="83">
        <v>198.03943899999999</v>
      </c>
      <c r="DV23" s="83">
        <v>117.094022</v>
      </c>
      <c r="DW23" s="83">
        <v>387.26180399999998</v>
      </c>
      <c r="DX23" s="83">
        <v>119.71746899999999</v>
      </c>
      <c r="DY23" s="83">
        <v>390.44766399999997</v>
      </c>
      <c r="DZ23" s="83">
        <v>176.05441400000001</v>
      </c>
      <c r="EA23" s="83">
        <v>360.62383799999998</v>
      </c>
      <c r="EB23" s="83">
        <v>179.81553600000001</v>
      </c>
      <c r="EC23" s="83">
        <v>107.226889</v>
      </c>
      <c r="ED23" s="83">
        <v>388.33517499999999</v>
      </c>
      <c r="EE23" s="83">
        <v>118.33887900000001</v>
      </c>
      <c r="EF23" s="83">
        <v>377.45874900000001</v>
      </c>
      <c r="EG23" s="83">
        <v>169.25393500000001</v>
      </c>
      <c r="EH23" s="83">
        <v>351.67634700000002</v>
      </c>
      <c r="EI23" s="83">
        <v>178.20288500000001</v>
      </c>
      <c r="EJ23" s="83">
        <v>105.037053</v>
      </c>
      <c r="EK23" s="83">
        <v>389.05811199999999</v>
      </c>
      <c r="EL23" s="83">
        <v>117.731448</v>
      </c>
      <c r="EM23" s="83">
        <v>377.68664000000001</v>
      </c>
      <c r="EN23" s="83">
        <v>170.305376</v>
      </c>
      <c r="EO23" s="83">
        <v>352.08364899999998</v>
      </c>
      <c r="EP23" s="83">
        <v>176.51265799999999</v>
      </c>
      <c r="EQ23" s="83">
        <v>103.56581199999999</v>
      </c>
      <c r="ER23" s="83">
        <v>424.178629</v>
      </c>
      <c r="ES23" s="83">
        <v>132.99180200000001</v>
      </c>
      <c r="ET23" s="83">
        <v>414.71332000000001</v>
      </c>
      <c r="EU23" s="83">
        <v>186.53739200000001</v>
      </c>
      <c r="EV23" s="83">
        <v>382.31550299999998</v>
      </c>
      <c r="EW23" s="83">
        <v>191.21764999999999</v>
      </c>
      <c r="EX23" s="83">
        <v>114.693226</v>
      </c>
      <c r="EY23" s="83">
        <v>389.84619900000001</v>
      </c>
      <c r="EZ23" s="83">
        <v>118.842251</v>
      </c>
      <c r="FA23" s="83">
        <v>385.649654</v>
      </c>
      <c r="FB23" s="83">
        <v>171.06107700000001</v>
      </c>
      <c r="FC23" s="83">
        <v>361.42415299999999</v>
      </c>
      <c r="FD23" s="83">
        <v>187.684867</v>
      </c>
      <c r="FE23" s="83">
        <v>110.523979</v>
      </c>
      <c r="FF23" s="83">
        <v>412.39392800000002</v>
      </c>
      <c r="FG23" s="83">
        <v>126.086043</v>
      </c>
      <c r="FH23" s="83">
        <v>459.57538499999998</v>
      </c>
      <c r="FI23" s="83">
        <v>208.34218200000001</v>
      </c>
      <c r="FJ23" s="83">
        <v>433.99531200000001</v>
      </c>
      <c r="FK23" s="83">
        <v>216.31519599999999</v>
      </c>
      <c r="FL23" s="83">
        <v>123.940693</v>
      </c>
      <c r="FM23" s="83">
        <v>426.55793899999998</v>
      </c>
      <c r="FN23" s="83">
        <v>122.454747</v>
      </c>
      <c r="FO23" s="83">
        <v>343.81712099999999</v>
      </c>
      <c r="FP23" s="83">
        <v>154.253265</v>
      </c>
      <c r="FQ23" s="83">
        <v>321.65341999999998</v>
      </c>
      <c r="FR23" s="83">
        <v>163.43702099999999</v>
      </c>
      <c r="FS23" s="83">
        <v>95.495213000000007</v>
      </c>
      <c r="FT23" s="83">
        <v>402.10120999999998</v>
      </c>
      <c r="FU23" s="83">
        <v>124.881738</v>
      </c>
      <c r="FV23" s="83">
        <v>417.69558899999998</v>
      </c>
      <c r="FW23" s="83">
        <v>189.59402800000001</v>
      </c>
      <c r="FX23" s="83">
        <v>383.13216399999999</v>
      </c>
      <c r="FY23" s="83">
        <v>187.33705699999999</v>
      </c>
      <c r="FZ23" s="83">
        <v>112.74951</v>
      </c>
      <c r="GA23" s="83">
        <v>404.73207600000001</v>
      </c>
      <c r="GB23" s="83">
        <v>125.633425</v>
      </c>
      <c r="GC23" s="83">
        <v>391.49855200000002</v>
      </c>
      <c r="GD23" s="83">
        <v>177.27741399999999</v>
      </c>
      <c r="GE23" s="83">
        <v>361.01836700000001</v>
      </c>
      <c r="GF23" s="83">
        <v>178.27517900000001</v>
      </c>
      <c r="GG23" s="83">
        <v>106.220501</v>
      </c>
      <c r="GH23" s="83">
        <v>411.92687000000001</v>
      </c>
      <c r="GI23" s="83">
        <v>126.944587</v>
      </c>
      <c r="GJ23" s="83">
        <v>405.63315699999998</v>
      </c>
      <c r="GK23" s="83">
        <v>182.828554</v>
      </c>
      <c r="GL23" s="83">
        <v>376.45264300000002</v>
      </c>
      <c r="GM23" s="83">
        <v>187.86166499999999</v>
      </c>
      <c r="GN23" s="83">
        <v>111.712164</v>
      </c>
      <c r="GO23" s="83">
        <v>369.78139800000002</v>
      </c>
      <c r="GP23" s="83">
        <v>114.78491699999999</v>
      </c>
      <c r="GQ23" s="83">
        <v>361.904492</v>
      </c>
      <c r="GR23" s="83">
        <v>161.35468599999999</v>
      </c>
      <c r="GS23" s="83">
        <v>337.04692899999998</v>
      </c>
      <c r="GT23" s="83">
        <v>172.58955499999999</v>
      </c>
      <c r="GU23" s="83">
        <v>102.57962999999999</v>
      </c>
      <c r="GV23" s="83">
        <v>404.01104500000002</v>
      </c>
      <c r="GW23" s="83">
        <v>128.33374800000001</v>
      </c>
      <c r="GX23" s="83">
        <v>405.48388299999999</v>
      </c>
      <c r="GY23" s="83">
        <v>181.12529499999999</v>
      </c>
      <c r="GZ23" s="83">
        <v>374.8184</v>
      </c>
      <c r="HA23" s="83">
        <v>189.91292200000001</v>
      </c>
      <c r="HB23" s="83">
        <v>114.84880800000001</v>
      </c>
      <c r="HC23" s="83">
        <v>420.82999699999999</v>
      </c>
      <c r="HD23" s="83">
        <v>131.44216299999999</v>
      </c>
      <c r="HE23" s="83">
        <v>472.22226000000001</v>
      </c>
      <c r="HF23" s="83">
        <v>215.05843300000001</v>
      </c>
      <c r="HG23" s="83">
        <v>440.58115900000001</v>
      </c>
      <c r="HH23" s="83">
        <v>216.228996</v>
      </c>
      <c r="HI23" s="83">
        <v>125.878263</v>
      </c>
      <c r="HJ23" s="83">
        <v>472.760378</v>
      </c>
      <c r="HK23" s="83">
        <v>138.23125899999999</v>
      </c>
      <c r="HL23" s="83">
        <v>394.862033</v>
      </c>
      <c r="HM23" s="83">
        <v>178.047955</v>
      </c>
      <c r="HN23" s="83">
        <v>366.04136899999997</v>
      </c>
      <c r="HO23" s="83">
        <v>182.69426999999999</v>
      </c>
      <c r="HP23" s="83">
        <v>108.377399</v>
      </c>
      <c r="HQ23" s="83">
        <v>409.137495</v>
      </c>
      <c r="HR23" s="83">
        <v>125.45225499999999</v>
      </c>
      <c r="HS23" s="83">
        <v>404.69523199999998</v>
      </c>
      <c r="HT23" s="83">
        <v>182.17462499999999</v>
      </c>
      <c r="HU23" s="83">
        <v>374.68790300000001</v>
      </c>
      <c r="HV23" s="83">
        <v>188.05382399999999</v>
      </c>
      <c r="HW23" s="83">
        <v>111.338598</v>
      </c>
      <c r="HX23" s="83">
        <v>454.715148</v>
      </c>
      <c r="HY23" s="83">
        <v>137.440854</v>
      </c>
      <c r="HZ23" s="83">
        <v>437.62634800000001</v>
      </c>
      <c r="IA23" s="83">
        <v>194.783075</v>
      </c>
      <c r="IB23" s="83">
        <v>411.14973600000002</v>
      </c>
      <c r="IC23" s="83">
        <v>212.31444400000001</v>
      </c>
      <c r="ID23" s="83">
        <v>124.31082000000001</v>
      </c>
      <c r="IE23" s="83">
        <v>437.65268900000001</v>
      </c>
      <c r="IF23" s="83">
        <v>133.92511200000001</v>
      </c>
      <c r="IG23" s="83">
        <v>465.84938599999998</v>
      </c>
      <c r="IH23" s="83">
        <v>209.158795</v>
      </c>
      <c r="II23" s="83">
        <v>440.05215700000002</v>
      </c>
      <c r="IJ23" s="83">
        <v>223.843388</v>
      </c>
      <c r="IK23" s="83">
        <v>129.164503</v>
      </c>
      <c r="IL23" s="83">
        <v>496.47589799999997</v>
      </c>
      <c r="IM23" s="83">
        <v>148.10733500000001</v>
      </c>
      <c r="IN23" s="83">
        <v>435.02568500000001</v>
      </c>
      <c r="IO23" s="83">
        <v>195.99160900000001</v>
      </c>
      <c r="IP23" s="83">
        <v>402.14871299999999</v>
      </c>
      <c r="IQ23" s="83">
        <v>200.86366000000001</v>
      </c>
      <c r="IR23" s="83">
        <v>119.687794</v>
      </c>
      <c r="IS23" s="83">
        <v>436.25370800000002</v>
      </c>
      <c r="IT23" s="83">
        <v>133.40471099999999</v>
      </c>
      <c r="IU23" s="83">
        <v>427.66178100000002</v>
      </c>
      <c r="IV23" s="83">
        <v>191.26400100000001</v>
      </c>
      <c r="IW23" s="83">
        <v>398.59878300000003</v>
      </c>
      <c r="IX23" s="83">
        <v>203.243233</v>
      </c>
      <c r="IY23" s="83">
        <v>119.901054</v>
      </c>
      <c r="IZ23" s="83">
        <v>426.977439</v>
      </c>
      <c r="JA23" s="83">
        <v>131.81772699999999</v>
      </c>
      <c r="JB23" s="83">
        <v>424.98817400000001</v>
      </c>
      <c r="JC23" s="83">
        <v>190.63080600000001</v>
      </c>
      <c r="JD23" s="83">
        <v>393.62094100000002</v>
      </c>
      <c r="JE23" s="83">
        <v>198.685531</v>
      </c>
      <c r="JF23" s="83">
        <v>118.29527</v>
      </c>
      <c r="JG23" s="83">
        <v>409.98287299999998</v>
      </c>
      <c r="JH23" s="83">
        <v>124.281222</v>
      </c>
      <c r="JI23" s="83">
        <v>463.910505</v>
      </c>
      <c r="JJ23" s="83">
        <v>210.61652799999999</v>
      </c>
      <c r="JK23" s="83">
        <v>439.80370099999999</v>
      </c>
      <c r="JL23" s="83">
        <v>219.73646400000001</v>
      </c>
      <c r="JM23" s="83">
        <v>124.20459099999999</v>
      </c>
      <c r="JN23" s="83">
        <v>305.90268800000001</v>
      </c>
      <c r="JO23" s="83">
        <v>113.060592</v>
      </c>
      <c r="JP23" s="83">
        <v>275.99136700000003</v>
      </c>
      <c r="JQ23" s="83">
        <v>134.500936</v>
      </c>
      <c r="JR23" s="83">
        <v>247.60965100000001</v>
      </c>
      <c r="JS23" s="83">
        <v>256.56478299999998</v>
      </c>
      <c r="JT23" s="83">
        <v>255.605715</v>
      </c>
      <c r="JU23" s="83">
        <v>255.037183</v>
      </c>
      <c r="JV23" s="83">
        <v>255.045928</v>
      </c>
      <c r="JW23" s="83">
        <v>263.68395099999998</v>
      </c>
      <c r="JX23" s="83">
        <v>254.78490199999999</v>
      </c>
      <c r="JY23" s="83">
        <v>253.68958799999999</v>
      </c>
      <c r="JZ23" s="83">
        <v>254.78465499999999</v>
      </c>
      <c r="KA23" s="83">
        <v>253.625969</v>
      </c>
      <c r="KB23" s="83">
        <v>259.25682499999999</v>
      </c>
      <c r="KC23" s="83">
        <v>259.11898600000001</v>
      </c>
      <c r="KD23" s="83">
        <v>269.63420500000001</v>
      </c>
      <c r="KE23" s="83">
        <v>260.62739099999999</v>
      </c>
      <c r="KF23" s="83">
        <v>259.84225199999997</v>
      </c>
      <c r="KG23" s="83">
        <v>260.63874199999998</v>
      </c>
      <c r="KH23" s="83">
        <v>259.78026899999998</v>
      </c>
      <c r="KI23" s="83">
        <v>255.837693</v>
      </c>
      <c r="KJ23" s="83">
        <v>255.840452</v>
      </c>
      <c r="KK23" s="83">
        <v>264.23456299999998</v>
      </c>
      <c r="KL23" s="83">
        <v>255.661599</v>
      </c>
      <c r="KM23" s="83">
        <v>254.60070400000001</v>
      </c>
      <c r="KN23" s="83">
        <v>255.67022700000001</v>
      </c>
      <c r="KO23" s="83">
        <v>254.54090099999999</v>
      </c>
      <c r="KP23" s="83">
        <v>266.76872900000001</v>
      </c>
      <c r="KQ23" s="83">
        <v>266.64400999999998</v>
      </c>
      <c r="KR23" s="83">
        <v>275.97625299999999</v>
      </c>
      <c r="KS23" s="83">
        <v>267.08968099999998</v>
      </c>
      <c r="KT23" s="83">
        <v>266.28081300000002</v>
      </c>
      <c r="KU23" s="83">
        <v>267.08721300000002</v>
      </c>
      <c r="KV23" s="83">
        <v>266.215237</v>
      </c>
      <c r="KW23" s="83">
        <v>263.91410999999999</v>
      </c>
      <c r="KX23" s="83">
        <v>263.92747900000001</v>
      </c>
      <c r="KY23" s="83">
        <v>273.30165399999998</v>
      </c>
      <c r="KZ23" s="83">
        <v>264.20230600000002</v>
      </c>
      <c r="LA23" s="83">
        <v>263.13378399999999</v>
      </c>
      <c r="LB23" s="83">
        <v>264.19452999999999</v>
      </c>
      <c r="LC23" s="83">
        <v>263.07022799999999</v>
      </c>
      <c r="LD23" s="83">
        <v>252.512381</v>
      </c>
      <c r="LE23" s="83">
        <v>252.381832</v>
      </c>
      <c r="LF23" s="83">
        <v>261.95954399999999</v>
      </c>
      <c r="LG23" s="83">
        <v>253.204105</v>
      </c>
      <c r="LH23" s="83">
        <v>252.422472</v>
      </c>
      <c r="LI23" s="83">
        <v>253.20994200000001</v>
      </c>
      <c r="LJ23" s="83">
        <v>252.36014499999999</v>
      </c>
      <c r="LK23" s="83">
        <v>247.013183</v>
      </c>
      <c r="LL23" s="83">
        <v>247.01959500000001</v>
      </c>
      <c r="LM23" s="83">
        <v>256.38808399999999</v>
      </c>
      <c r="LN23" s="83">
        <v>247.754051</v>
      </c>
      <c r="LO23" s="83">
        <v>246.686027</v>
      </c>
      <c r="LP23" s="83">
        <v>247.75709000000001</v>
      </c>
      <c r="LQ23" s="83">
        <v>246.624662</v>
      </c>
      <c r="LR23" s="83">
        <v>246.84051299999999</v>
      </c>
      <c r="LS23" s="83">
        <v>246.71693999999999</v>
      </c>
      <c r="LT23" s="83">
        <v>263.51044000000002</v>
      </c>
      <c r="LU23" s="83">
        <v>254.819355</v>
      </c>
      <c r="LV23" s="83">
        <v>254.04982200000001</v>
      </c>
      <c r="LW23" s="83">
        <v>254.821056</v>
      </c>
      <c r="LX23" s="83">
        <v>253.98792900000001</v>
      </c>
      <c r="LY23" s="83">
        <v>265.250405</v>
      </c>
      <c r="LZ23" s="83">
        <v>265.27179799999999</v>
      </c>
      <c r="MA23" s="83">
        <v>267.105189</v>
      </c>
      <c r="MB23" s="83">
        <v>258.24328000000003</v>
      </c>
      <c r="MC23" s="83">
        <v>257.15282400000001</v>
      </c>
      <c r="MD23" s="83">
        <v>258.22323699999998</v>
      </c>
      <c r="ME23" s="83">
        <v>257.08558299999999</v>
      </c>
      <c r="MF23" s="83">
        <v>254.84251599999999</v>
      </c>
      <c r="MG23" s="83">
        <v>254.72431499999999</v>
      </c>
      <c r="MH23" s="83">
        <v>263.99804499999999</v>
      </c>
      <c r="MI23" s="83">
        <v>255.15505999999999</v>
      </c>
      <c r="MJ23" s="83">
        <v>254.36953299999999</v>
      </c>
      <c r="MK23" s="83">
        <v>255.15030899999999</v>
      </c>
      <c r="ML23" s="83">
        <v>254.30557200000001</v>
      </c>
      <c r="MM23" s="83">
        <v>251.66641999999999</v>
      </c>
      <c r="MN23" s="83">
        <v>251.68115</v>
      </c>
      <c r="MO23" s="83">
        <v>271.49739899999997</v>
      </c>
      <c r="MP23" s="83">
        <v>262.68954200000002</v>
      </c>
      <c r="MQ23" s="83">
        <v>261.63788299999999</v>
      </c>
      <c r="MR23" s="83">
        <v>262.67942499999998</v>
      </c>
      <c r="MS23" s="83">
        <v>261.57489500000003</v>
      </c>
      <c r="MT23" s="83">
        <v>263.40328699999998</v>
      </c>
      <c r="MU23" s="83">
        <v>263.28025100000002</v>
      </c>
      <c r="MV23" s="83">
        <v>262.34685100000002</v>
      </c>
      <c r="MW23" s="83">
        <v>253.64937900000001</v>
      </c>
      <c r="MX23" s="83">
        <v>252.849424</v>
      </c>
      <c r="MY23" s="83">
        <v>253.646717</v>
      </c>
      <c r="MZ23" s="83">
        <v>252.78459899999999</v>
      </c>
      <c r="NA23" s="83">
        <v>239.21759499999999</v>
      </c>
      <c r="NB23" s="83">
        <v>239.23491300000001</v>
      </c>
      <c r="NC23" s="83">
        <v>248.34872899999999</v>
      </c>
      <c r="ND23" s="83">
        <v>239.92665500000001</v>
      </c>
      <c r="NE23" s="83">
        <v>238.89316500000001</v>
      </c>
      <c r="NF23" s="83">
        <v>239.91238799999999</v>
      </c>
      <c r="NG23" s="83">
        <v>238.83032600000001</v>
      </c>
      <c r="NH23" s="83">
        <v>257.85952700000001</v>
      </c>
      <c r="NI23" s="83">
        <v>257.72819099999998</v>
      </c>
      <c r="NJ23" s="83">
        <v>264.67322100000001</v>
      </c>
      <c r="NK23" s="83">
        <v>255.70330300000001</v>
      </c>
      <c r="NL23" s="83">
        <v>254.900755</v>
      </c>
      <c r="NM23" s="83">
        <v>255.70713499999999</v>
      </c>
      <c r="NN23" s="83">
        <v>254.836488</v>
      </c>
      <c r="NO23" s="83">
        <v>267.032578</v>
      </c>
      <c r="NP23" s="83">
        <v>267.05586699999998</v>
      </c>
      <c r="NQ23" s="83">
        <v>279.46876800000001</v>
      </c>
      <c r="NR23" s="83">
        <v>270.46152599999999</v>
      </c>
      <c r="NS23" s="83">
        <v>269.41964899999999</v>
      </c>
      <c r="NT23" s="83">
        <v>270.43809700000003</v>
      </c>
      <c r="NU23" s="83">
        <v>269.35452900000001</v>
      </c>
      <c r="NV23" s="83">
        <v>252.47340500000001</v>
      </c>
      <c r="NW23" s="83">
        <v>252.35504499999999</v>
      </c>
      <c r="NX23" s="83">
        <v>261.58078</v>
      </c>
      <c r="NY23" s="83">
        <v>252.78981300000001</v>
      </c>
      <c r="NZ23" s="83">
        <v>251.99641700000001</v>
      </c>
      <c r="OA23" s="83">
        <v>252.784121</v>
      </c>
      <c r="OB23" s="83">
        <v>251.93173300000001</v>
      </c>
      <c r="OC23" s="83">
        <v>256.739349</v>
      </c>
      <c r="OD23" s="83">
        <v>256.76262200000002</v>
      </c>
      <c r="OE23" s="83">
        <v>276.20388000000003</v>
      </c>
      <c r="OF23" s="83">
        <v>267.217467</v>
      </c>
      <c r="OG23" s="83">
        <v>266.14142800000002</v>
      </c>
      <c r="OH23" s="83">
        <v>267.19439199999999</v>
      </c>
      <c r="OI23" s="83">
        <v>266.07439199999999</v>
      </c>
      <c r="OJ23" s="83">
        <v>268.88669299999998</v>
      </c>
      <c r="OK23" s="83">
        <v>268.76858199999998</v>
      </c>
      <c r="OL23" s="83">
        <v>268.84720399999998</v>
      </c>
      <c r="OM23" s="83">
        <v>260.07287300000002</v>
      </c>
      <c r="ON23" s="83">
        <v>259.25352900000001</v>
      </c>
      <c r="OO23" s="83">
        <v>260.06367599999999</v>
      </c>
      <c r="OP23" s="83">
        <v>259.18631900000003</v>
      </c>
      <c r="OQ23" s="83">
        <v>256.82485000000003</v>
      </c>
      <c r="OR23" s="83">
        <v>256.84035999999998</v>
      </c>
      <c r="OS23" s="83">
        <v>266.19520199999999</v>
      </c>
      <c r="OT23" s="83">
        <v>257.56717600000002</v>
      </c>
      <c r="OU23" s="83">
        <v>256.48741699999999</v>
      </c>
      <c r="OV23" s="83">
        <v>257.55621600000001</v>
      </c>
      <c r="OW23" s="83">
        <v>256.422595</v>
      </c>
      <c r="OX23" s="83">
        <v>261.54303900000002</v>
      </c>
      <c r="OY23" s="83">
        <v>261.43348700000001</v>
      </c>
      <c r="OZ23" s="83">
        <v>266.80087099999997</v>
      </c>
      <c r="PA23" s="83">
        <v>257.91554600000001</v>
      </c>
      <c r="PB23" s="83">
        <v>257.10521199999999</v>
      </c>
      <c r="PC23" s="83">
        <v>257.900462</v>
      </c>
      <c r="PD23" s="83">
        <v>257.038005</v>
      </c>
      <c r="PE23" s="83">
        <v>265.67484400000001</v>
      </c>
      <c r="PF23" s="83">
        <v>265.69324999999998</v>
      </c>
      <c r="PG23" s="83">
        <v>280.39221800000001</v>
      </c>
      <c r="PH23" s="83">
        <v>270.96037999999999</v>
      </c>
      <c r="PI23" s="83">
        <v>269.86109499999998</v>
      </c>
      <c r="PJ23" s="83">
        <v>270.94515799999999</v>
      </c>
      <c r="PK23" s="83">
        <v>269.79425800000001</v>
      </c>
      <c r="PL23" s="83">
        <v>255.796605</v>
      </c>
      <c r="PM23" s="83">
        <v>255.67494600000001</v>
      </c>
      <c r="PN23" s="83">
        <v>264.97245299999997</v>
      </c>
      <c r="PO23" s="83">
        <v>256.11374799999999</v>
      </c>
      <c r="PP23" s="83">
        <v>255.315549</v>
      </c>
      <c r="PQ23" s="83">
        <v>256.11020100000002</v>
      </c>
      <c r="PR23" s="83">
        <v>255.25074000000001</v>
      </c>
      <c r="PS23" s="83">
        <v>304.29740299999997</v>
      </c>
      <c r="PT23" s="83">
        <v>304.32688100000001</v>
      </c>
      <c r="PU23" s="83">
        <v>315.73927500000002</v>
      </c>
      <c r="PV23" s="83">
        <v>305.16688299999998</v>
      </c>
      <c r="PW23" s="83">
        <v>303.89161899999999</v>
      </c>
      <c r="PX23" s="83">
        <v>305.13661300000001</v>
      </c>
      <c r="PY23" s="83">
        <v>303.81150100000002</v>
      </c>
      <c r="PZ23" s="83">
        <v>242.60150100000001</v>
      </c>
      <c r="QA23" s="83">
        <v>242.474254</v>
      </c>
      <c r="QB23" s="83">
        <v>251.722971</v>
      </c>
      <c r="QC23" s="83">
        <v>242.92200600000001</v>
      </c>
      <c r="QD23" s="83">
        <v>242.11219</v>
      </c>
      <c r="QE23" s="83">
        <v>242.92151100000001</v>
      </c>
      <c r="QF23" s="83">
        <v>242.04682299999999</v>
      </c>
      <c r="QG23" s="83">
        <v>269.48929900000002</v>
      </c>
      <c r="QH23" s="83">
        <v>269.50970899999999</v>
      </c>
      <c r="QI23" s="83">
        <v>279.64664800000003</v>
      </c>
      <c r="QJ23" s="83">
        <v>270.26770399999998</v>
      </c>
      <c r="QK23" s="83">
        <v>269.131958</v>
      </c>
      <c r="QL23" s="83">
        <v>270.24982199999999</v>
      </c>
      <c r="QM23" s="83">
        <v>269.06248499999998</v>
      </c>
      <c r="QN23" s="83">
        <v>254.95129399999999</v>
      </c>
      <c r="QO23" s="83">
        <v>254.821753</v>
      </c>
      <c r="QP23" s="83">
        <v>264.63811199999998</v>
      </c>
      <c r="QQ23" s="83">
        <v>255.28613799999999</v>
      </c>
      <c r="QR23" s="83">
        <v>254.44239400000001</v>
      </c>
      <c r="QS23" s="83">
        <v>255.28314900000001</v>
      </c>
    </row>
    <row r="24" spans="6:461" x14ac:dyDescent="0.25">
      <c r="F24" s="82" t="str">
        <f xml:space="preserve"> _xll.EPMOlapMemberO("[PRDDESCR].[].[HELGAS GFREE WHOLEM 500G]","","HELGAS GFREE WHOLEM 500G","","000")</f>
        <v>HELGAS GFREE WHOLEM 500G</v>
      </c>
      <c r="G24" s="82" t="str">
        <f xml:space="preserve"> _xll.EPMOlapMemberO("[PRDID].[].[168848]","","168848","","000")</f>
        <v>168848</v>
      </c>
      <c r="H24" s="82" t="str">
        <f xml:space="preserve"> _xll.EPMOlapMemberO("[LOCID].[].[6103]","","6103","","000")</f>
        <v>6103</v>
      </c>
      <c r="I24" s="82" t="str">
        <f xml:space="preserve"> _xll.EPMOlapMemberO("[LOCDESCR].[].[QBA-Canberra]","","QBA-Canberra","","000")</f>
        <v>QBA-Canberra</v>
      </c>
      <c r="J24" s="82" t="str">
        <f xml:space="preserve"> _xll.EPMOlapMemberO("[KEY_FIGURES].[].[ZGFAPPROVEDFCSTQTY]","","Approved Forecast","","000")</f>
        <v>Approved Forecast</v>
      </c>
      <c r="K24" s="83">
        <v>131.49806599999999</v>
      </c>
      <c r="L24" s="83">
        <v>127.900522</v>
      </c>
      <c r="M24" s="83">
        <v>184.92738499999999</v>
      </c>
      <c r="N24" s="83">
        <v>107.116998</v>
      </c>
      <c r="O24" s="83">
        <v>205.40414100000001</v>
      </c>
      <c r="P24" s="83">
        <v>128.38393600000001</v>
      </c>
      <c r="Q24" s="83">
        <v>128.72552899999999</v>
      </c>
      <c r="R24" s="83">
        <v>134.26407699999999</v>
      </c>
      <c r="S24" s="83">
        <v>135.25228799999999</v>
      </c>
      <c r="T24" s="83">
        <v>190.07681600000001</v>
      </c>
      <c r="U24" s="83">
        <v>106.444616</v>
      </c>
      <c r="V24" s="83">
        <v>198.21146400000001</v>
      </c>
      <c r="W24" s="83">
        <v>123.892186</v>
      </c>
      <c r="X24" s="83">
        <v>129.596936</v>
      </c>
      <c r="Y24" s="83">
        <v>132.585916</v>
      </c>
      <c r="Z24" s="83">
        <v>126.19217399999999</v>
      </c>
      <c r="AA24" s="83">
        <v>181.4091</v>
      </c>
      <c r="AB24" s="83">
        <v>105.223332</v>
      </c>
      <c r="AC24" s="83">
        <v>195.837445</v>
      </c>
      <c r="AD24" s="83">
        <v>123.04724</v>
      </c>
      <c r="AE24" s="83">
        <v>122.189488</v>
      </c>
      <c r="AF24" s="83">
        <v>127.221867</v>
      </c>
      <c r="AG24" s="83">
        <v>119.348518</v>
      </c>
      <c r="AH24" s="83">
        <v>176.37480299999999</v>
      </c>
      <c r="AI24" s="83">
        <v>105.102701</v>
      </c>
      <c r="AJ24" s="83">
        <v>201.09057899999999</v>
      </c>
      <c r="AK24" s="83">
        <v>124.429044</v>
      </c>
      <c r="AL24" s="83">
        <v>127.301117</v>
      </c>
      <c r="AM24" s="83">
        <v>133.84980400000001</v>
      </c>
      <c r="AN24" s="83">
        <v>129.556332</v>
      </c>
      <c r="AO24" s="83">
        <v>182.498402</v>
      </c>
      <c r="AP24" s="83">
        <v>103.884642</v>
      </c>
      <c r="AQ24" s="83">
        <v>193.615103</v>
      </c>
      <c r="AR24" s="83">
        <v>120.391964</v>
      </c>
      <c r="AS24" s="83">
        <v>121.71005700000001</v>
      </c>
      <c r="AT24" s="83">
        <v>126.801181</v>
      </c>
      <c r="AU24" s="83">
        <v>118.46376100000001</v>
      </c>
      <c r="AV24" s="83">
        <v>174.308335</v>
      </c>
      <c r="AW24" s="83">
        <v>100.424316</v>
      </c>
      <c r="AX24" s="83">
        <v>205.86983000000001</v>
      </c>
      <c r="AY24" s="83">
        <v>129.74994599999999</v>
      </c>
      <c r="AZ24" s="83">
        <v>126.52925500000001</v>
      </c>
      <c r="BA24" s="83">
        <v>131.40028699999999</v>
      </c>
      <c r="BB24" s="83">
        <v>122.66182999999999</v>
      </c>
      <c r="BC24" s="83">
        <v>183.97522599999999</v>
      </c>
      <c r="BD24" s="83">
        <v>109.936578</v>
      </c>
      <c r="BE24" s="83">
        <v>204.243415</v>
      </c>
      <c r="BF24" s="83">
        <v>125.46068</v>
      </c>
      <c r="BG24" s="83">
        <v>125.09663999999999</v>
      </c>
      <c r="BH24" s="83">
        <v>131.082357</v>
      </c>
      <c r="BI24" s="83">
        <v>125.781627</v>
      </c>
      <c r="BJ24" s="83">
        <v>180.77998600000001</v>
      </c>
      <c r="BK24" s="83">
        <v>105.607111</v>
      </c>
      <c r="BL24" s="83">
        <v>188.64390700000001</v>
      </c>
      <c r="BM24" s="83">
        <v>118.59007099999999</v>
      </c>
      <c r="BN24" s="83">
        <v>123.29710799999999</v>
      </c>
      <c r="BO24" s="83">
        <v>127.792112</v>
      </c>
      <c r="BP24" s="83">
        <v>117.661827</v>
      </c>
      <c r="BQ24" s="83">
        <v>177.44179399999999</v>
      </c>
      <c r="BR24" s="83">
        <v>104.57687900000001</v>
      </c>
      <c r="BS24" s="83">
        <v>206.64806200000001</v>
      </c>
      <c r="BT24" s="83">
        <v>131.92535899999999</v>
      </c>
      <c r="BU24" s="83">
        <v>130.668025</v>
      </c>
      <c r="BV24" s="83">
        <v>135.32175000000001</v>
      </c>
      <c r="BW24" s="83">
        <v>124.172088</v>
      </c>
      <c r="BX24" s="83">
        <v>189.271862</v>
      </c>
      <c r="BY24" s="83">
        <v>112.645168</v>
      </c>
      <c r="BZ24" s="83">
        <v>196.52311</v>
      </c>
      <c r="CA24" s="83">
        <v>123.12045000000001</v>
      </c>
      <c r="CB24" s="83">
        <v>124.22771899999999</v>
      </c>
      <c r="CC24" s="83">
        <v>129.532388</v>
      </c>
      <c r="CD24" s="83">
        <v>123.875163</v>
      </c>
      <c r="CE24" s="83">
        <v>180.01977099999999</v>
      </c>
      <c r="CF24" s="83">
        <v>104.46557900000001</v>
      </c>
      <c r="CG24" s="83">
        <v>197.23099400000001</v>
      </c>
      <c r="CH24" s="83">
        <v>124.19210200000001</v>
      </c>
      <c r="CI24" s="83">
        <v>124.778856</v>
      </c>
      <c r="CJ24" s="83">
        <v>130.31434899999999</v>
      </c>
      <c r="CK24" s="83">
        <v>119.08942</v>
      </c>
      <c r="CL24" s="83">
        <v>177.52419599999999</v>
      </c>
      <c r="CM24" s="83">
        <v>101.86642999999999</v>
      </c>
      <c r="CN24" s="83">
        <v>190.960184</v>
      </c>
      <c r="CO24" s="83">
        <v>121.972936</v>
      </c>
      <c r="CP24" s="83">
        <v>121.308661</v>
      </c>
      <c r="CQ24" s="83">
        <v>125.14254200000001</v>
      </c>
      <c r="CR24" s="83">
        <v>115.073443</v>
      </c>
      <c r="CS24" s="83">
        <v>176.75767099999999</v>
      </c>
      <c r="CT24" s="83">
        <v>106.013357</v>
      </c>
      <c r="CU24" s="83">
        <v>191.20810900000001</v>
      </c>
      <c r="CV24" s="83">
        <v>119.98632600000001</v>
      </c>
      <c r="CW24" s="83">
        <v>122.604393</v>
      </c>
      <c r="CX24" s="83">
        <v>128.63753600000001</v>
      </c>
      <c r="CY24" s="83">
        <v>122.39357800000001</v>
      </c>
      <c r="CZ24" s="83">
        <v>176.00188900000001</v>
      </c>
      <c r="DA24" s="83">
        <v>101.00139900000001</v>
      </c>
      <c r="DB24" s="83">
        <v>185.851709</v>
      </c>
      <c r="DC24" s="83">
        <v>116.791369</v>
      </c>
      <c r="DD24" s="83">
        <v>115.02037</v>
      </c>
      <c r="DE24" s="83">
        <v>120.03209699999999</v>
      </c>
      <c r="DF24" s="83">
        <v>109.83274299999999</v>
      </c>
      <c r="DG24" s="83">
        <v>163.78518199999999</v>
      </c>
      <c r="DH24" s="83">
        <v>94.307023999999998</v>
      </c>
      <c r="DI24" s="83">
        <v>203.773009</v>
      </c>
      <c r="DJ24" s="83">
        <v>129.98448500000001</v>
      </c>
      <c r="DK24" s="83">
        <v>128.725156</v>
      </c>
      <c r="DL24" s="83">
        <v>133.40441100000001</v>
      </c>
      <c r="DM24" s="83">
        <v>122.34267</v>
      </c>
      <c r="DN24" s="83">
        <v>186.59626499999999</v>
      </c>
      <c r="DO24" s="83">
        <v>111.685732</v>
      </c>
      <c r="DP24" s="83">
        <v>211.226731</v>
      </c>
      <c r="DQ24" s="83">
        <v>132.234466</v>
      </c>
      <c r="DR24" s="83">
        <v>130.02815100000001</v>
      </c>
      <c r="DS24" s="83">
        <v>136.09851800000001</v>
      </c>
      <c r="DT24" s="83">
        <v>129.675253</v>
      </c>
      <c r="DU24" s="83">
        <v>187.08222900000001</v>
      </c>
      <c r="DV24" s="83">
        <v>107.497972</v>
      </c>
      <c r="DW24" s="83">
        <v>200.88606300000001</v>
      </c>
      <c r="DX24" s="83">
        <v>126.65622399999999</v>
      </c>
      <c r="DY24" s="83">
        <v>130.40983</v>
      </c>
      <c r="DZ24" s="83">
        <v>135.48638600000001</v>
      </c>
      <c r="EA24" s="83">
        <v>124.37024599999999</v>
      </c>
      <c r="EB24" s="83">
        <v>186.75205399999999</v>
      </c>
      <c r="EC24" s="83">
        <v>108.247923</v>
      </c>
      <c r="ED24" s="83">
        <v>193.324265</v>
      </c>
      <c r="EE24" s="83">
        <v>123.39059899999999</v>
      </c>
      <c r="EF24" s="83">
        <v>122.418024</v>
      </c>
      <c r="EG24" s="83">
        <v>126.470017</v>
      </c>
      <c r="EH24" s="83">
        <v>116.356925</v>
      </c>
      <c r="EI24" s="83">
        <v>178.00129200000001</v>
      </c>
      <c r="EJ24" s="83">
        <v>106.978549</v>
      </c>
      <c r="EK24" s="83">
        <v>200.99252300000001</v>
      </c>
      <c r="EL24" s="83">
        <v>125.7187</v>
      </c>
      <c r="EM24" s="83">
        <v>127.049249</v>
      </c>
      <c r="EN24" s="83">
        <v>132.50585799999999</v>
      </c>
      <c r="EO24" s="83">
        <v>126.970538</v>
      </c>
      <c r="EP24" s="83">
        <v>184.43700000000001</v>
      </c>
      <c r="EQ24" s="83">
        <v>107.611771</v>
      </c>
      <c r="ER24" s="83">
        <v>201.53313</v>
      </c>
      <c r="ES24" s="83">
        <v>126.846317</v>
      </c>
      <c r="ET24" s="83">
        <v>126.008419</v>
      </c>
      <c r="EU24" s="83">
        <v>129.701818</v>
      </c>
      <c r="EV24" s="83">
        <v>119.623474</v>
      </c>
      <c r="EW24" s="83">
        <v>182.812016</v>
      </c>
      <c r="EX24" s="83">
        <v>107.52365899999999</v>
      </c>
      <c r="EY24" s="83">
        <v>193.18697800000001</v>
      </c>
      <c r="EZ24" s="83">
        <v>123.282696</v>
      </c>
      <c r="FA24" s="83">
        <v>126.116167</v>
      </c>
      <c r="FB24" s="83">
        <v>130.09625500000001</v>
      </c>
      <c r="FC24" s="83">
        <v>119.94784199999999</v>
      </c>
      <c r="FD24" s="83">
        <v>184.14894699999999</v>
      </c>
      <c r="FE24" s="83">
        <v>112.374476</v>
      </c>
      <c r="FF24" s="83">
        <v>199.45947200000001</v>
      </c>
      <c r="FG24" s="83">
        <v>125.22808000000001</v>
      </c>
      <c r="FH24" s="83">
        <v>134.731537</v>
      </c>
      <c r="FI24" s="83">
        <v>141.805643</v>
      </c>
      <c r="FJ24" s="83">
        <v>134.03671299999999</v>
      </c>
      <c r="FK24" s="83">
        <v>192.32026099999999</v>
      </c>
      <c r="FL24" s="83">
        <v>109.14065100000001</v>
      </c>
      <c r="FM24" s="83">
        <v>210.72555399999999</v>
      </c>
      <c r="FN24" s="83">
        <v>132.53703899999999</v>
      </c>
      <c r="FO24" s="83">
        <v>122.70568799999999</v>
      </c>
      <c r="FP24" s="83">
        <v>127.530884</v>
      </c>
      <c r="FQ24" s="83">
        <v>117.11266500000001</v>
      </c>
      <c r="FR24" s="83">
        <v>175.49354400000001</v>
      </c>
      <c r="FS24" s="83">
        <v>101.542863</v>
      </c>
      <c r="FT24" s="83">
        <v>184.87474900000001</v>
      </c>
      <c r="FU24" s="83">
        <v>117.997311</v>
      </c>
      <c r="FV24" s="83">
        <v>120.411523</v>
      </c>
      <c r="FW24" s="83">
        <v>125.17077399999999</v>
      </c>
      <c r="FX24" s="83">
        <v>114.27323199999999</v>
      </c>
      <c r="FY24" s="83">
        <v>174.99646100000001</v>
      </c>
      <c r="FZ24" s="83">
        <v>105.202642</v>
      </c>
      <c r="GA24" s="83">
        <v>191.66283000000001</v>
      </c>
      <c r="GB24" s="83">
        <v>120.13167</v>
      </c>
      <c r="GC24" s="83">
        <v>117.933785</v>
      </c>
      <c r="GD24" s="83">
        <v>122.615735</v>
      </c>
      <c r="GE24" s="83">
        <v>117.238416</v>
      </c>
      <c r="GF24" s="83">
        <v>171.303406</v>
      </c>
      <c r="GG24" s="83">
        <v>99.319839999999999</v>
      </c>
      <c r="GH24" s="83">
        <v>194.036675</v>
      </c>
      <c r="GI24" s="83">
        <v>122.145623</v>
      </c>
      <c r="GJ24" s="83">
        <v>123.885249</v>
      </c>
      <c r="GK24" s="83">
        <v>128.201312</v>
      </c>
      <c r="GL24" s="83">
        <v>118.100452</v>
      </c>
      <c r="GM24" s="83">
        <v>178.291348</v>
      </c>
      <c r="GN24" s="83">
        <v>104.20962299999999</v>
      </c>
      <c r="GO24" s="83">
        <v>206.21773899999999</v>
      </c>
      <c r="GP24" s="83">
        <v>131.48248799999999</v>
      </c>
      <c r="GQ24" s="83">
        <v>129.605557</v>
      </c>
      <c r="GR24" s="83">
        <v>134.44908100000001</v>
      </c>
      <c r="GS24" s="83">
        <v>123.15155300000001</v>
      </c>
      <c r="GT24" s="83">
        <v>188.79639800000001</v>
      </c>
      <c r="GU24" s="83">
        <v>114.33442599999999</v>
      </c>
      <c r="GV24" s="83">
        <v>196.44459599999999</v>
      </c>
      <c r="GW24" s="83">
        <v>123.310827</v>
      </c>
      <c r="GX24" s="83">
        <v>125.31514300000001</v>
      </c>
      <c r="GY24" s="83">
        <v>130.486898</v>
      </c>
      <c r="GZ24" s="83">
        <v>124.73600500000001</v>
      </c>
      <c r="HA24" s="83">
        <v>181.99134599999999</v>
      </c>
      <c r="HB24" s="83">
        <v>105.727197</v>
      </c>
      <c r="HC24" s="83">
        <v>190.16182599999999</v>
      </c>
      <c r="HD24" s="83">
        <v>119.748255</v>
      </c>
      <c r="HE24" s="83">
        <v>126.72972799999999</v>
      </c>
      <c r="HF24" s="83">
        <v>132.722793</v>
      </c>
      <c r="HG24" s="83">
        <v>121.274244</v>
      </c>
      <c r="HH24" s="83">
        <v>179.555182</v>
      </c>
      <c r="HI24" s="83">
        <v>103.040802</v>
      </c>
      <c r="HJ24" s="83">
        <v>205.98719399999999</v>
      </c>
      <c r="HK24" s="83">
        <v>131.171325</v>
      </c>
      <c r="HL24" s="83">
        <v>120.19937899999999</v>
      </c>
      <c r="HM24" s="83">
        <v>124.377978</v>
      </c>
      <c r="HN24" s="83">
        <v>114.229889</v>
      </c>
      <c r="HO24" s="83">
        <v>174.49690000000001</v>
      </c>
      <c r="HP24" s="83">
        <v>104.602746</v>
      </c>
      <c r="HQ24" s="83">
        <v>196.99896100000001</v>
      </c>
      <c r="HR24" s="83">
        <v>123.57749099999999</v>
      </c>
      <c r="HS24" s="83">
        <v>125.431341</v>
      </c>
      <c r="HT24" s="83">
        <v>131.225403</v>
      </c>
      <c r="HU24" s="83">
        <v>124.386612</v>
      </c>
      <c r="HV24" s="83">
        <v>180.565136</v>
      </c>
      <c r="HW24" s="83">
        <v>103.244759</v>
      </c>
      <c r="HX24" s="83">
        <v>214.35391999999999</v>
      </c>
      <c r="HY24" s="83">
        <v>134.765648</v>
      </c>
      <c r="HZ24" s="83">
        <v>137.597657</v>
      </c>
      <c r="IA24" s="83">
        <v>143.08949899999999</v>
      </c>
      <c r="IB24" s="83">
        <v>131.40623400000001</v>
      </c>
      <c r="IC24" s="83">
        <v>196.981706</v>
      </c>
      <c r="ID24" s="83">
        <v>114.912432</v>
      </c>
      <c r="IE24" s="83">
        <v>210.78633199999999</v>
      </c>
      <c r="IF24" s="83">
        <v>134.45189099999999</v>
      </c>
      <c r="IG24" s="83">
        <v>139.64817300000001</v>
      </c>
      <c r="IH24" s="83">
        <v>146.576978</v>
      </c>
      <c r="II24" s="83">
        <v>133.66155499999999</v>
      </c>
      <c r="IJ24" s="83">
        <v>198.29710600000001</v>
      </c>
      <c r="IK24" s="83">
        <v>115.675741</v>
      </c>
      <c r="IL24" s="83">
        <v>223.692519</v>
      </c>
      <c r="IM24" s="83">
        <v>140.410425</v>
      </c>
      <c r="IN24" s="83">
        <v>132.81791200000001</v>
      </c>
      <c r="IO24" s="83">
        <v>137.986751</v>
      </c>
      <c r="IP24" s="83">
        <v>131.80690000000001</v>
      </c>
      <c r="IQ24" s="83">
        <v>192.74589800000001</v>
      </c>
      <c r="IR24" s="83">
        <v>111.314044</v>
      </c>
      <c r="IS24" s="83">
        <v>202.236457</v>
      </c>
      <c r="IT24" s="83">
        <v>127.479598</v>
      </c>
      <c r="IU24" s="83">
        <v>130.586423</v>
      </c>
      <c r="IV24" s="83">
        <v>135.23660100000001</v>
      </c>
      <c r="IW24" s="83">
        <v>124.445432</v>
      </c>
      <c r="IX24" s="83">
        <v>187.73612299999999</v>
      </c>
      <c r="IY24" s="83">
        <v>109.333483</v>
      </c>
      <c r="IZ24" s="83">
        <v>217.42066700000001</v>
      </c>
      <c r="JA24" s="83">
        <v>138.68096399999999</v>
      </c>
      <c r="JB24" s="83">
        <v>137.978005</v>
      </c>
      <c r="JC24" s="83">
        <v>143.178586</v>
      </c>
      <c r="JD24" s="83">
        <v>131.37615500000001</v>
      </c>
      <c r="JE24" s="83">
        <v>200.49152100000001</v>
      </c>
      <c r="JF24" s="83">
        <v>121.102794</v>
      </c>
      <c r="JG24" s="83">
        <v>203.14950899999999</v>
      </c>
      <c r="JH24" s="83">
        <v>127.808024</v>
      </c>
      <c r="JI24" s="83">
        <v>138.048879</v>
      </c>
      <c r="JJ24" s="83">
        <v>145.34667400000001</v>
      </c>
      <c r="JK24" s="83">
        <v>136.61469399999999</v>
      </c>
      <c r="JL24" s="83">
        <v>197.188175</v>
      </c>
      <c r="JM24" s="83">
        <v>111.482147</v>
      </c>
      <c r="JN24" s="83">
        <v>170.12006600000001</v>
      </c>
      <c r="JO24" s="83">
        <v>176.65309600000001</v>
      </c>
      <c r="JP24" s="83">
        <v>111.95250799999999</v>
      </c>
      <c r="JQ24" s="83">
        <v>127.939824</v>
      </c>
      <c r="JR24" s="83">
        <v>99.695076</v>
      </c>
      <c r="JS24" s="83">
        <v>159.68647200000001</v>
      </c>
      <c r="JT24" s="83">
        <v>162.65556699999999</v>
      </c>
      <c r="JU24" s="83">
        <v>141.89461499999999</v>
      </c>
      <c r="JV24" s="83">
        <v>145.25144700000001</v>
      </c>
      <c r="JW24" s="83">
        <v>143.358645</v>
      </c>
      <c r="JX24" s="83">
        <v>141.594866</v>
      </c>
      <c r="JY24" s="83">
        <v>141.02432300000001</v>
      </c>
      <c r="JZ24" s="83">
        <v>144.72437099999999</v>
      </c>
      <c r="KA24" s="83">
        <v>150.512091</v>
      </c>
      <c r="KB24" s="83">
        <v>145.505259</v>
      </c>
      <c r="KC24" s="83">
        <v>146.10933299999999</v>
      </c>
      <c r="KD24" s="83">
        <v>146.873153</v>
      </c>
      <c r="KE24" s="83">
        <v>146.219494</v>
      </c>
      <c r="KF24" s="83">
        <v>151.65286399999999</v>
      </c>
      <c r="KG24" s="83">
        <v>148.061362</v>
      </c>
      <c r="KH24" s="83">
        <v>150.319108</v>
      </c>
      <c r="KI24" s="83">
        <v>142.34443300000001</v>
      </c>
      <c r="KJ24" s="83">
        <v>143.55430799999999</v>
      </c>
      <c r="KK24" s="83">
        <v>144.97904199999999</v>
      </c>
      <c r="KL24" s="83">
        <v>143.65344400000001</v>
      </c>
      <c r="KM24" s="83">
        <v>142.905202</v>
      </c>
      <c r="KN24" s="83">
        <v>144.829759</v>
      </c>
      <c r="KO24" s="83">
        <v>147.58948799999999</v>
      </c>
      <c r="KP24" s="83">
        <v>137.30865600000001</v>
      </c>
      <c r="KQ24" s="83">
        <v>140.46188000000001</v>
      </c>
      <c r="KR24" s="83">
        <v>138.589485</v>
      </c>
      <c r="KS24" s="83">
        <v>136.92112700000001</v>
      </c>
      <c r="KT24" s="83">
        <v>136.38241300000001</v>
      </c>
      <c r="KU24" s="83">
        <v>139.88117600000001</v>
      </c>
      <c r="KV24" s="83">
        <v>145.35549499999999</v>
      </c>
      <c r="KW24" s="83">
        <v>144.78271899999999</v>
      </c>
      <c r="KX24" s="83">
        <v>145.15856099999999</v>
      </c>
      <c r="KY24" s="83">
        <v>145.09459899999999</v>
      </c>
      <c r="KZ24" s="83">
        <v>144.523675</v>
      </c>
      <c r="LA24" s="83">
        <v>150.109047</v>
      </c>
      <c r="LB24" s="83">
        <v>146.16240099999999</v>
      </c>
      <c r="LC24" s="83">
        <v>148.06646799999999</v>
      </c>
      <c r="LD24" s="83">
        <v>137.20347599999999</v>
      </c>
      <c r="LE24" s="83">
        <v>138.12286</v>
      </c>
      <c r="LF24" s="83">
        <v>140.283199</v>
      </c>
      <c r="LG24" s="83">
        <v>139.04744099999999</v>
      </c>
      <c r="LH24" s="83">
        <v>138.76575099999999</v>
      </c>
      <c r="LI24" s="83">
        <v>139.96922000000001</v>
      </c>
      <c r="LJ24" s="83">
        <v>142.26251999999999</v>
      </c>
      <c r="LK24" s="83">
        <v>137.06964300000001</v>
      </c>
      <c r="LL24" s="83">
        <v>140.13719800000001</v>
      </c>
      <c r="LM24" s="83">
        <v>138.474796</v>
      </c>
      <c r="LN24" s="83">
        <v>136.89008699999999</v>
      </c>
      <c r="LO24" s="83">
        <v>136.07503399999999</v>
      </c>
      <c r="LP24" s="83">
        <v>139.749888</v>
      </c>
      <c r="LQ24" s="83">
        <v>145.044185</v>
      </c>
      <c r="LR24" s="83">
        <v>136.40462099999999</v>
      </c>
      <c r="LS24" s="83">
        <v>136.847667</v>
      </c>
      <c r="LT24" s="83">
        <v>141.21633800000001</v>
      </c>
      <c r="LU24" s="83">
        <v>140.681614</v>
      </c>
      <c r="LV24" s="83">
        <v>146.25106199999999</v>
      </c>
      <c r="LW24" s="83">
        <v>142.228487</v>
      </c>
      <c r="LX24" s="83">
        <v>143.98441299999999</v>
      </c>
      <c r="LY24" s="83">
        <v>140.24407299999999</v>
      </c>
      <c r="LZ24" s="83">
        <v>141.15065899999999</v>
      </c>
      <c r="MA24" s="83">
        <v>138.489756</v>
      </c>
      <c r="MB24" s="83">
        <v>137.19373100000001</v>
      </c>
      <c r="MC24" s="83">
        <v>136.85131699999999</v>
      </c>
      <c r="MD24" s="83">
        <v>138.180227</v>
      </c>
      <c r="ME24" s="83">
        <v>140.61696000000001</v>
      </c>
      <c r="MF24" s="83">
        <v>145.30180799999999</v>
      </c>
      <c r="MG24" s="83">
        <v>148.69233199999999</v>
      </c>
      <c r="MH24" s="83">
        <v>146.58778599999999</v>
      </c>
      <c r="MI24" s="83">
        <v>144.771883</v>
      </c>
      <c r="MJ24" s="83">
        <v>144.359432</v>
      </c>
      <c r="MK24" s="83">
        <v>147.966083</v>
      </c>
      <c r="ML24" s="83">
        <v>153.87033099999999</v>
      </c>
      <c r="MM24" s="83">
        <v>135.35280700000001</v>
      </c>
      <c r="MN24" s="83">
        <v>135.770025</v>
      </c>
      <c r="MO24" s="83">
        <v>141.763498</v>
      </c>
      <c r="MP24" s="83">
        <v>141.238058</v>
      </c>
      <c r="MQ24" s="83">
        <v>147.188458</v>
      </c>
      <c r="MR24" s="83">
        <v>142.775138</v>
      </c>
      <c r="MS24" s="83">
        <v>144.46193700000001</v>
      </c>
      <c r="MT24" s="83">
        <v>128.39953299999999</v>
      </c>
      <c r="MU24" s="83">
        <v>129.40863100000001</v>
      </c>
      <c r="MV24" s="83">
        <v>125.972471</v>
      </c>
      <c r="MW24" s="83">
        <v>124.844795</v>
      </c>
      <c r="MX24" s="83">
        <v>124.09987599999999</v>
      </c>
      <c r="MY24" s="83">
        <v>125.89104</v>
      </c>
      <c r="MZ24" s="83">
        <v>128.311542</v>
      </c>
      <c r="NA24" s="83">
        <v>132.48660699999999</v>
      </c>
      <c r="NB24" s="83">
        <v>135.522457</v>
      </c>
      <c r="NC24" s="83">
        <v>133.84670700000001</v>
      </c>
      <c r="ND24" s="83">
        <v>132.271016</v>
      </c>
      <c r="NE24" s="83">
        <v>131.52021500000001</v>
      </c>
      <c r="NF24" s="83">
        <v>135.105065</v>
      </c>
      <c r="NG24" s="83">
        <v>140.35064700000001</v>
      </c>
      <c r="NH24" s="83">
        <v>141.196786</v>
      </c>
      <c r="NI24" s="83">
        <v>141.55063699999999</v>
      </c>
      <c r="NJ24" s="83">
        <v>140.34266099999999</v>
      </c>
      <c r="NK24" s="83">
        <v>139.78148999999999</v>
      </c>
      <c r="NL24" s="83">
        <v>145.131529</v>
      </c>
      <c r="NM24" s="83">
        <v>141.38718800000001</v>
      </c>
      <c r="NN24" s="83">
        <v>143.26995500000001</v>
      </c>
      <c r="NO24" s="83">
        <v>141.10097400000001</v>
      </c>
      <c r="NP24" s="83">
        <v>142.06772900000001</v>
      </c>
      <c r="NQ24" s="83">
        <v>145.63570300000001</v>
      </c>
      <c r="NR24" s="83">
        <v>144.293173</v>
      </c>
      <c r="NS24" s="83">
        <v>144.08544499999999</v>
      </c>
      <c r="NT24" s="83">
        <v>145.25328500000001</v>
      </c>
      <c r="NU24" s="83">
        <v>147.67870199999999</v>
      </c>
      <c r="NV24" s="83">
        <v>141.77530999999999</v>
      </c>
      <c r="NW24" s="83">
        <v>144.975504</v>
      </c>
      <c r="NX24" s="83">
        <v>142.78747000000001</v>
      </c>
      <c r="NY24" s="83">
        <v>141.02493899999999</v>
      </c>
      <c r="NZ24" s="83">
        <v>141.004358</v>
      </c>
      <c r="OA24" s="83">
        <v>144.06495100000001</v>
      </c>
      <c r="OB24" s="83">
        <v>149.677393</v>
      </c>
      <c r="OC24" s="83">
        <v>135.66958500000001</v>
      </c>
      <c r="OD24" s="83">
        <v>136.014971</v>
      </c>
      <c r="OE24" s="83">
        <v>142.09159600000001</v>
      </c>
      <c r="OF24" s="83">
        <v>141.56603899999999</v>
      </c>
      <c r="OG24" s="83">
        <v>148.005775</v>
      </c>
      <c r="OH24" s="83">
        <v>143.120857</v>
      </c>
      <c r="OI24" s="83">
        <v>144.76850300000001</v>
      </c>
      <c r="OJ24" s="83">
        <v>146.087142</v>
      </c>
      <c r="OK24" s="83">
        <v>147.155496</v>
      </c>
      <c r="OL24" s="83">
        <v>143.45618300000001</v>
      </c>
      <c r="OM24" s="83">
        <v>142.18750600000001</v>
      </c>
      <c r="ON24" s="83">
        <v>141.479793</v>
      </c>
      <c r="OO24" s="83">
        <v>143.309799</v>
      </c>
      <c r="OP24" s="83">
        <v>145.94538499999999</v>
      </c>
      <c r="OQ24" s="83">
        <v>135.047426</v>
      </c>
      <c r="OR24" s="83">
        <v>137.83870099999999</v>
      </c>
      <c r="OS24" s="83">
        <v>136.11577299999999</v>
      </c>
      <c r="OT24" s="83">
        <v>134.62313700000001</v>
      </c>
      <c r="OU24" s="83">
        <v>134.265952</v>
      </c>
      <c r="OV24" s="83">
        <v>137.25159099999999</v>
      </c>
      <c r="OW24" s="83">
        <v>142.11040800000001</v>
      </c>
      <c r="OX24" s="83">
        <v>143.96248299999999</v>
      </c>
      <c r="OY24" s="83">
        <v>144.08561499999999</v>
      </c>
      <c r="OZ24" s="83">
        <v>142.01369399999999</v>
      </c>
      <c r="PA24" s="83">
        <v>141.532411</v>
      </c>
      <c r="PB24" s="83">
        <v>147.08302599999999</v>
      </c>
      <c r="PC24" s="83">
        <v>142.94385299999999</v>
      </c>
      <c r="PD24" s="83">
        <v>144.48069000000001</v>
      </c>
      <c r="PE24" s="83">
        <v>140.24332899999999</v>
      </c>
      <c r="PF24" s="83">
        <v>141.206445</v>
      </c>
      <c r="PG24" s="83">
        <v>146.24905999999999</v>
      </c>
      <c r="PH24" s="83">
        <v>144.77081999999999</v>
      </c>
      <c r="PI24" s="83">
        <v>144.766595</v>
      </c>
      <c r="PJ24" s="83">
        <v>145.73362700000001</v>
      </c>
      <c r="PK24" s="83">
        <v>148.253432</v>
      </c>
      <c r="PL24" s="83">
        <v>137.751182</v>
      </c>
      <c r="PM24" s="83">
        <v>140.89472799999999</v>
      </c>
      <c r="PN24" s="83">
        <v>138.71643299999999</v>
      </c>
      <c r="PO24" s="83">
        <v>136.97814</v>
      </c>
      <c r="PP24" s="83">
        <v>137.01085699999999</v>
      </c>
      <c r="PQ24" s="83">
        <v>139.96796599999999</v>
      </c>
      <c r="PR24" s="83">
        <v>145.48678000000001</v>
      </c>
      <c r="PS24" s="83">
        <v>145.843693</v>
      </c>
      <c r="PT24" s="83">
        <v>146.316428</v>
      </c>
      <c r="PU24" s="83">
        <v>147.179363</v>
      </c>
      <c r="PV24" s="83">
        <v>146.59481500000001</v>
      </c>
      <c r="PW24" s="83">
        <v>151.787846</v>
      </c>
      <c r="PX24" s="83">
        <v>148.253961</v>
      </c>
      <c r="PY24" s="83">
        <v>150.14610500000001</v>
      </c>
      <c r="PZ24" s="83">
        <v>138.50539599999999</v>
      </c>
      <c r="QA24" s="83">
        <v>139.43967900000001</v>
      </c>
      <c r="QB24" s="83">
        <v>140.75765000000001</v>
      </c>
      <c r="QC24" s="83">
        <v>139.47516300000001</v>
      </c>
      <c r="QD24" s="83">
        <v>139.20144400000001</v>
      </c>
      <c r="QE24" s="83">
        <v>140.42396099999999</v>
      </c>
      <c r="QF24" s="83">
        <v>142.791505</v>
      </c>
      <c r="QG24" s="83">
        <v>138.78315599999999</v>
      </c>
      <c r="QH24" s="83">
        <v>142.002927</v>
      </c>
      <c r="QI24" s="83">
        <v>140.228341</v>
      </c>
      <c r="QJ24" s="83">
        <v>138.55784800000001</v>
      </c>
      <c r="QK24" s="83">
        <v>137.756642</v>
      </c>
      <c r="QL24" s="83">
        <v>141.56325699999999</v>
      </c>
      <c r="QM24" s="83">
        <v>147.12611200000001</v>
      </c>
      <c r="QN24" s="83">
        <v>135.54072500000001</v>
      </c>
      <c r="QO24" s="83">
        <v>135.78822700000001</v>
      </c>
      <c r="QP24" s="83">
        <v>136.58804000000001</v>
      </c>
      <c r="QQ24" s="83">
        <v>136.10312400000001</v>
      </c>
      <c r="QR24" s="83">
        <v>141.35766699999999</v>
      </c>
      <c r="QS24" s="83">
        <v>137.51323500000001</v>
      </c>
    </row>
    <row r="25" spans="6:461" x14ac:dyDescent="0.25">
      <c r="F25" s="82" t="str">
        <f xml:space="preserve"> _xll.EPMOlapMemberO("[PRDDESCR].[].[HELGAS GFREE WHOLEM 500G]","","HELGAS GFREE WHOLEM 500G","","000")</f>
        <v>HELGAS GFREE WHOLEM 500G</v>
      </c>
      <c r="G25" s="82" t="str">
        <f xml:space="preserve"> _xll.EPMOlapMemberO("[PRDID].[].[168848]","","168848","","000")</f>
        <v>168848</v>
      </c>
      <c r="H25" s="82" t="str">
        <f xml:space="preserve"> _xll.EPMOlapMemberO("[LOCID].[].[6104]","","6104","","000")</f>
        <v>6104</v>
      </c>
      <c r="I25" s="82" t="str">
        <f xml:space="preserve"> _xll.EPMOlapMemberO("[LOCDESCR].[].[QBA-Moorebank]","","QBA-Moorebank","","000")</f>
        <v>QBA-Moorebank</v>
      </c>
      <c r="J25" s="82" t="str">
        <f xml:space="preserve"> _xll.EPMOlapMemberO("[KEY_FIGURES].[].[ZGFAPPROVEDFCSTQTY]","","Approved Forecast","","000")</f>
        <v>Approved Forecast</v>
      </c>
      <c r="K25" s="83">
        <v>452.224403</v>
      </c>
      <c r="L25" s="83">
        <v>566.57884100000001</v>
      </c>
      <c r="M25" s="83">
        <v>361.75807700000001</v>
      </c>
      <c r="N25" s="83">
        <v>346.05120299999999</v>
      </c>
      <c r="O25" s="83">
        <v>809.38911199999995</v>
      </c>
      <c r="P25" s="83">
        <v>436.29123499999997</v>
      </c>
      <c r="Q25" s="83">
        <v>580.634861</v>
      </c>
      <c r="R25" s="83">
        <v>452.259972</v>
      </c>
      <c r="S25" s="83">
        <v>575.58358499999997</v>
      </c>
      <c r="T25" s="83">
        <v>370.78502400000002</v>
      </c>
      <c r="U25" s="83">
        <v>356.73042500000003</v>
      </c>
      <c r="V25" s="83">
        <v>824.19799599999999</v>
      </c>
      <c r="W25" s="83">
        <v>428.94868200000002</v>
      </c>
      <c r="X25" s="83">
        <v>591.15423599999997</v>
      </c>
      <c r="Y25" s="83">
        <v>457.63574599999998</v>
      </c>
      <c r="Z25" s="83">
        <v>607.99813900000004</v>
      </c>
      <c r="AA25" s="83">
        <v>374.019633</v>
      </c>
      <c r="AB25" s="83">
        <v>359.235364</v>
      </c>
      <c r="AC25" s="83">
        <v>817.51227100000006</v>
      </c>
      <c r="AD25" s="83">
        <v>425.203577</v>
      </c>
      <c r="AE25" s="83">
        <v>565.97916799999996</v>
      </c>
      <c r="AF25" s="83">
        <v>441.69934899999998</v>
      </c>
      <c r="AG25" s="83">
        <v>599.121351</v>
      </c>
      <c r="AH25" s="83">
        <v>360.71942200000001</v>
      </c>
      <c r="AI25" s="83">
        <v>346.60040700000002</v>
      </c>
      <c r="AJ25" s="83">
        <v>819.92147399999999</v>
      </c>
      <c r="AK25" s="83">
        <v>426.54262999999997</v>
      </c>
      <c r="AL25" s="83">
        <v>566.43009199999995</v>
      </c>
      <c r="AM25" s="83">
        <v>443.05529999999999</v>
      </c>
      <c r="AN25" s="83">
        <v>600.11731399999996</v>
      </c>
      <c r="AO25" s="83">
        <v>360.91928000000001</v>
      </c>
      <c r="AP25" s="83">
        <v>346.87370099999998</v>
      </c>
      <c r="AQ25" s="83">
        <v>810.33148400000005</v>
      </c>
      <c r="AR25" s="83">
        <v>415.94751400000001</v>
      </c>
      <c r="AS25" s="83">
        <v>551.54086299999994</v>
      </c>
      <c r="AT25" s="83">
        <v>433.11857900000001</v>
      </c>
      <c r="AU25" s="83">
        <v>586.41979600000002</v>
      </c>
      <c r="AV25" s="83">
        <v>351.687817</v>
      </c>
      <c r="AW25" s="83">
        <v>336.658817</v>
      </c>
      <c r="AX25" s="83">
        <v>846.47502399999996</v>
      </c>
      <c r="AY25" s="83">
        <v>440.04021399999999</v>
      </c>
      <c r="AZ25" s="83">
        <v>567.96175600000004</v>
      </c>
      <c r="BA25" s="83">
        <v>437.728275</v>
      </c>
      <c r="BB25" s="83">
        <v>599.12012400000003</v>
      </c>
      <c r="BC25" s="83">
        <v>361.69813699999997</v>
      </c>
      <c r="BD25" s="83">
        <v>347.74987199999998</v>
      </c>
      <c r="BE25" s="83">
        <v>846.46106599999996</v>
      </c>
      <c r="BF25" s="83">
        <v>437.85612400000002</v>
      </c>
      <c r="BG25" s="83">
        <v>588.759863</v>
      </c>
      <c r="BH25" s="83">
        <v>446.495541</v>
      </c>
      <c r="BI25" s="83">
        <v>607.78735099999994</v>
      </c>
      <c r="BJ25" s="83">
        <v>382.40963399999998</v>
      </c>
      <c r="BK25" s="83">
        <v>362.628692</v>
      </c>
      <c r="BL25" s="83">
        <v>786.22688600000004</v>
      </c>
      <c r="BM25" s="83">
        <v>419.08642700000001</v>
      </c>
      <c r="BN25" s="83">
        <v>587.29057999999998</v>
      </c>
      <c r="BO25" s="83">
        <v>446.745251</v>
      </c>
      <c r="BP25" s="83">
        <v>607.53923799999995</v>
      </c>
      <c r="BQ25" s="83">
        <v>382.10944699999999</v>
      </c>
      <c r="BR25" s="83">
        <v>360.67071800000002</v>
      </c>
      <c r="BS25" s="83">
        <v>883.26782500000002</v>
      </c>
      <c r="BT25" s="83">
        <v>474.353838</v>
      </c>
      <c r="BU25" s="83">
        <v>636.38522999999998</v>
      </c>
      <c r="BV25" s="83">
        <v>485.42294299999998</v>
      </c>
      <c r="BW25" s="83">
        <v>655.76050399999997</v>
      </c>
      <c r="BX25" s="83">
        <v>412.86160799999999</v>
      </c>
      <c r="BY25" s="83">
        <v>391.82806399999998</v>
      </c>
      <c r="BZ25" s="83">
        <v>794.26687100000004</v>
      </c>
      <c r="CA25" s="83">
        <v>425.41152299999999</v>
      </c>
      <c r="CB25" s="83">
        <v>572.389139</v>
      </c>
      <c r="CC25" s="83">
        <v>435.04958900000003</v>
      </c>
      <c r="CD25" s="83">
        <v>590.39320199999997</v>
      </c>
      <c r="CE25" s="83">
        <v>370.762045</v>
      </c>
      <c r="CF25" s="83">
        <v>350.44977699999998</v>
      </c>
      <c r="CG25" s="83">
        <v>820.88531699999999</v>
      </c>
      <c r="CH25" s="83">
        <v>440.72928000000002</v>
      </c>
      <c r="CI25" s="83">
        <v>590.81797900000004</v>
      </c>
      <c r="CJ25" s="83">
        <v>451.44339300000001</v>
      </c>
      <c r="CK25" s="83">
        <v>609.95594100000005</v>
      </c>
      <c r="CL25" s="83">
        <v>383.72303899999997</v>
      </c>
      <c r="CM25" s="83">
        <v>363.174531</v>
      </c>
      <c r="CN25" s="83">
        <v>811.17487400000005</v>
      </c>
      <c r="CO25" s="83">
        <v>441.58244300000001</v>
      </c>
      <c r="CP25" s="83">
        <v>598.32387400000005</v>
      </c>
      <c r="CQ25" s="83">
        <v>449.53311600000001</v>
      </c>
      <c r="CR25" s="83">
        <v>611.84982400000001</v>
      </c>
      <c r="CS25" s="83">
        <v>384.23911800000002</v>
      </c>
      <c r="CT25" s="83">
        <v>368.13879700000001</v>
      </c>
      <c r="CU25" s="83">
        <v>782.82672200000002</v>
      </c>
      <c r="CV25" s="83">
        <v>419.379143</v>
      </c>
      <c r="CW25" s="83">
        <v>582.14641200000005</v>
      </c>
      <c r="CX25" s="83">
        <v>439.40191299999998</v>
      </c>
      <c r="CY25" s="83">
        <v>599.07656899999995</v>
      </c>
      <c r="CZ25" s="83">
        <v>376.10796199999999</v>
      </c>
      <c r="DA25" s="83">
        <v>356.69588900000002</v>
      </c>
      <c r="DB25" s="83">
        <v>804.34304999999995</v>
      </c>
      <c r="DC25" s="83">
        <v>429.75429200000002</v>
      </c>
      <c r="DD25" s="83">
        <v>560.74520600000005</v>
      </c>
      <c r="DE25" s="83">
        <v>429.37900500000001</v>
      </c>
      <c r="DF25" s="83">
        <v>579.76481000000001</v>
      </c>
      <c r="DG25" s="83">
        <v>364.12796400000002</v>
      </c>
      <c r="DH25" s="83">
        <v>342.84056199999998</v>
      </c>
      <c r="DI25" s="83">
        <v>777.977351</v>
      </c>
      <c r="DJ25" s="83">
        <v>417.95947899999999</v>
      </c>
      <c r="DK25" s="83">
        <v>565.98688200000004</v>
      </c>
      <c r="DL25" s="83">
        <v>425.76481699999999</v>
      </c>
      <c r="DM25" s="83">
        <v>579.32796299999995</v>
      </c>
      <c r="DN25" s="83">
        <v>363.45500700000002</v>
      </c>
      <c r="DO25" s="83">
        <v>347.426737</v>
      </c>
      <c r="DP25" s="83">
        <v>863.27894100000003</v>
      </c>
      <c r="DQ25" s="83">
        <v>459.72293300000001</v>
      </c>
      <c r="DR25" s="83">
        <v>593.265715</v>
      </c>
      <c r="DS25" s="83">
        <v>451.94481999999999</v>
      </c>
      <c r="DT25" s="83">
        <v>613.55716399999994</v>
      </c>
      <c r="DU25" s="83">
        <v>385.80516599999999</v>
      </c>
      <c r="DV25" s="83">
        <v>363.85432800000001</v>
      </c>
      <c r="DW25" s="83">
        <v>784.31310699999995</v>
      </c>
      <c r="DX25" s="83">
        <v>419.84948100000003</v>
      </c>
      <c r="DY25" s="83">
        <v>587.18012599999997</v>
      </c>
      <c r="DZ25" s="83">
        <v>446.38199600000002</v>
      </c>
      <c r="EA25" s="83">
        <v>605.96191399999998</v>
      </c>
      <c r="EB25" s="83">
        <v>381.18696299999999</v>
      </c>
      <c r="EC25" s="83">
        <v>361.334586</v>
      </c>
      <c r="ED25" s="83">
        <v>805.87923599999999</v>
      </c>
      <c r="EE25" s="83">
        <v>434.43135699999999</v>
      </c>
      <c r="EF25" s="83">
        <v>586.31748200000004</v>
      </c>
      <c r="EG25" s="83">
        <v>443.405281</v>
      </c>
      <c r="EH25" s="83">
        <v>602.68576800000005</v>
      </c>
      <c r="EI25" s="83">
        <v>378.55699099999998</v>
      </c>
      <c r="EJ25" s="83">
        <v>359.88917400000003</v>
      </c>
      <c r="EK25" s="83">
        <v>800.78917999999999</v>
      </c>
      <c r="EL25" s="83">
        <v>425.96826600000003</v>
      </c>
      <c r="EM25" s="83">
        <v>573.66330400000004</v>
      </c>
      <c r="EN25" s="83">
        <v>435.39790699999998</v>
      </c>
      <c r="EO25" s="83">
        <v>591.292374</v>
      </c>
      <c r="EP25" s="83">
        <v>371.383172</v>
      </c>
      <c r="EQ25" s="83">
        <v>351.61596100000003</v>
      </c>
      <c r="ER25" s="83">
        <v>855.20030299999996</v>
      </c>
      <c r="ES25" s="83">
        <v>464.26851199999999</v>
      </c>
      <c r="ET25" s="83">
        <v>598.70422199999996</v>
      </c>
      <c r="EU25" s="83">
        <v>450.850888</v>
      </c>
      <c r="EV25" s="83">
        <v>612.36310800000001</v>
      </c>
      <c r="EW25" s="83">
        <v>384.10389199999997</v>
      </c>
      <c r="EX25" s="83">
        <v>366.57790899999998</v>
      </c>
      <c r="EY25" s="83">
        <v>813.38424699999996</v>
      </c>
      <c r="EZ25" s="83">
        <v>438.78524599999997</v>
      </c>
      <c r="FA25" s="83">
        <v>622.00875199999996</v>
      </c>
      <c r="FB25" s="83">
        <v>470.45897300000001</v>
      </c>
      <c r="FC25" s="83">
        <v>639.61680000000001</v>
      </c>
      <c r="FD25" s="83">
        <v>402.65419000000003</v>
      </c>
      <c r="FE25" s="83">
        <v>384.08700099999999</v>
      </c>
      <c r="FF25" s="83">
        <v>783.61872600000004</v>
      </c>
      <c r="FG25" s="83">
        <v>423.05010700000003</v>
      </c>
      <c r="FH25" s="83">
        <v>584.21504400000003</v>
      </c>
      <c r="FI25" s="83">
        <v>456.12733300000002</v>
      </c>
      <c r="FJ25" s="83">
        <v>610.14752499999997</v>
      </c>
      <c r="FK25" s="83">
        <v>384.357304</v>
      </c>
      <c r="FL25" s="83">
        <v>357.53063800000001</v>
      </c>
      <c r="FM25" s="83">
        <v>845.44714899999997</v>
      </c>
      <c r="FN25" s="83">
        <v>438.63197000000002</v>
      </c>
      <c r="FO25" s="83">
        <v>565.57673499999999</v>
      </c>
      <c r="FP25" s="83">
        <v>428.09807999999998</v>
      </c>
      <c r="FQ25" s="83">
        <v>580.47666400000003</v>
      </c>
      <c r="FR25" s="83">
        <v>364.03528899999998</v>
      </c>
      <c r="FS25" s="83">
        <v>345.82736399999999</v>
      </c>
      <c r="FT25" s="83">
        <v>762.87326599999994</v>
      </c>
      <c r="FU25" s="83">
        <v>410.36864600000001</v>
      </c>
      <c r="FV25" s="83">
        <v>575.17764299999999</v>
      </c>
      <c r="FW25" s="83">
        <v>433.73853600000001</v>
      </c>
      <c r="FX25" s="83">
        <v>590.20896500000003</v>
      </c>
      <c r="FY25" s="83">
        <v>370.53382800000003</v>
      </c>
      <c r="FZ25" s="83">
        <v>353.13515999999998</v>
      </c>
      <c r="GA25" s="83">
        <v>808.28737000000001</v>
      </c>
      <c r="GB25" s="83">
        <v>437.60702099999997</v>
      </c>
      <c r="GC25" s="83">
        <v>568.76432</v>
      </c>
      <c r="GD25" s="83">
        <v>430.01741099999998</v>
      </c>
      <c r="GE25" s="83">
        <v>584.41287899999998</v>
      </c>
      <c r="GF25" s="83">
        <v>367.01113800000002</v>
      </c>
      <c r="GG25" s="83">
        <v>349.34417400000001</v>
      </c>
      <c r="GH25" s="83">
        <v>778.623287</v>
      </c>
      <c r="GI25" s="83">
        <v>420.09553099999999</v>
      </c>
      <c r="GJ25" s="83">
        <v>566.49291800000003</v>
      </c>
      <c r="GK25" s="83">
        <v>429.08933100000002</v>
      </c>
      <c r="GL25" s="83">
        <v>582.97538399999996</v>
      </c>
      <c r="GM25" s="83">
        <v>366.41765500000002</v>
      </c>
      <c r="GN25" s="83">
        <v>348.69274300000001</v>
      </c>
      <c r="GO25" s="83">
        <v>820.65737200000001</v>
      </c>
      <c r="GP25" s="83">
        <v>444.59314499999999</v>
      </c>
      <c r="GQ25" s="83">
        <v>587.78137800000002</v>
      </c>
      <c r="GR25" s="83">
        <v>446.64029299999999</v>
      </c>
      <c r="GS25" s="83">
        <v>605.98146799999995</v>
      </c>
      <c r="GT25" s="83">
        <v>381.45404200000002</v>
      </c>
      <c r="GU25" s="83">
        <v>362.79360000000003</v>
      </c>
      <c r="GV25" s="83">
        <v>794.78185800000006</v>
      </c>
      <c r="GW25" s="83">
        <v>424.89509199999998</v>
      </c>
      <c r="GX25" s="83">
        <v>583.05230100000006</v>
      </c>
      <c r="GY25" s="83">
        <v>441.537195</v>
      </c>
      <c r="GZ25" s="83">
        <v>600.72794299999998</v>
      </c>
      <c r="HA25" s="83">
        <v>377.870496</v>
      </c>
      <c r="HB25" s="83">
        <v>359.34050500000001</v>
      </c>
      <c r="HC25" s="83">
        <v>799.17478700000004</v>
      </c>
      <c r="HD25" s="83">
        <v>426.48955000000001</v>
      </c>
      <c r="HE25" s="83">
        <v>579.455737</v>
      </c>
      <c r="HF25" s="83">
        <v>453.78916500000003</v>
      </c>
      <c r="HG25" s="83">
        <v>608.98320200000001</v>
      </c>
      <c r="HH25" s="83">
        <v>384.22434500000003</v>
      </c>
      <c r="HI25" s="83">
        <v>355.47950500000002</v>
      </c>
      <c r="HJ25" s="83">
        <v>843.52618399999994</v>
      </c>
      <c r="HK25" s="83">
        <v>442.91064799999998</v>
      </c>
      <c r="HL25" s="83">
        <v>568.85555899999997</v>
      </c>
      <c r="HM25" s="83">
        <v>432.70313800000002</v>
      </c>
      <c r="HN25" s="83">
        <v>586.55695600000001</v>
      </c>
      <c r="HO25" s="83">
        <v>368.94194199999998</v>
      </c>
      <c r="HP25" s="83">
        <v>350.43621999999999</v>
      </c>
      <c r="HQ25" s="83">
        <v>849.02388599999995</v>
      </c>
      <c r="HR25" s="83">
        <v>454.31231300000002</v>
      </c>
      <c r="HS25" s="83">
        <v>602.52609399999994</v>
      </c>
      <c r="HT25" s="83">
        <v>463.94420500000001</v>
      </c>
      <c r="HU25" s="83">
        <v>624.07408799999996</v>
      </c>
      <c r="HV25" s="83">
        <v>393.16662300000002</v>
      </c>
      <c r="HW25" s="83">
        <v>370.95784700000002</v>
      </c>
      <c r="HX25" s="83">
        <v>875.75916099999995</v>
      </c>
      <c r="HY25" s="83">
        <v>472.08467000000002</v>
      </c>
      <c r="HZ25" s="83">
        <v>650.34303499999999</v>
      </c>
      <c r="IA25" s="83">
        <v>494.04504900000001</v>
      </c>
      <c r="IB25" s="83">
        <v>670.78773000000001</v>
      </c>
      <c r="IC25" s="83">
        <v>422.86019800000003</v>
      </c>
      <c r="ID25" s="83">
        <v>402.11870199999998</v>
      </c>
      <c r="IE25" s="83">
        <v>867.41490599999997</v>
      </c>
      <c r="IF25" s="83">
        <v>460.86279400000001</v>
      </c>
      <c r="IG25" s="83">
        <v>627.70748700000001</v>
      </c>
      <c r="IH25" s="83">
        <v>493.89038900000003</v>
      </c>
      <c r="II25" s="83">
        <v>659.97540700000002</v>
      </c>
      <c r="IJ25" s="83">
        <v>417.12721099999999</v>
      </c>
      <c r="IK25" s="83">
        <v>386.15979700000003</v>
      </c>
      <c r="IL25" s="83">
        <v>909.22640200000001</v>
      </c>
      <c r="IM25" s="83">
        <v>476.77544699999999</v>
      </c>
      <c r="IN25" s="83">
        <v>603.06170299999997</v>
      </c>
      <c r="IO25" s="83">
        <v>461.10208499999999</v>
      </c>
      <c r="IP25" s="83">
        <v>622.23940000000005</v>
      </c>
      <c r="IQ25" s="83">
        <v>391.23708399999998</v>
      </c>
      <c r="IR25" s="83">
        <v>369.75458300000003</v>
      </c>
      <c r="IS25" s="83">
        <v>820.21966799999996</v>
      </c>
      <c r="IT25" s="83">
        <v>439.10169500000001</v>
      </c>
      <c r="IU25" s="83">
        <v>605.68434600000001</v>
      </c>
      <c r="IV25" s="83">
        <v>459.62305700000002</v>
      </c>
      <c r="IW25" s="83">
        <v>623.52515300000005</v>
      </c>
      <c r="IX25" s="83">
        <v>391.95925899999997</v>
      </c>
      <c r="IY25" s="83">
        <v>371.93826999999999</v>
      </c>
      <c r="IZ25" s="83">
        <v>820.43583899999999</v>
      </c>
      <c r="JA25" s="83">
        <v>436.56617599999998</v>
      </c>
      <c r="JB25" s="83">
        <v>584.26154499999996</v>
      </c>
      <c r="JC25" s="83">
        <v>447.51773500000002</v>
      </c>
      <c r="JD25" s="83">
        <v>604.94517499999995</v>
      </c>
      <c r="JE25" s="83">
        <v>380.50817000000001</v>
      </c>
      <c r="JF25" s="83">
        <v>358.37688200000002</v>
      </c>
      <c r="JG25" s="83">
        <v>829.76755400000002</v>
      </c>
      <c r="JH25" s="83">
        <v>439.34014999999999</v>
      </c>
      <c r="JI25" s="83">
        <v>607.90745300000003</v>
      </c>
      <c r="JJ25" s="83">
        <v>486.23195199999998</v>
      </c>
      <c r="JK25" s="83">
        <v>645.97762599999999</v>
      </c>
      <c r="JL25" s="83">
        <v>408.03806100000003</v>
      </c>
      <c r="JM25" s="83">
        <v>370.396028</v>
      </c>
      <c r="JN25" s="83">
        <v>605.57519500000001</v>
      </c>
      <c r="JO25" s="83">
        <v>459.71509500000002</v>
      </c>
      <c r="JP25" s="83">
        <v>486.88642900000002</v>
      </c>
      <c r="JQ25" s="83">
        <v>382.10419999999999</v>
      </c>
      <c r="JR25" s="83">
        <v>482.31741099999999</v>
      </c>
      <c r="JS25" s="83">
        <v>598.99092099999996</v>
      </c>
      <c r="JT25" s="83">
        <v>591.81697399999996</v>
      </c>
      <c r="JU25" s="83">
        <v>508.87271800000002</v>
      </c>
      <c r="JV25" s="83">
        <v>518.55552999999998</v>
      </c>
      <c r="JW25" s="83">
        <v>531.28893700000003</v>
      </c>
      <c r="JX25" s="83">
        <v>517.08929499999999</v>
      </c>
      <c r="JY25" s="83">
        <v>513.18713700000001</v>
      </c>
      <c r="JZ25" s="83">
        <v>540.288634</v>
      </c>
      <c r="KA25" s="83">
        <v>534.35526700000003</v>
      </c>
      <c r="KB25" s="83">
        <v>517.52054599999997</v>
      </c>
      <c r="KC25" s="83">
        <v>526.79905900000006</v>
      </c>
      <c r="KD25" s="83">
        <v>530.79064300000005</v>
      </c>
      <c r="KE25" s="83">
        <v>517.18377699999996</v>
      </c>
      <c r="KF25" s="83">
        <v>513.44454499999995</v>
      </c>
      <c r="KG25" s="83">
        <v>539.41457100000002</v>
      </c>
      <c r="KH25" s="83">
        <v>533.72891300000003</v>
      </c>
      <c r="KI25" s="83">
        <v>488.90679799999998</v>
      </c>
      <c r="KJ25" s="83">
        <v>498.16699699999998</v>
      </c>
      <c r="KK25" s="83">
        <v>510.49320799999998</v>
      </c>
      <c r="KL25" s="83">
        <v>496.91334599999999</v>
      </c>
      <c r="KM25" s="83">
        <v>493.18147399999998</v>
      </c>
      <c r="KN25" s="83">
        <v>519.10010399999999</v>
      </c>
      <c r="KO25" s="83">
        <v>513.42573200000004</v>
      </c>
      <c r="KP25" s="83">
        <v>504.03656799999999</v>
      </c>
      <c r="KQ25" s="83">
        <v>512.98394199999996</v>
      </c>
      <c r="KR25" s="83">
        <v>520.95455200000004</v>
      </c>
      <c r="KS25" s="83">
        <v>507.833394</v>
      </c>
      <c r="KT25" s="83">
        <v>504.22761600000001</v>
      </c>
      <c r="KU25" s="83">
        <v>529.27063099999998</v>
      </c>
      <c r="KV25" s="83">
        <v>523.787958</v>
      </c>
      <c r="KW25" s="83">
        <v>528.04073100000005</v>
      </c>
      <c r="KX25" s="83">
        <v>536.76382699999999</v>
      </c>
      <c r="KY25" s="83">
        <v>535.823624</v>
      </c>
      <c r="KZ25" s="83">
        <v>523.03130299999998</v>
      </c>
      <c r="LA25" s="83">
        <v>519.51587400000005</v>
      </c>
      <c r="LB25" s="83">
        <v>543.93129099999999</v>
      </c>
      <c r="LC25" s="83">
        <v>538.58602199999996</v>
      </c>
      <c r="LD25" s="83">
        <v>511.102643</v>
      </c>
      <c r="LE25" s="83">
        <v>520.35825999999997</v>
      </c>
      <c r="LF25" s="83">
        <v>536.79355799999996</v>
      </c>
      <c r="LG25" s="83">
        <v>523.22035300000005</v>
      </c>
      <c r="LH25" s="83">
        <v>519.49033699999995</v>
      </c>
      <c r="LI25" s="83">
        <v>545.396165</v>
      </c>
      <c r="LJ25" s="83">
        <v>539.72462599999994</v>
      </c>
      <c r="LK25" s="83">
        <v>481.08428099999998</v>
      </c>
      <c r="LL25" s="83">
        <v>489.71093300000001</v>
      </c>
      <c r="LM25" s="83">
        <v>497.39585199999999</v>
      </c>
      <c r="LN25" s="83">
        <v>484.74502699999999</v>
      </c>
      <c r="LO25" s="83">
        <v>481.26850300000001</v>
      </c>
      <c r="LP25" s="83">
        <v>505.41383400000001</v>
      </c>
      <c r="LQ25" s="83">
        <v>500.12768999999997</v>
      </c>
      <c r="LR25" s="83">
        <v>479.72427399999998</v>
      </c>
      <c r="LS25" s="83">
        <v>487.53682600000002</v>
      </c>
      <c r="LT25" s="83">
        <v>510.410372</v>
      </c>
      <c r="LU25" s="83">
        <v>498.95342399999998</v>
      </c>
      <c r="LV25" s="83">
        <v>495.80495400000001</v>
      </c>
      <c r="LW25" s="83">
        <v>517.67173400000001</v>
      </c>
      <c r="LX25" s="83">
        <v>512.88440500000002</v>
      </c>
      <c r="LY25" s="83">
        <v>530.09881399999995</v>
      </c>
      <c r="LZ25" s="83">
        <v>539.09997999999996</v>
      </c>
      <c r="MA25" s="83">
        <v>529.34872499999994</v>
      </c>
      <c r="MB25" s="83">
        <v>516.14868799999999</v>
      </c>
      <c r="MC25" s="83">
        <v>512.52120400000001</v>
      </c>
      <c r="MD25" s="83">
        <v>537.71485299999995</v>
      </c>
      <c r="ME25" s="83">
        <v>532.19921699999998</v>
      </c>
      <c r="MF25" s="83">
        <v>533.00723700000003</v>
      </c>
      <c r="MG25" s="83">
        <v>542.14293099999998</v>
      </c>
      <c r="MH25" s="83">
        <v>550.28134899999998</v>
      </c>
      <c r="MI25" s="83">
        <v>536.88401999999996</v>
      </c>
      <c r="MJ25" s="83">
        <v>533.20234800000003</v>
      </c>
      <c r="MK25" s="83">
        <v>558.77247199999999</v>
      </c>
      <c r="ML25" s="83">
        <v>553.17440699999997</v>
      </c>
      <c r="MM25" s="83">
        <v>499.12920800000001</v>
      </c>
      <c r="MN25" s="83">
        <v>508.31440700000002</v>
      </c>
      <c r="MO25" s="83">
        <v>542.21148600000004</v>
      </c>
      <c r="MP25" s="83">
        <v>528.74157300000002</v>
      </c>
      <c r="MQ25" s="83">
        <v>525.03996700000005</v>
      </c>
      <c r="MR25" s="83">
        <v>550.74865299999999</v>
      </c>
      <c r="MS25" s="83">
        <v>545.12020199999995</v>
      </c>
      <c r="MT25" s="83">
        <v>501.96090199999998</v>
      </c>
      <c r="MU25" s="83">
        <v>510.877499</v>
      </c>
      <c r="MV25" s="83">
        <v>494.83917600000001</v>
      </c>
      <c r="MW25" s="83">
        <v>481.76318600000002</v>
      </c>
      <c r="MX25" s="83">
        <v>478.16976799999998</v>
      </c>
      <c r="MY25" s="83">
        <v>503.12670600000001</v>
      </c>
      <c r="MZ25" s="83">
        <v>497.66287299999999</v>
      </c>
      <c r="NA25" s="83">
        <v>482.46327000000002</v>
      </c>
      <c r="NB25" s="83">
        <v>491.31852099999998</v>
      </c>
      <c r="NC25" s="83">
        <v>499.207109</v>
      </c>
      <c r="ND25" s="83">
        <v>486.22102599999999</v>
      </c>
      <c r="NE25" s="83">
        <v>482.65235999999999</v>
      </c>
      <c r="NF25" s="83">
        <v>507.43759999999997</v>
      </c>
      <c r="NG25" s="83">
        <v>502.011346</v>
      </c>
      <c r="NH25" s="83">
        <v>513.21439299999997</v>
      </c>
      <c r="NI25" s="83">
        <v>522.19797600000004</v>
      </c>
      <c r="NJ25" s="83">
        <v>515.35012099999994</v>
      </c>
      <c r="NK25" s="83">
        <v>502.175838</v>
      </c>
      <c r="NL25" s="83">
        <v>498.555453</v>
      </c>
      <c r="NM25" s="83">
        <v>523.69991000000005</v>
      </c>
      <c r="NN25" s="83">
        <v>518.19505400000003</v>
      </c>
      <c r="NO25" s="83">
        <v>519.28838299999995</v>
      </c>
      <c r="NP25" s="83">
        <v>528.56836399999997</v>
      </c>
      <c r="NQ25" s="83">
        <v>552.92756599999996</v>
      </c>
      <c r="NR25" s="83">
        <v>539.31864399999995</v>
      </c>
      <c r="NS25" s="83">
        <v>535.57883600000002</v>
      </c>
      <c r="NT25" s="83">
        <v>561.552817</v>
      </c>
      <c r="NU25" s="83">
        <v>555.86630700000001</v>
      </c>
      <c r="NV25" s="83">
        <v>516.15080399999999</v>
      </c>
      <c r="NW25" s="83">
        <v>525.19521799999995</v>
      </c>
      <c r="NX25" s="83">
        <v>533.25229300000001</v>
      </c>
      <c r="NY25" s="83">
        <v>519.98882800000001</v>
      </c>
      <c r="NZ25" s="83">
        <v>516.34393499999999</v>
      </c>
      <c r="OA25" s="83">
        <v>541.65861099999995</v>
      </c>
      <c r="OB25" s="83">
        <v>536.11645099999998</v>
      </c>
      <c r="OC25" s="83">
        <v>492.51226700000001</v>
      </c>
      <c r="OD25" s="83">
        <v>500.72548699999999</v>
      </c>
      <c r="OE25" s="83">
        <v>531.36890400000004</v>
      </c>
      <c r="OF25" s="83">
        <v>519.32443000000001</v>
      </c>
      <c r="OG25" s="83">
        <v>516.01450999999997</v>
      </c>
      <c r="OH25" s="83">
        <v>539.00262199999997</v>
      </c>
      <c r="OI25" s="83">
        <v>533.96979799999997</v>
      </c>
      <c r="OJ25" s="83">
        <v>524.233071</v>
      </c>
      <c r="OK25" s="83">
        <v>533.96894999999995</v>
      </c>
      <c r="OL25" s="83">
        <v>519.52112299999999</v>
      </c>
      <c r="OM25" s="83">
        <v>505.24362300000001</v>
      </c>
      <c r="ON25" s="83">
        <v>501.32002899999998</v>
      </c>
      <c r="OO25" s="83">
        <v>528.57017800000006</v>
      </c>
      <c r="OP25" s="83">
        <v>522.60431200000005</v>
      </c>
      <c r="OQ25" s="83">
        <v>489.41951399999999</v>
      </c>
      <c r="OR25" s="83">
        <v>499.38640199999998</v>
      </c>
      <c r="OS25" s="83">
        <v>508.265266</v>
      </c>
      <c r="OT25" s="83">
        <v>493.64894700000002</v>
      </c>
      <c r="OU25" s="83">
        <v>489.63231000000002</v>
      </c>
      <c r="OV25" s="83">
        <v>517.52902900000004</v>
      </c>
      <c r="OW25" s="83">
        <v>511.42159700000002</v>
      </c>
      <c r="OX25" s="83">
        <v>520.60902199999998</v>
      </c>
      <c r="OY25" s="83">
        <v>529.30507699999998</v>
      </c>
      <c r="OZ25" s="83">
        <v>517.274497</v>
      </c>
      <c r="PA25" s="83">
        <v>504.52185200000002</v>
      </c>
      <c r="PB25" s="83">
        <v>501.01735600000001</v>
      </c>
      <c r="PC25" s="83">
        <v>525.35700199999997</v>
      </c>
      <c r="PD25" s="83">
        <v>520.02833399999997</v>
      </c>
      <c r="PE25" s="83">
        <v>518.34979099999998</v>
      </c>
      <c r="PF25" s="83">
        <v>527.10041699999999</v>
      </c>
      <c r="PG25" s="83">
        <v>556.27136599999994</v>
      </c>
      <c r="PH25" s="83">
        <v>543.43872699999997</v>
      </c>
      <c r="PI25" s="83">
        <v>539.91224999999997</v>
      </c>
      <c r="PJ25" s="83">
        <v>564.40461300000004</v>
      </c>
      <c r="PK25" s="83">
        <v>559.042509</v>
      </c>
      <c r="PL25" s="83">
        <v>513.84764900000005</v>
      </c>
      <c r="PM25" s="83">
        <v>523.06178399999999</v>
      </c>
      <c r="PN25" s="83">
        <v>531.27002600000003</v>
      </c>
      <c r="PO25" s="83">
        <v>517.75769700000001</v>
      </c>
      <c r="PP25" s="83">
        <v>514.044444</v>
      </c>
      <c r="PQ25" s="83">
        <v>539.83411599999999</v>
      </c>
      <c r="PR25" s="83">
        <v>534.18798600000002</v>
      </c>
      <c r="PS25" s="83">
        <v>556.795523</v>
      </c>
      <c r="PT25" s="83">
        <v>566.70529899999997</v>
      </c>
      <c r="PU25" s="83">
        <v>575.53329599999995</v>
      </c>
      <c r="PV25" s="83">
        <v>561.00077099999999</v>
      </c>
      <c r="PW25" s="83">
        <v>557.00712399999998</v>
      </c>
      <c r="PX25" s="83">
        <v>584.74395200000004</v>
      </c>
      <c r="PY25" s="83">
        <v>578.67153499999995</v>
      </c>
      <c r="PZ25" s="83">
        <v>500.05382700000001</v>
      </c>
      <c r="QA25" s="83">
        <v>509.03475800000001</v>
      </c>
      <c r="QB25" s="83">
        <v>517.03523600000005</v>
      </c>
      <c r="QC25" s="83">
        <v>503.86488400000002</v>
      </c>
      <c r="QD25" s="83">
        <v>500.24555500000002</v>
      </c>
      <c r="QE25" s="83">
        <v>525.38258299999995</v>
      </c>
      <c r="QF25" s="83">
        <v>519.879321</v>
      </c>
      <c r="QG25" s="83">
        <v>517.16272200000003</v>
      </c>
      <c r="QH25" s="83">
        <v>526.66943300000003</v>
      </c>
      <c r="QI25" s="83">
        <v>535.138374</v>
      </c>
      <c r="QJ25" s="83">
        <v>521.196912</v>
      </c>
      <c r="QK25" s="83">
        <v>517.36569799999995</v>
      </c>
      <c r="QL25" s="83">
        <v>543.97443199999998</v>
      </c>
      <c r="QM25" s="83">
        <v>538.14898600000004</v>
      </c>
      <c r="QN25" s="83">
        <v>518.76324799999998</v>
      </c>
      <c r="QO25" s="83">
        <v>526.60917099999995</v>
      </c>
      <c r="QP25" s="83">
        <v>533.59861000000001</v>
      </c>
      <c r="QQ25" s="83">
        <v>522.09266700000001</v>
      </c>
      <c r="QR25" s="83">
        <v>518.93071899999995</v>
      </c>
      <c r="QS25" s="83">
        <v>540.89100099999996</v>
      </c>
    </row>
    <row r="26" spans="6:461" x14ac:dyDescent="0.25">
      <c r="F26" s="82" t="str">
        <f xml:space="preserve"> _xll.EPMOlapMemberO("[PRDDESCR].[].[HELGAS GFREE WHOLEM 500G]","","HELGAS GFREE WHOLEM 500G","","000")</f>
        <v>HELGAS GFREE WHOLEM 500G</v>
      </c>
      <c r="G26" s="82" t="str">
        <f xml:space="preserve"> _xll.EPMOlapMemberO("[PRDID].[].[168848]","","168848","","000")</f>
        <v>168848</v>
      </c>
      <c r="H26" s="82" t="str">
        <f xml:space="preserve"> _xll.EPMOlapMemberO("[LOCID].[].[6105]","","6105","","000")</f>
        <v>6105</v>
      </c>
      <c r="I26" s="82" t="str">
        <f xml:space="preserve"> _xll.EPMOlapMemberO("[LOCDESCR].[].[QBA-Rydalmere]","","QBA-Rydalmere","","000")</f>
        <v>QBA-Rydalmere</v>
      </c>
      <c r="J26" s="82" t="str">
        <f xml:space="preserve"> _xll.EPMOlapMemberO("[KEY_FIGURES].[].[ZGFAPPROVEDFCSTQTY]","","Approved Forecast","","000")</f>
        <v>Approved Forecast</v>
      </c>
      <c r="K26" s="83">
        <v>420.44116600000001</v>
      </c>
      <c r="L26" s="83">
        <v>318.21649500000001</v>
      </c>
      <c r="M26" s="83">
        <v>402.41729600000002</v>
      </c>
      <c r="N26" s="83">
        <v>292.44557900000001</v>
      </c>
      <c r="O26" s="83">
        <v>533.99202700000001</v>
      </c>
      <c r="P26" s="83">
        <v>491.27983699999999</v>
      </c>
      <c r="Q26" s="83">
        <v>305.53049700000003</v>
      </c>
      <c r="R26" s="83">
        <v>415.18996900000002</v>
      </c>
      <c r="S26" s="83">
        <v>371.43530199999998</v>
      </c>
      <c r="T26" s="83">
        <v>408.14499799999999</v>
      </c>
      <c r="U26" s="83">
        <v>303.66869500000001</v>
      </c>
      <c r="V26" s="83">
        <v>555.46019899999999</v>
      </c>
      <c r="W26" s="83">
        <v>514.46675300000004</v>
      </c>
      <c r="X26" s="83">
        <v>324.30458599999997</v>
      </c>
      <c r="Y26" s="83">
        <v>435.76198499999998</v>
      </c>
      <c r="Z26" s="83">
        <v>398.24415199999999</v>
      </c>
      <c r="AA26" s="83">
        <v>437.31054699999999</v>
      </c>
      <c r="AB26" s="83">
        <v>309.44747000000001</v>
      </c>
      <c r="AC26" s="83">
        <v>558.86246700000004</v>
      </c>
      <c r="AD26" s="83">
        <v>514.29023800000004</v>
      </c>
      <c r="AE26" s="83">
        <v>319.25995699999999</v>
      </c>
      <c r="AF26" s="83">
        <v>428.41718900000001</v>
      </c>
      <c r="AG26" s="83">
        <v>390.30025699999999</v>
      </c>
      <c r="AH26" s="83">
        <v>433.27420000000001</v>
      </c>
      <c r="AI26" s="83">
        <v>307.69138800000002</v>
      </c>
      <c r="AJ26" s="83">
        <v>550.03947400000004</v>
      </c>
      <c r="AK26" s="83">
        <v>497.80066199999999</v>
      </c>
      <c r="AL26" s="83">
        <v>314.59939600000001</v>
      </c>
      <c r="AM26" s="83">
        <v>419.71912300000002</v>
      </c>
      <c r="AN26" s="83">
        <v>379.48820599999999</v>
      </c>
      <c r="AO26" s="83">
        <v>428.98614500000002</v>
      </c>
      <c r="AP26" s="83">
        <v>305.97660200000001</v>
      </c>
      <c r="AQ26" s="83">
        <v>547.68425300000001</v>
      </c>
      <c r="AR26" s="83">
        <v>508.06002599999999</v>
      </c>
      <c r="AS26" s="83">
        <v>312.99420199999997</v>
      </c>
      <c r="AT26" s="83">
        <v>420.10220299999997</v>
      </c>
      <c r="AU26" s="83">
        <v>383.91974699999997</v>
      </c>
      <c r="AV26" s="83">
        <v>424.68408399999998</v>
      </c>
      <c r="AW26" s="83">
        <v>298.09054800000001</v>
      </c>
      <c r="AX26" s="83">
        <v>585.35534099999995</v>
      </c>
      <c r="AY26" s="83">
        <v>546.86787300000003</v>
      </c>
      <c r="AZ26" s="83">
        <v>325.99687599999999</v>
      </c>
      <c r="BA26" s="83">
        <v>443.22561899999999</v>
      </c>
      <c r="BB26" s="83">
        <v>405.61159500000002</v>
      </c>
      <c r="BC26" s="83">
        <v>441.115072</v>
      </c>
      <c r="BD26" s="83">
        <v>311.45883900000001</v>
      </c>
      <c r="BE26" s="83">
        <v>581.37371199999995</v>
      </c>
      <c r="BF26" s="83">
        <v>537.14548600000001</v>
      </c>
      <c r="BG26" s="83">
        <v>332.62247100000002</v>
      </c>
      <c r="BH26" s="83">
        <v>443.05234300000001</v>
      </c>
      <c r="BI26" s="83">
        <v>405.274494</v>
      </c>
      <c r="BJ26" s="83">
        <v>444.301783</v>
      </c>
      <c r="BK26" s="83">
        <v>317.632383</v>
      </c>
      <c r="BL26" s="83">
        <v>568.00952800000005</v>
      </c>
      <c r="BM26" s="83">
        <v>512.899137</v>
      </c>
      <c r="BN26" s="83">
        <v>336.446145</v>
      </c>
      <c r="BO26" s="83">
        <v>441.12742500000002</v>
      </c>
      <c r="BP26" s="83">
        <v>402.85198800000001</v>
      </c>
      <c r="BQ26" s="83">
        <v>450.57059400000003</v>
      </c>
      <c r="BR26" s="83">
        <v>327.30983900000001</v>
      </c>
      <c r="BS26" s="83">
        <v>567.81876199999999</v>
      </c>
      <c r="BT26" s="83">
        <v>496.52274899999998</v>
      </c>
      <c r="BU26" s="83">
        <v>323.92016000000001</v>
      </c>
      <c r="BV26" s="83">
        <v>421.84939700000001</v>
      </c>
      <c r="BW26" s="83">
        <v>380.36036300000001</v>
      </c>
      <c r="BX26" s="83">
        <v>436.06659999999999</v>
      </c>
      <c r="BY26" s="83">
        <v>315.468684</v>
      </c>
      <c r="BZ26" s="83">
        <v>511.87616500000001</v>
      </c>
      <c r="CA26" s="83">
        <v>443.08415500000001</v>
      </c>
      <c r="CB26" s="83">
        <v>292.65967599999999</v>
      </c>
      <c r="CC26" s="83">
        <v>376.95373899999998</v>
      </c>
      <c r="CD26" s="83">
        <v>341.514884</v>
      </c>
      <c r="CE26" s="83">
        <v>390.76382599999999</v>
      </c>
      <c r="CF26" s="83">
        <v>291.37113199999999</v>
      </c>
      <c r="CG26" s="83">
        <v>541.52895999999998</v>
      </c>
      <c r="CH26" s="83">
        <v>478.16137400000002</v>
      </c>
      <c r="CI26" s="83">
        <v>309.13140900000002</v>
      </c>
      <c r="CJ26" s="83">
        <v>405.82182899999998</v>
      </c>
      <c r="CK26" s="83">
        <v>366.99606</v>
      </c>
      <c r="CL26" s="83">
        <v>413.792258</v>
      </c>
      <c r="CM26" s="83">
        <v>301.71931000000001</v>
      </c>
      <c r="CN26" s="83">
        <v>521.401566</v>
      </c>
      <c r="CO26" s="83">
        <v>464.60751299999998</v>
      </c>
      <c r="CP26" s="83">
        <v>298.64095600000002</v>
      </c>
      <c r="CQ26" s="83">
        <v>393.39942000000002</v>
      </c>
      <c r="CR26" s="83">
        <v>357.570446</v>
      </c>
      <c r="CS26" s="83">
        <v>397.50360699999999</v>
      </c>
      <c r="CT26" s="83">
        <v>295.16300100000001</v>
      </c>
      <c r="CU26" s="83">
        <v>522.15730900000005</v>
      </c>
      <c r="CV26" s="83">
        <v>459.61275799999999</v>
      </c>
      <c r="CW26" s="83">
        <v>307.79491300000001</v>
      </c>
      <c r="CX26" s="83">
        <v>402.127993</v>
      </c>
      <c r="CY26" s="83">
        <v>363.03839299999999</v>
      </c>
      <c r="CZ26" s="83">
        <v>411.38574399999999</v>
      </c>
      <c r="DA26" s="83">
        <v>302.27356800000001</v>
      </c>
      <c r="DB26" s="83">
        <v>528.94057499999997</v>
      </c>
      <c r="DC26" s="83">
        <v>473.683806</v>
      </c>
      <c r="DD26" s="83">
        <v>293.13250299999999</v>
      </c>
      <c r="DE26" s="83">
        <v>388.00093900000002</v>
      </c>
      <c r="DF26" s="83">
        <v>349.84337199999999</v>
      </c>
      <c r="DG26" s="83">
        <v>397.05296399999997</v>
      </c>
      <c r="DH26" s="83">
        <v>287.13491499999998</v>
      </c>
      <c r="DI26" s="83">
        <v>528.06693499999994</v>
      </c>
      <c r="DJ26" s="83">
        <v>471.01774499999999</v>
      </c>
      <c r="DK26" s="83">
        <v>301.55889000000002</v>
      </c>
      <c r="DL26" s="83">
        <v>397.14923599999997</v>
      </c>
      <c r="DM26" s="83">
        <v>358.77274699999998</v>
      </c>
      <c r="DN26" s="83">
        <v>406.479647</v>
      </c>
      <c r="DO26" s="83">
        <v>292.16196400000001</v>
      </c>
      <c r="DP26" s="83">
        <v>586.77152699999999</v>
      </c>
      <c r="DQ26" s="83">
        <v>495.11369999999999</v>
      </c>
      <c r="DR26" s="83">
        <v>340.86634700000002</v>
      </c>
      <c r="DS26" s="83">
        <v>408.61118199999999</v>
      </c>
      <c r="DT26" s="83">
        <v>402.507229</v>
      </c>
      <c r="DU26" s="83">
        <v>420.48558700000001</v>
      </c>
      <c r="DV26" s="83">
        <v>303.97277300000002</v>
      </c>
      <c r="DW26" s="83">
        <v>573.72190399999999</v>
      </c>
      <c r="DX26" s="83">
        <v>512.44575099999997</v>
      </c>
      <c r="DY26" s="83">
        <v>335.97728899999998</v>
      </c>
      <c r="DZ26" s="83">
        <v>440.45340700000003</v>
      </c>
      <c r="EA26" s="83">
        <v>402.236108</v>
      </c>
      <c r="EB26" s="83">
        <v>447.339001</v>
      </c>
      <c r="EC26" s="83">
        <v>325.25717200000003</v>
      </c>
      <c r="ED26" s="83">
        <v>608.35366699999997</v>
      </c>
      <c r="EE26" s="83">
        <v>549.62194999999997</v>
      </c>
      <c r="EF26" s="83">
        <v>349.44900799999999</v>
      </c>
      <c r="EG26" s="83">
        <v>461.76359400000001</v>
      </c>
      <c r="EH26" s="83">
        <v>420.25833799999998</v>
      </c>
      <c r="EI26" s="83">
        <v>470.12558100000001</v>
      </c>
      <c r="EJ26" s="83">
        <v>339.95832100000001</v>
      </c>
      <c r="EK26" s="83">
        <v>588.89052200000003</v>
      </c>
      <c r="EL26" s="83">
        <v>537.85987399999999</v>
      </c>
      <c r="EM26" s="83">
        <v>337.24252899999999</v>
      </c>
      <c r="EN26" s="83">
        <v>451.25275399999998</v>
      </c>
      <c r="EO26" s="83">
        <v>408.80116199999998</v>
      </c>
      <c r="EP26" s="83">
        <v>455.46205800000001</v>
      </c>
      <c r="EQ26" s="83">
        <v>322.613497</v>
      </c>
      <c r="ER26" s="83">
        <v>590.04367500000001</v>
      </c>
      <c r="ES26" s="83">
        <v>529.25367400000005</v>
      </c>
      <c r="ET26" s="83">
        <v>328.82655199999999</v>
      </c>
      <c r="EU26" s="83">
        <v>436.24102099999999</v>
      </c>
      <c r="EV26" s="83">
        <v>395.02205900000001</v>
      </c>
      <c r="EW26" s="83">
        <v>442.99129499999998</v>
      </c>
      <c r="EX26" s="83">
        <v>321.81068499999998</v>
      </c>
      <c r="EY26" s="83">
        <v>602.58652300000006</v>
      </c>
      <c r="EZ26" s="83">
        <v>538.78209600000002</v>
      </c>
      <c r="FA26" s="83">
        <v>355.99623600000001</v>
      </c>
      <c r="FB26" s="83">
        <v>466.795388</v>
      </c>
      <c r="FC26" s="83">
        <v>426.86271199999999</v>
      </c>
      <c r="FD26" s="83">
        <v>473.15491200000002</v>
      </c>
      <c r="FE26" s="83">
        <v>344.79706299999998</v>
      </c>
      <c r="FF26" s="83">
        <v>572.47070799999995</v>
      </c>
      <c r="FG26" s="83">
        <v>519.58125099999995</v>
      </c>
      <c r="FH26" s="83">
        <v>338.84952099999998</v>
      </c>
      <c r="FI26" s="83">
        <v>451.63296500000001</v>
      </c>
      <c r="FJ26" s="83">
        <v>404.97936499999997</v>
      </c>
      <c r="FK26" s="83">
        <v>466.90329400000002</v>
      </c>
      <c r="FL26" s="83">
        <v>327.443198</v>
      </c>
      <c r="FM26" s="83">
        <v>550.74037399999997</v>
      </c>
      <c r="FN26" s="83">
        <v>518.074928</v>
      </c>
      <c r="FO26" s="83">
        <v>303.82881300000003</v>
      </c>
      <c r="FP26" s="83">
        <v>412.60509300000001</v>
      </c>
      <c r="FQ26" s="83">
        <v>372.12182100000001</v>
      </c>
      <c r="FR26" s="83">
        <v>413.65819499999998</v>
      </c>
      <c r="FS26" s="83">
        <v>288.507834</v>
      </c>
      <c r="FT26" s="83">
        <v>534.09574199999997</v>
      </c>
      <c r="FU26" s="83">
        <v>481.44086800000002</v>
      </c>
      <c r="FV26" s="83">
        <v>320.052773</v>
      </c>
      <c r="FW26" s="83">
        <v>419.75459599999999</v>
      </c>
      <c r="FX26" s="83">
        <v>383.30808300000001</v>
      </c>
      <c r="FY26" s="83">
        <v>426.45458300000001</v>
      </c>
      <c r="FZ26" s="83">
        <v>313.98192399999999</v>
      </c>
      <c r="GA26" s="83">
        <v>593.01224500000001</v>
      </c>
      <c r="GB26" s="83">
        <v>523.59076700000003</v>
      </c>
      <c r="GC26" s="83">
        <v>324.03060299999999</v>
      </c>
      <c r="GD26" s="83">
        <v>426.41834</v>
      </c>
      <c r="GE26" s="83">
        <v>387.10889500000002</v>
      </c>
      <c r="GF26" s="83">
        <v>434.54400800000002</v>
      </c>
      <c r="GG26" s="83">
        <v>312.92929400000003</v>
      </c>
      <c r="GH26" s="83">
        <v>516.86451999999997</v>
      </c>
      <c r="GI26" s="83">
        <v>461.03499199999999</v>
      </c>
      <c r="GJ26" s="83">
        <v>296.43753800000002</v>
      </c>
      <c r="GK26" s="83">
        <v>388.05877099999998</v>
      </c>
      <c r="GL26" s="83">
        <v>353.78066799999999</v>
      </c>
      <c r="GM26" s="83">
        <v>395.89003400000001</v>
      </c>
      <c r="GN26" s="83">
        <v>290.997728</v>
      </c>
      <c r="GO26" s="83">
        <v>534.95328500000005</v>
      </c>
      <c r="GP26" s="83">
        <v>461.13034599999997</v>
      </c>
      <c r="GQ26" s="83">
        <v>310.20042599999999</v>
      </c>
      <c r="GR26" s="83">
        <v>388.466207</v>
      </c>
      <c r="GS26" s="83">
        <v>367.81951800000002</v>
      </c>
      <c r="GT26" s="83">
        <v>396.32668100000001</v>
      </c>
      <c r="GU26" s="83">
        <v>288.26467300000002</v>
      </c>
      <c r="GV26" s="83">
        <v>545.59319200000004</v>
      </c>
      <c r="GW26" s="83">
        <v>488.08876299999997</v>
      </c>
      <c r="GX26" s="83">
        <v>313.58669700000002</v>
      </c>
      <c r="GY26" s="83">
        <v>412.48693500000002</v>
      </c>
      <c r="GZ26" s="83">
        <v>374.65921600000001</v>
      </c>
      <c r="HA26" s="83">
        <v>420.22118699999999</v>
      </c>
      <c r="HB26" s="83">
        <v>307.73793899999998</v>
      </c>
      <c r="HC26" s="83">
        <v>540.41187500000001</v>
      </c>
      <c r="HD26" s="83">
        <v>487.88054699999998</v>
      </c>
      <c r="HE26" s="83">
        <v>315.02070300000003</v>
      </c>
      <c r="HF26" s="83">
        <v>418.05082900000002</v>
      </c>
      <c r="HG26" s="83">
        <v>374.61975000000001</v>
      </c>
      <c r="HH26" s="83">
        <v>435.01633800000002</v>
      </c>
      <c r="HI26" s="83">
        <v>296.84002400000003</v>
      </c>
      <c r="HJ26" s="83">
        <v>547.81845199999998</v>
      </c>
      <c r="HK26" s="83">
        <v>499.40316799999999</v>
      </c>
      <c r="HL26" s="83">
        <v>303.29861299999999</v>
      </c>
      <c r="HM26" s="83">
        <v>401.53269999999998</v>
      </c>
      <c r="HN26" s="83">
        <v>362.748718</v>
      </c>
      <c r="HO26" s="83">
        <v>410.00120199999998</v>
      </c>
      <c r="HP26" s="83">
        <v>296.67970700000001</v>
      </c>
      <c r="HQ26" s="83">
        <v>558.57463800000005</v>
      </c>
      <c r="HR26" s="83">
        <v>501.82493499999998</v>
      </c>
      <c r="HS26" s="83">
        <v>322.88447600000001</v>
      </c>
      <c r="HT26" s="83">
        <v>425.41965599999997</v>
      </c>
      <c r="HU26" s="83">
        <v>385.63551999999999</v>
      </c>
      <c r="HV26" s="83">
        <v>436.13448699999998</v>
      </c>
      <c r="HW26" s="83">
        <v>309.21173900000002</v>
      </c>
      <c r="HX26" s="83">
        <v>553.33080500000005</v>
      </c>
      <c r="HY26" s="83">
        <v>500.94689099999999</v>
      </c>
      <c r="HZ26" s="83">
        <v>320.72330599999998</v>
      </c>
      <c r="IA26" s="83">
        <v>419.518417</v>
      </c>
      <c r="IB26" s="83">
        <v>382.22799400000002</v>
      </c>
      <c r="IC26" s="83">
        <v>434.79098699999997</v>
      </c>
      <c r="ID26" s="83">
        <v>309.16164400000002</v>
      </c>
      <c r="IE26" s="83">
        <v>541.26008000000002</v>
      </c>
      <c r="IF26" s="83">
        <v>484.33270099999999</v>
      </c>
      <c r="IG26" s="83">
        <v>317.797888</v>
      </c>
      <c r="IH26" s="83">
        <v>417.652917</v>
      </c>
      <c r="II26" s="83">
        <v>375.51821000000001</v>
      </c>
      <c r="IJ26" s="83">
        <v>436.62957699999998</v>
      </c>
      <c r="IK26" s="83">
        <v>300.75286399999999</v>
      </c>
      <c r="IL26" s="83">
        <v>584.82721000000004</v>
      </c>
      <c r="IM26" s="83">
        <v>532.45285100000001</v>
      </c>
      <c r="IN26" s="83">
        <v>324.63602800000001</v>
      </c>
      <c r="IO26" s="83">
        <v>429.189706</v>
      </c>
      <c r="IP26" s="83">
        <v>388.477056</v>
      </c>
      <c r="IQ26" s="83">
        <v>440.144588</v>
      </c>
      <c r="IR26" s="83">
        <v>315.538251</v>
      </c>
      <c r="IS26" s="83">
        <v>569.26933299999996</v>
      </c>
      <c r="IT26" s="83">
        <v>519.29039999999998</v>
      </c>
      <c r="IU26" s="83">
        <v>328.75559700000002</v>
      </c>
      <c r="IV26" s="83">
        <v>437.51286299999998</v>
      </c>
      <c r="IW26" s="83">
        <v>395.08921500000002</v>
      </c>
      <c r="IX26" s="83">
        <v>447.178562</v>
      </c>
      <c r="IY26" s="83">
        <v>312.941822</v>
      </c>
      <c r="IZ26" s="83">
        <v>561.48356899999999</v>
      </c>
      <c r="JA26" s="83">
        <v>512.54747899999995</v>
      </c>
      <c r="JB26" s="83">
        <v>326.50631600000003</v>
      </c>
      <c r="JC26" s="83">
        <v>431.28103900000002</v>
      </c>
      <c r="JD26" s="83">
        <v>391.58112799999998</v>
      </c>
      <c r="JE26" s="83">
        <v>443.23006600000002</v>
      </c>
      <c r="JF26" s="83">
        <v>315.28808900000001</v>
      </c>
      <c r="JG26" s="83">
        <v>538.808356</v>
      </c>
      <c r="JH26" s="83">
        <v>489.34380099999998</v>
      </c>
      <c r="JI26" s="83">
        <v>320.56844999999998</v>
      </c>
      <c r="JJ26" s="83">
        <v>427.37093299999998</v>
      </c>
      <c r="JK26" s="83">
        <v>377.87818199999998</v>
      </c>
      <c r="JL26" s="83">
        <v>453.54455000000002</v>
      </c>
      <c r="JM26" s="83">
        <v>297.13064900000001</v>
      </c>
      <c r="JN26" s="83">
        <v>442.67274300000003</v>
      </c>
      <c r="JO26" s="83">
        <v>632.56878400000005</v>
      </c>
      <c r="JP26" s="83">
        <v>288.36200100000002</v>
      </c>
      <c r="JQ26" s="83">
        <v>399.990903</v>
      </c>
      <c r="JR26" s="83">
        <v>344.37641100000002</v>
      </c>
      <c r="JS26" s="83">
        <v>428.87116800000001</v>
      </c>
      <c r="JT26" s="83">
        <v>441.95960300000002</v>
      </c>
      <c r="JU26" s="83">
        <v>404.22267099999999</v>
      </c>
      <c r="JV26" s="83">
        <v>398.58299599999998</v>
      </c>
      <c r="JW26" s="83">
        <v>404.19766800000002</v>
      </c>
      <c r="JX26" s="83">
        <v>400.93944599999998</v>
      </c>
      <c r="JY26" s="83">
        <v>396.42148099999997</v>
      </c>
      <c r="JZ26" s="83">
        <v>401.25580300000001</v>
      </c>
      <c r="KA26" s="83">
        <v>406.00018599999999</v>
      </c>
      <c r="KB26" s="83">
        <v>394.66412000000003</v>
      </c>
      <c r="KC26" s="83">
        <v>391.31040300000001</v>
      </c>
      <c r="KD26" s="83">
        <v>400.02282200000002</v>
      </c>
      <c r="KE26" s="83">
        <v>395.17925400000001</v>
      </c>
      <c r="KF26" s="83">
        <v>391.767493</v>
      </c>
      <c r="KG26" s="83">
        <v>397.83024999999998</v>
      </c>
      <c r="KH26" s="83">
        <v>413.88047899999998</v>
      </c>
      <c r="KI26" s="83">
        <v>386.11446599999999</v>
      </c>
      <c r="KJ26" s="83">
        <v>381.46639900000002</v>
      </c>
      <c r="KK26" s="83">
        <v>386.03040399999998</v>
      </c>
      <c r="KL26" s="83">
        <v>383.34507200000002</v>
      </c>
      <c r="KM26" s="83">
        <v>379.62151699999998</v>
      </c>
      <c r="KN26" s="83">
        <v>383.60579799999999</v>
      </c>
      <c r="KO26" s="83">
        <v>387.51592900000003</v>
      </c>
      <c r="KP26" s="83">
        <v>409.42316699999998</v>
      </c>
      <c r="KQ26" s="83">
        <v>406.27634499999999</v>
      </c>
      <c r="KR26" s="83">
        <v>412.89348999999999</v>
      </c>
      <c r="KS26" s="83">
        <v>408.34875199999999</v>
      </c>
      <c r="KT26" s="83">
        <v>405.147447</v>
      </c>
      <c r="KU26" s="83">
        <v>410.836207</v>
      </c>
      <c r="KV26" s="83">
        <v>425.89627300000001</v>
      </c>
      <c r="KW26" s="83">
        <v>424.73038400000002</v>
      </c>
      <c r="KX26" s="83">
        <v>420.015039</v>
      </c>
      <c r="KY26" s="83">
        <v>425.486175</v>
      </c>
      <c r="KZ26" s="83">
        <v>422.76197200000001</v>
      </c>
      <c r="LA26" s="83">
        <v>418.98448300000001</v>
      </c>
      <c r="LB26" s="83">
        <v>423.02645100000001</v>
      </c>
      <c r="LC26" s="83">
        <v>426.99320399999999</v>
      </c>
      <c r="LD26" s="83">
        <v>443.49799400000001</v>
      </c>
      <c r="LE26" s="83">
        <v>440.43020100000001</v>
      </c>
      <c r="LF26" s="83">
        <v>447.597285</v>
      </c>
      <c r="LG26" s="83">
        <v>443.16675800000002</v>
      </c>
      <c r="LH26" s="83">
        <v>440.045861</v>
      </c>
      <c r="LI26" s="83">
        <v>445.59167600000001</v>
      </c>
      <c r="LJ26" s="83">
        <v>460.273393</v>
      </c>
      <c r="LK26" s="83">
        <v>409.22639600000002</v>
      </c>
      <c r="LL26" s="83">
        <v>404.57710900000001</v>
      </c>
      <c r="LM26" s="83">
        <v>410.71221700000001</v>
      </c>
      <c r="LN26" s="83">
        <v>408.026162</v>
      </c>
      <c r="LO26" s="83">
        <v>404.30159600000002</v>
      </c>
      <c r="LP26" s="83">
        <v>408.28693299999998</v>
      </c>
      <c r="LQ26" s="83">
        <v>412.198151</v>
      </c>
      <c r="LR26" s="83">
        <v>397.18171899999999</v>
      </c>
      <c r="LS26" s="83">
        <v>394.36151599999999</v>
      </c>
      <c r="LT26" s="83">
        <v>414.00019900000001</v>
      </c>
      <c r="LU26" s="83">
        <v>409.92720700000001</v>
      </c>
      <c r="LV26" s="83">
        <v>407.058201</v>
      </c>
      <c r="LW26" s="83">
        <v>412.15644900000001</v>
      </c>
      <c r="LX26" s="83">
        <v>425.65336600000001</v>
      </c>
      <c r="LY26" s="83">
        <v>395.55717399999997</v>
      </c>
      <c r="LZ26" s="83">
        <v>391.223206</v>
      </c>
      <c r="MA26" s="83">
        <v>383.86695099999997</v>
      </c>
      <c r="MB26" s="83">
        <v>381.36310800000001</v>
      </c>
      <c r="MC26" s="83">
        <v>377.89116999999999</v>
      </c>
      <c r="MD26" s="83">
        <v>381.60618799999997</v>
      </c>
      <c r="ME26" s="83">
        <v>385.25210700000002</v>
      </c>
      <c r="MF26" s="83">
        <v>402.28487000000001</v>
      </c>
      <c r="MG26" s="83">
        <v>399.48261600000001</v>
      </c>
      <c r="MH26" s="83">
        <v>405.37513100000001</v>
      </c>
      <c r="MI26" s="83">
        <v>401.32809900000001</v>
      </c>
      <c r="MJ26" s="83">
        <v>398.47731499999998</v>
      </c>
      <c r="MK26" s="83">
        <v>403.543136</v>
      </c>
      <c r="ML26" s="83">
        <v>416.95410900000002</v>
      </c>
      <c r="MM26" s="83">
        <v>395.81294400000002</v>
      </c>
      <c r="MN26" s="83">
        <v>391.40287599999999</v>
      </c>
      <c r="MO26" s="83">
        <v>417.57213000000002</v>
      </c>
      <c r="MP26" s="83">
        <v>415.02427699999998</v>
      </c>
      <c r="MQ26" s="83">
        <v>411.491353</v>
      </c>
      <c r="MR26" s="83">
        <v>415.27164299999998</v>
      </c>
      <c r="MS26" s="83">
        <v>418.981582</v>
      </c>
      <c r="MT26" s="83">
        <v>390.53094599999997</v>
      </c>
      <c r="MU26" s="83">
        <v>387.913703</v>
      </c>
      <c r="MV26" s="83">
        <v>374.88911899999999</v>
      </c>
      <c r="MW26" s="83">
        <v>371.10920900000002</v>
      </c>
      <c r="MX26" s="83">
        <v>368.44667299999998</v>
      </c>
      <c r="MY26" s="83">
        <v>373.17805600000003</v>
      </c>
      <c r="MZ26" s="83">
        <v>385.70364599999999</v>
      </c>
      <c r="NA26" s="83">
        <v>418.18071400000002</v>
      </c>
      <c r="NB26" s="83">
        <v>413.39963599999999</v>
      </c>
      <c r="NC26" s="83">
        <v>419.708641</v>
      </c>
      <c r="ND26" s="83">
        <v>416.946462</v>
      </c>
      <c r="NE26" s="83">
        <v>413.116311</v>
      </c>
      <c r="NF26" s="83">
        <v>417.21462100000002</v>
      </c>
      <c r="NG26" s="83">
        <v>421.236693</v>
      </c>
      <c r="NH26" s="83">
        <v>418.57374299999998</v>
      </c>
      <c r="NI26" s="83">
        <v>415.59211599999998</v>
      </c>
      <c r="NJ26" s="83">
        <v>416.97414500000002</v>
      </c>
      <c r="NK26" s="83">
        <v>412.66802000000001</v>
      </c>
      <c r="NL26" s="83">
        <v>409.63483100000002</v>
      </c>
      <c r="NM26" s="83">
        <v>415.02485100000001</v>
      </c>
      <c r="NN26" s="83">
        <v>429.294173</v>
      </c>
      <c r="NO26" s="83">
        <v>432.587626</v>
      </c>
      <c r="NP26" s="83">
        <v>427.51362399999999</v>
      </c>
      <c r="NQ26" s="83">
        <v>439.39836700000001</v>
      </c>
      <c r="NR26" s="83">
        <v>436.46695499999998</v>
      </c>
      <c r="NS26" s="83">
        <v>432.40215999999998</v>
      </c>
      <c r="NT26" s="83">
        <v>436.75157799999999</v>
      </c>
      <c r="NU26" s="83">
        <v>441.02005100000002</v>
      </c>
      <c r="NV26" s="83">
        <v>423.96911499999999</v>
      </c>
      <c r="NW26" s="83">
        <v>421.35066699999999</v>
      </c>
      <c r="NX26" s="83">
        <v>426.85661900000002</v>
      </c>
      <c r="NY26" s="83">
        <v>423.07506699999999</v>
      </c>
      <c r="NZ26" s="83">
        <v>420.41132599999997</v>
      </c>
      <c r="OA26" s="83">
        <v>425.14478500000001</v>
      </c>
      <c r="OB26" s="83">
        <v>437.675906</v>
      </c>
      <c r="OC26" s="83">
        <v>424.349174</v>
      </c>
      <c r="OD26" s="83">
        <v>419.34889900000002</v>
      </c>
      <c r="OE26" s="83">
        <v>446.29067500000002</v>
      </c>
      <c r="OF26" s="83">
        <v>443.40183500000001</v>
      </c>
      <c r="OG26" s="83">
        <v>439.39608199999998</v>
      </c>
      <c r="OH26" s="83">
        <v>443.68232899999998</v>
      </c>
      <c r="OI26" s="83">
        <v>447.88881099999998</v>
      </c>
      <c r="OJ26" s="83">
        <v>432.78486199999998</v>
      </c>
      <c r="OK26" s="83">
        <v>429.68951199999998</v>
      </c>
      <c r="OL26" s="83">
        <v>416.89311400000003</v>
      </c>
      <c r="OM26" s="83">
        <v>412.422754</v>
      </c>
      <c r="ON26" s="83">
        <v>409.27385700000002</v>
      </c>
      <c r="OO26" s="83">
        <v>414.869463</v>
      </c>
      <c r="OP26" s="83">
        <v>429.68305800000002</v>
      </c>
      <c r="OQ26" s="83">
        <v>413.776341</v>
      </c>
      <c r="OR26" s="83">
        <v>408.79095999999998</v>
      </c>
      <c r="OS26" s="83">
        <v>415.36956099999998</v>
      </c>
      <c r="OT26" s="83">
        <v>412.489351</v>
      </c>
      <c r="OU26" s="83">
        <v>408.49554599999999</v>
      </c>
      <c r="OV26" s="83">
        <v>412.76896499999998</v>
      </c>
      <c r="OW26" s="83">
        <v>416.96290800000003</v>
      </c>
      <c r="OX26" s="83">
        <v>442.46255400000001</v>
      </c>
      <c r="OY26" s="83">
        <v>439.80155300000001</v>
      </c>
      <c r="OZ26" s="83">
        <v>437.74715400000002</v>
      </c>
      <c r="PA26" s="83">
        <v>433.90406999999999</v>
      </c>
      <c r="PB26" s="83">
        <v>431.19699900000001</v>
      </c>
      <c r="PC26" s="83">
        <v>436.00745699999999</v>
      </c>
      <c r="PD26" s="83">
        <v>448.74241999999998</v>
      </c>
      <c r="PE26" s="83">
        <v>441.77472399999999</v>
      </c>
      <c r="PF26" s="83">
        <v>437.31692099999998</v>
      </c>
      <c r="PG26" s="83">
        <v>451.37282699999997</v>
      </c>
      <c r="PH26" s="83">
        <v>448.79741799999999</v>
      </c>
      <c r="PI26" s="83">
        <v>445.22625900000003</v>
      </c>
      <c r="PJ26" s="83">
        <v>449.04745200000002</v>
      </c>
      <c r="PK26" s="83">
        <v>452.79751099999999</v>
      </c>
      <c r="PL26" s="83">
        <v>438.297597</v>
      </c>
      <c r="PM26" s="83">
        <v>435.40841499999999</v>
      </c>
      <c r="PN26" s="83">
        <v>441.48374699999999</v>
      </c>
      <c r="PO26" s="83">
        <v>437.311148</v>
      </c>
      <c r="PP26" s="83">
        <v>434.37196299999999</v>
      </c>
      <c r="PQ26" s="83">
        <v>439.594897</v>
      </c>
      <c r="PR26" s="83">
        <v>453.42182300000002</v>
      </c>
      <c r="PS26" s="83">
        <v>422.15273200000001</v>
      </c>
      <c r="PT26" s="83">
        <v>416.86895600000003</v>
      </c>
      <c r="PU26" s="83">
        <v>423.84132599999998</v>
      </c>
      <c r="PV26" s="83">
        <v>420.78873900000002</v>
      </c>
      <c r="PW26" s="83">
        <v>416.55586299999999</v>
      </c>
      <c r="PX26" s="83">
        <v>421.08511099999998</v>
      </c>
      <c r="PY26" s="83">
        <v>425.53006599999998</v>
      </c>
      <c r="PZ26" s="83">
        <v>378.25959599999999</v>
      </c>
      <c r="QA26" s="83">
        <v>375.76884000000001</v>
      </c>
      <c r="QB26" s="83">
        <v>381.006393</v>
      </c>
      <c r="QC26" s="83">
        <v>377.40918099999999</v>
      </c>
      <c r="QD26" s="83">
        <v>374.875291</v>
      </c>
      <c r="QE26" s="83">
        <v>379.37799799999999</v>
      </c>
      <c r="QF26" s="83">
        <v>391.29825299999999</v>
      </c>
      <c r="QG26" s="83">
        <v>404.01667900000001</v>
      </c>
      <c r="QH26" s="83">
        <v>399.58110799999997</v>
      </c>
      <c r="QI26" s="83">
        <v>405.43416300000001</v>
      </c>
      <c r="QJ26" s="83">
        <v>402.87160899999998</v>
      </c>
      <c r="QK26" s="83">
        <v>399.31823700000001</v>
      </c>
      <c r="QL26" s="83">
        <v>403.12038200000001</v>
      </c>
      <c r="QM26" s="83">
        <v>406.85176799999999</v>
      </c>
      <c r="QN26" s="83">
        <v>389.70448499999998</v>
      </c>
      <c r="QO26" s="83">
        <v>387.52803799999998</v>
      </c>
      <c r="QP26" s="83">
        <v>392.10465099999999</v>
      </c>
      <c r="QQ26" s="83">
        <v>388.96139299999999</v>
      </c>
      <c r="QR26" s="83">
        <v>386.74727200000001</v>
      </c>
      <c r="QS26" s="83">
        <v>390.68174299999998</v>
      </c>
    </row>
    <row r="27" spans="6:461" x14ac:dyDescent="0.25">
      <c r="F27" s="82" t="str">
        <f xml:space="preserve"> _xll.EPMOlapMemberO("[PRDDESCR].[].[HELGAS GFREE WHOLEM 500G]","","HELGAS GFREE WHOLEM 500G","","000")</f>
        <v>HELGAS GFREE WHOLEM 500G</v>
      </c>
      <c r="G27" s="82" t="str">
        <f xml:space="preserve"> _xll.EPMOlapMemberO("[PRDID].[].[168848]","","168848","","000")</f>
        <v>168848</v>
      </c>
      <c r="H27" s="82" t="str">
        <f xml:space="preserve"> _xll.EPMOlapMemberO("[LOCID].[].[6110]","","6110","","000")</f>
        <v>6110</v>
      </c>
      <c r="I27" s="82" t="str">
        <f xml:space="preserve"> _xll.EPMOlapMemberO("[LOCDESCR].[].[QBA-Burleigh Heads]","","QBA-Burleigh Heads","","000")</f>
        <v>QBA-Burleigh Heads</v>
      </c>
      <c r="J27" s="82" t="str">
        <f xml:space="preserve"> _xll.EPMOlapMemberO("[KEY_FIGURES].[].[ZGFAPPROVEDFCSTQTY]","","Approved Forecast","","000")</f>
        <v>Approved Forecast</v>
      </c>
      <c r="K27" s="83">
        <v>894.85372500000005</v>
      </c>
      <c r="L27" s="83">
        <v>555.20790999999997</v>
      </c>
      <c r="M27" s="83">
        <v>967.61192700000004</v>
      </c>
      <c r="N27" s="83">
        <v>647.21072200000003</v>
      </c>
      <c r="O27" s="83">
        <v>0</v>
      </c>
      <c r="P27" s="83">
        <v>1146.873245</v>
      </c>
      <c r="Q27" s="83">
        <v>499.13785300000001</v>
      </c>
      <c r="R27" s="83">
        <v>871.91895599999998</v>
      </c>
      <c r="S27" s="83">
        <v>560.79508499999997</v>
      </c>
      <c r="T27" s="83">
        <v>947.35553700000003</v>
      </c>
      <c r="U27" s="83">
        <v>630.21232899999995</v>
      </c>
      <c r="V27" s="83">
        <v>0</v>
      </c>
      <c r="W27" s="83">
        <v>1087.9444370000001</v>
      </c>
      <c r="X27" s="83">
        <v>490.75499000000002</v>
      </c>
      <c r="Y27" s="83">
        <v>837.68395599999997</v>
      </c>
      <c r="Z27" s="83">
        <v>552.08598900000004</v>
      </c>
      <c r="AA27" s="83">
        <v>902.27737500000001</v>
      </c>
      <c r="AB27" s="83">
        <v>585.91209300000003</v>
      </c>
      <c r="AC27" s="83">
        <v>0</v>
      </c>
      <c r="AD27" s="83">
        <v>1080.7141260000001</v>
      </c>
      <c r="AE27" s="83">
        <v>478.19565899999998</v>
      </c>
      <c r="AF27" s="83">
        <v>820.07430799999997</v>
      </c>
      <c r="AG27" s="83">
        <v>542.55557499999998</v>
      </c>
      <c r="AH27" s="83">
        <v>887.79114100000004</v>
      </c>
      <c r="AI27" s="83">
        <v>580.79386699999998</v>
      </c>
      <c r="AJ27" s="83">
        <v>0</v>
      </c>
      <c r="AK27" s="83">
        <v>1077.0805620000001</v>
      </c>
      <c r="AL27" s="83">
        <v>460.06608799999998</v>
      </c>
      <c r="AM27" s="83">
        <v>798.06225300000006</v>
      </c>
      <c r="AN27" s="83">
        <v>518.71954900000003</v>
      </c>
      <c r="AO27" s="83">
        <v>863.24788699999999</v>
      </c>
      <c r="AP27" s="83">
        <v>571.52281100000005</v>
      </c>
      <c r="AQ27" s="83">
        <v>0</v>
      </c>
      <c r="AR27" s="83">
        <v>1083.475639</v>
      </c>
      <c r="AS27" s="83">
        <v>478.705152</v>
      </c>
      <c r="AT27" s="83">
        <v>817.10299999999995</v>
      </c>
      <c r="AU27" s="83">
        <v>543.41375200000004</v>
      </c>
      <c r="AV27" s="83">
        <v>885.45160399999997</v>
      </c>
      <c r="AW27" s="83">
        <v>576.97556999999995</v>
      </c>
      <c r="AX27" s="83">
        <v>0</v>
      </c>
      <c r="AY27" s="83">
        <v>1158.6486910000001</v>
      </c>
      <c r="AZ27" s="83">
        <v>491.13225199999999</v>
      </c>
      <c r="BA27" s="83">
        <v>850.59132</v>
      </c>
      <c r="BB27" s="83">
        <v>554.48936000000003</v>
      </c>
      <c r="BC27" s="83">
        <v>918.39678600000002</v>
      </c>
      <c r="BD27" s="83">
        <v>613.39196900000002</v>
      </c>
      <c r="BE27" s="83">
        <v>0</v>
      </c>
      <c r="BF27" s="83">
        <v>1158.540274</v>
      </c>
      <c r="BG27" s="83">
        <v>506.30653599999999</v>
      </c>
      <c r="BH27" s="83">
        <v>869.95824000000005</v>
      </c>
      <c r="BI27" s="83">
        <v>549.68863399999998</v>
      </c>
      <c r="BJ27" s="83">
        <v>935.04487300000005</v>
      </c>
      <c r="BK27" s="83">
        <v>632.51335200000005</v>
      </c>
      <c r="BL27" s="83">
        <v>0</v>
      </c>
      <c r="BM27" s="83">
        <v>1089.274134</v>
      </c>
      <c r="BN27" s="83">
        <v>501.99025899999998</v>
      </c>
      <c r="BO27" s="83">
        <v>857.17181100000005</v>
      </c>
      <c r="BP27" s="83">
        <v>544.064887</v>
      </c>
      <c r="BQ27" s="83">
        <v>920.686916</v>
      </c>
      <c r="BR27" s="83">
        <v>623.04237499999999</v>
      </c>
      <c r="BS27" s="83">
        <v>0</v>
      </c>
      <c r="BT27" s="83">
        <v>1097.756858</v>
      </c>
      <c r="BU27" s="83">
        <v>492.54204499999997</v>
      </c>
      <c r="BV27" s="83">
        <v>832.66841599999998</v>
      </c>
      <c r="BW27" s="83">
        <v>532.78780800000004</v>
      </c>
      <c r="BX27" s="83">
        <v>895.54778699999997</v>
      </c>
      <c r="BY27" s="83">
        <v>600.02552800000001</v>
      </c>
      <c r="BZ27" s="83">
        <v>0</v>
      </c>
      <c r="CA27" s="83">
        <v>1057.2154579999999</v>
      </c>
      <c r="CB27" s="83">
        <v>472.83696700000002</v>
      </c>
      <c r="CC27" s="83">
        <v>801.98456099999999</v>
      </c>
      <c r="CD27" s="83">
        <v>510.92492499999997</v>
      </c>
      <c r="CE27" s="83">
        <v>863.85731699999997</v>
      </c>
      <c r="CF27" s="83">
        <v>575.36690099999998</v>
      </c>
      <c r="CG27" s="83">
        <v>0</v>
      </c>
      <c r="CH27" s="83">
        <v>1157.60771</v>
      </c>
      <c r="CI27" s="83">
        <v>512.21820500000001</v>
      </c>
      <c r="CJ27" s="83">
        <v>882.33860700000002</v>
      </c>
      <c r="CK27" s="83">
        <v>556.305475</v>
      </c>
      <c r="CL27" s="83">
        <v>946.827361</v>
      </c>
      <c r="CM27" s="83">
        <v>645.41971899999999</v>
      </c>
      <c r="CN27" s="83">
        <v>0</v>
      </c>
      <c r="CO27" s="83">
        <v>1145.905025</v>
      </c>
      <c r="CP27" s="83">
        <v>510.06661700000001</v>
      </c>
      <c r="CQ27" s="83">
        <v>871.69413599999996</v>
      </c>
      <c r="CR27" s="83">
        <v>553.45928100000003</v>
      </c>
      <c r="CS27" s="83">
        <v>936.24366399999997</v>
      </c>
      <c r="CT27" s="83">
        <v>633.47364800000003</v>
      </c>
      <c r="CU27" s="83">
        <v>0</v>
      </c>
      <c r="CV27" s="83">
        <v>1104.2195059999999</v>
      </c>
      <c r="CW27" s="83">
        <v>510.36995000000002</v>
      </c>
      <c r="CX27" s="83">
        <v>869.42264499999999</v>
      </c>
      <c r="CY27" s="83">
        <v>553.52416200000005</v>
      </c>
      <c r="CZ27" s="83">
        <v>933.83938000000001</v>
      </c>
      <c r="DA27" s="83">
        <v>631.05532700000003</v>
      </c>
      <c r="DB27" s="83">
        <v>0</v>
      </c>
      <c r="DC27" s="83">
        <v>1084.813357</v>
      </c>
      <c r="DD27" s="83">
        <v>465.662599</v>
      </c>
      <c r="DE27" s="83">
        <v>797.77090699999997</v>
      </c>
      <c r="DF27" s="83">
        <v>503.20317699999998</v>
      </c>
      <c r="DG27" s="83">
        <v>858.68671300000005</v>
      </c>
      <c r="DH27" s="83">
        <v>576.58976800000005</v>
      </c>
      <c r="DI27" s="83">
        <v>0</v>
      </c>
      <c r="DJ27" s="83">
        <v>1097.180306</v>
      </c>
      <c r="DK27" s="83">
        <v>486.81531100000001</v>
      </c>
      <c r="DL27" s="83">
        <v>834.98907699999995</v>
      </c>
      <c r="DM27" s="83">
        <v>527.13551099999995</v>
      </c>
      <c r="DN27" s="83">
        <v>897.30091200000004</v>
      </c>
      <c r="DO27" s="83">
        <v>607.15383699999995</v>
      </c>
      <c r="DP27" s="83">
        <v>0</v>
      </c>
      <c r="DQ27" s="83">
        <v>1187.614916</v>
      </c>
      <c r="DR27" s="83">
        <v>514.75666799999999</v>
      </c>
      <c r="DS27" s="83">
        <v>883.50137400000006</v>
      </c>
      <c r="DT27" s="83">
        <v>559.32088899999997</v>
      </c>
      <c r="DU27" s="83">
        <v>948.988113</v>
      </c>
      <c r="DV27" s="83">
        <v>642.47790999999995</v>
      </c>
      <c r="DW27" s="83">
        <v>0</v>
      </c>
      <c r="DX27" s="83">
        <v>1076.3810820000001</v>
      </c>
      <c r="DY27" s="83">
        <v>485.69792999999999</v>
      </c>
      <c r="DZ27" s="83">
        <v>837.71935599999995</v>
      </c>
      <c r="EA27" s="83">
        <v>526.32085300000006</v>
      </c>
      <c r="EB27" s="83">
        <v>900.17807700000003</v>
      </c>
      <c r="EC27" s="83">
        <v>610.43626400000005</v>
      </c>
      <c r="ED27" s="83">
        <v>0</v>
      </c>
      <c r="EE27" s="83">
        <v>1063.14167</v>
      </c>
      <c r="EF27" s="83">
        <v>466.63469300000003</v>
      </c>
      <c r="EG27" s="83">
        <v>811.06871999999998</v>
      </c>
      <c r="EH27" s="83">
        <v>505.21164800000003</v>
      </c>
      <c r="EI27" s="83">
        <v>872.162555</v>
      </c>
      <c r="EJ27" s="83">
        <v>591.45773899999995</v>
      </c>
      <c r="EK27" s="83">
        <v>0</v>
      </c>
      <c r="EL27" s="83">
        <v>1074.593435</v>
      </c>
      <c r="EM27" s="83">
        <v>474.92679800000002</v>
      </c>
      <c r="EN27" s="83">
        <v>818.44112500000006</v>
      </c>
      <c r="EO27" s="83">
        <v>513.95815000000005</v>
      </c>
      <c r="EP27" s="83">
        <v>879.862843</v>
      </c>
      <c r="EQ27" s="83">
        <v>595.53047900000001</v>
      </c>
      <c r="ER27" s="83">
        <v>0</v>
      </c>
      <c r="ES27" s="83">
        <v>1214.396489</v>
      </c>
      <c r="ET27" s="83">
        <v>521.50258799999995</v>
      </c>
      <c r="EU27" s="83">
        <v>895.05041400000005</v>
      </c>
      <c r="EV27" s="83">
        <v>566.99685299999999</v>
      </c>
      <c r="EW27" s="83">
        <v>961.12645499999996</v>
      </c>
      <c r="EX27" s="83">
        <v>651.38006199999995</v>
      </c>
      <c r="EY27" s="83">
        <v>0</v>
      </c>
      <c r="EZ27" s="83">
        <v>1159.5814379999999</v>
      </c>
      <c r="FA27" s="83">
        <v>534.74240999999995</v>
      </c>
      <c r="FB27" s="83">
        <v>910.15818999999999</v>
      </c>
      <c r="FC27" s="83">
        <v>581.01370299999996</v>
      </c>
      <c r="FD27" s="83">
        <v>976.34048199999995</v>
      </c>
      <c r="FE27" s="83">
        <v>663.20505900000001</v>
      </c>
      <c r="FF27" s="83">
        <v>0</v>
      </c>
      <c r="FG27" s="83">
        <v>1115.6655310000001</v>
      </c>
      <c r="FH27" s="83">
        <v>549.19648600000005</v>
      </c>
      <c r="FI27" s="83">
        <v>889.09124699999995</v>
      </c>
      <c r="FJ27" s="83">
        <v>594.60586999999998</v>
      </c>
      <c r="FK27" s="83">
        <v>957.66785200000004</v>
      </c>
      <c r="FL27" s="83">
        <v>623.97255099999995</v>
      </c>
      <c r="FM27" s="83">
        <v>0</v>
      </c>
      <c r="FN27" s="83">
        <v>1115.690634</v>
      </c>
      <c r="FO27" s="83">
        <v>464.412938</v>
      </c>
      <c r="FP27" s="83">
        <v>808.52081399999997</v>
      </c>
      <c r="FQ27" s="83">
        <v>502.74949800000002</v>
      </c>
      <c r="FR27" s="83">
        <v>869.36346100000003</v>
      </c>
      <c r="FS27" s="83">
        <v>590.20868900000005</v>
      </c>
      <c r="FT27" s="83">
        <v>0</v>
      </c>
      <c r="FU27" s="83">
        <v>1093.4741100000001</v>
      </c>
      <c r="FV27" s="83">
        <v>511.89588400000002</v>
      </c>
      <c r="FW27" s="83">
        <v>866.55093399999998</v>
      </c>
      <c r="FX27" s="83">
        <v>554.65078700000004</v>
      </c>
      <c r="FY27" s="83">
        <v>930.66189899999995</v>
      </c>
      <c r="FZ27" s="83">
        <v>627.93442400000004</v>
      </c>
      <c r="GA27" s="83">
        <v>0</v>
      </c>
      <c r="GB27" s="83">
        <v>1135.304713</v>
      </c>
      <c r="GC27" s="83">
        <v>484.08296000000001</v>
      </c>
      <c r="GD27" s="83">
        <v>825.77740300000005</v>
      </c>
      <c r="GE27" s="83">
        <v>523.79342199999996</v>
      </c>
      <c r="GF27" s="83">
        <v>888.06860099999994</v>
      </c>
      <c r="GG27" s="83">
        <v>597.438444</v>
      </c>
      <c r="GH27" s="83">
        <v>0</v>
      </c>
      <c r="GI27" s="83">
        <v>1053.7879459999999</v>
      </c>
      <c r="GJ27" s="83">
        <v>466.91894500000001</v>
      </c>
      <c r="GK27" s="83">
        <v>801.92374199999995</v>
      </c>
      <c r="GL27" s="83">
        <v>504.44698299999999</v>
      </c>
      <c r="GM27" s="83">
        <v>862.23397299999999</v>
      </c>
      <c r="GN27" s="83">
        <v>582.93449799999996</v>
      </c>
      <c r="GO27" s="83">
        <v>0</v>
      </c>
      <c r="GP27" s="83">
        <v>1122.427216</v>
      </c>
      <c r="GQ27" s="83">
        <v>494.33909</v>
      </c>
      <c r="GR27" s="83">
        <v>853.50651300000004</v>
      </c>
      <c r="GS27" s="83">
        <v>536.14717399999995</v>
      </c>
      <c r="GT27" s="83">
        <v>916.54995699999995</v>
      </c>
      <c r="GU27" s="83">
        <v>623.57142199999998</v>
      </c>
      <c r="GV27" s="83">
        <v>0</v>
      </c>
      <c r="GW27" s="83">
        <v>1170.290825</v>
      </c>
      <c r="GX27" s="83">
        <v>529.38341600000001</v>
      </c>
      <c r="GY27" s="83">
        <v>889.34732599999995</v>
      </c>
      <c r="GZ27" s="83">
        <v>574.05370000000005</v>
      </c>
      <c r="HA27" s="83">
        <v>955.05478700000003</v>
      </c>
      <c r="HB27" s="83">
        <v>642.26787000000002</v>
      </c>
      <c r="HC27" s="83">
        <v>0</v>
      </c>
      <c r="HD27" s="83">
        <v>1098.1388139999999</v>
      </c>
      <c r="HE27" s="83">
        <v>534.53013099999998</v>
      </c>
      <c r="HF27" s="83">
        <v>859.87305200000003</v>
      </c>
      <c r="HG27" s="83">
        <v>578.41265999999996</v>
      </c>
      <c r="HH27" s="83">
        <v>926.45038099999999</v>
      </c>
      <c r="HI27" s="83">
        <v>600.93487700000003</v>
      </c>
      <c r="HJ27" s="83">
        <v>0</v>
      </c>
      <c r="HK27" s="83">
        <v>1118.0423820000001</v>
      </c>
      <c r="HL27" s="83">
        <v>473.361378</v>
      </c>
      <c r="HM27" s="83">
        <v>798.97152900000003</v>
      </c>
      <c r="HN27" s="83">
        <v>511.70377400000001</v>
      </c>
      <c r="HO27" s="83">
        <v>859.09878800000001</v>
      </c>
      <c r="HP27" s="83">
        <v>575.89623400000005</v>
      </c>
      <c r="HQ27" s="83">
        <v>0</v>
      </c>
      <c r="HR27" s="83">
        <v>1122.0956209999999</v>
      </c>
      <c r="HS27" s="83">
        <v>502.54204199999998</v>
      </c>
      <c r="HT27" s="83">
        <v>863.08795299999997</v>
      </c>
      <c r="HU27" s="83">
        <v>545.39393399999994</v>
      </c>
      <c r="HV27" s="83">
        <v>927.367704</v>
      </c>
      <c r="HW27" s="83">
        <v>627.40240600000004</v>
      </c>
      <c r="HX27" s="83">
        <v>0</v>
      </c>
      <c r="HY27" s="83">
        <v>1229.7782130000001</v>
      </c>
      <c r="HZ27" s="83">
        <v>546.66065400000002</v>
      </c>
      <c r="IA27" s="83">
        <v>947.43528300000003</v>
      </c>
      <c r="IB27" s="83">
        <v>595.78667600000006</v>
      </c>
      <c r="IC27" s="83">
        <v>1014.586047</v>
      </c>
      <c r="ID27" s="83">
        <v>699.30444999999997</v>
      </c>
      <c r="IE27" s="83">
        <v>0</v>
      </c>
      <c r="IF27" s="83">
        <v>1193.217175</v>
      </c>
      <c r="IG27" s="83">
        <v>562.70122900000001</v>
      </c>
      <c r="IH27" s="83">
        <v>938.25829399999998</v>
      </c>
      <c r="II27" s="83">
        <v>611.64346799999998</v>
      </c>
      <c r="IJ27" s="83">
        <v>1007.474255</v>
      </c>
      <c r="IK27" s="83">
        <v>674.61380499999996</v>
      </c>
      <c r="IL27" s="83">
        <v>0</v>
      </c>
      <c r="IM27" s="83">
        <v>1211.864951</v>
      </c>
      <c r="IN27" s="83">
        <v>514.34618899999998</v>
      </c>
      <c r="IO27" s="83">
        <v>876.84179099999994</v>
      </c>
      <c r="IP27" s="83">
        <v>558.01822700000002</v>
      </c>
      <c r="IQ27" s="83">
        <v>941.44401700000003</v>
      </c>
      <c r="IR27" s="83">
        <v>637.55269099999998</v>
      </c>
      <c r="IS27" s="83">
        <v>0</v>
      </c>
      <c r="IT27" s="83">
        <v>1159.5340450000001</v>
      </c>
      <c r="IU27" s="83">
        <v>525.68599200000006</v>
      </c>
      <c r="IV27" s="83">
        <v>888.58266200000003</v>
      </c>
      <c r="IW27" s="83">
        <v>570.42790500000001</v>
      </c>
      <c r="IX27" s="83">
        <v>954.33243800000002</v>
      </c>
      <c r="IY27" s="83">
        <v>642.85666000000003</v>
      </c>
      <c r="IZ27" s="83">
        <v>0</v>
      </c>
      <c r="JA27" s="83">
        <v>1160.3972510000001</v>
      </c>
      <c r="JB27" s="83">
        <v>526.69766000000004</v>
      </c>
      <c r="JC27" s="83">
        <v>891.99604299999999</v>
      </c>
      <c r="JD27" s="83">
        <v>571.67333299999996</v>
      </c>
      <c r="JE27" s="83">
        <v>957.769992</v>
      </c>
      <c r="JF27" s="83">
        <v>646.40431100000001</v>
      </c>
      <c r="JG27" s="83">
        <v>0</v>
      </c>
      <c r="JH27" s="83">
        <v>1147.906144</v>
      </c>
      <c r="JI27" s="83">
        <v>574.52884600000004</v>
      </c>
      <c r="JJ27" s="83">
        <v>913.66356499999995</v>
      </c>
      <c r="JK27" s="83">
        <v>622.181062</v>
      </c>
      <c r="JL27" s="83">
        <v>984.74985300000003</v>
      </c>
      <c r="JM27" s="83">
        <v>634.016076</v>
      </c>
      <c r="JN27" s="83">
        <v>0.18048</v>
      </c>
      <c r="JO27" s="83">
        <v>1894.9761470000001</v>
      </c>
      <c r="JP27" s="83">
        <v>768.35894499999995</v>
      </c>
      <c r="JQ27" s="83">
        <v>1371.13428</v>
      </c>
      <c r="JR27" s="83">
        <v>800.68263899999999</v>
      </c>
      <c r="JS27" s="83">
        <v>0.13068299999999999</v>
      </c>
      <c r="JT27" s="83">
        <v>0.18217800000000001</v>
      </c>
      <c r="JU27" s="83">
        <v>674.96270300000003</v>
      </c>
      <c r="JV27" s="83">
        <v>716.96262200000001</v>
      </c>
      <c r="JW27" s="83">
        <v>729.84283800000003</v>
      </c>
      <c r="JX27" s="83">
        <v>716.63254500000005</v>
      </c>
      <c r="JY27" s="83">
        <v>701.82958699999995</v>
      </c>
      <c r="JZ27" s="83">
        <v>686.34447299999999</v>
      </c>
      <c r="KA27" s="83">
        <v>759.69587200000001</v>
      </c>
      <c r="KB27" s="83">
        <v>665.99175400000001</v>
      </c>
      <c r="KC27" s="83">
        <v>707.50120400000003</v>
      </c>
      <c r="KD27" s="83">
        <v>728.43664000000001</v>
      </c>
      <c r="KE27" s="83">
        <v>715.30035899999996</v>
      </c>
      <c r="KF27" s="83">
        <v>700.71114899999998</v>
      </c>
      <c r="KG27" s="83">
        <v>685.06423400000006</v>
      </c>
      <c r="KH27" s="83">
        <v>757.79339700000003</v>
      </c>
      <c r="KI27" s="83">
        <v>659.76275099999998</v>
      </c>
      <c r="KJ27" s="83">
        <v>701.75353399999995</v>
      </c>
      <c r="KK27" s="83">
        <v>715.29051400000003</v>
      </c>
      <c r="KL27" s="83">
        <v>702.19000900000003</v>
      </c>
      <c r="KM27" s="83">
        <v>685.77481899999998</v>
      </c>
      <c r="KN27" s="83">
        <v>672.37146800000005</v>
      </c>
      <c r="KO27" s="83">
        <v>749.04563399999995</v>
      </c>
      <c r="KP27" s="83">
        <v>616.30129399999998</v>
      </c>
      <c r="KQ27" s="83">
        <v>655.147426</v>
      </c>
      <c r="KR27" s="83">
        <v>669.88443199999995</v>
      </c>
      <c r="KS27" s="83">
        <v>658.47407099999998</v>
      </c>
      <c r="KT27" s="83">
        <v>644.47582599999998</v>
      </c>
      <c r="KU27" s="83">
        <v>630.342443</v>
      </c>
      <c r="KV27" s="83">
        <v>698.22964899999999</v>
      </c>
      <c r="KW27" s="83">
        <v>652.19889799999999</v>
      </c>
      <c r="KX27" s="83">
        <v>692.745721</v>
      </c>
      <c r="KY27" s="83">
        <v>707.26640799999996</v>
      </c>
      <c r="KZ27" s="83">
        <v>694.83593599999995</v>
      </c>
      <c r="LA27" s="83">
        <v>680.79424700000004</v>
      </c>
      <c r="LB27" s="83">
        <v>665.39816699999994</v>
      </c>
      <c r="LC27" s="83">
        <v>735.47407299999998</v>
      </c>
      <c r="LD27" s="83">
        <v>616.24925699999994</v>
      </c>
      <c r="LE27" s="83">
        <v>655.21521700000005</v>
      </c>
      <c r="LF27" s="83">
        <v>671.41768400000001</v>
      </c>
      <c r="LG27" s="83">
        <v>659.91749300000004</v>
      </c>
      <c r="LH27" s="83">
        <v>645.65018799999996</v>
      </c>
      <c r="LI27" s="83">
        <v>631.72481100000005</v>
      </c>
      <c r="LJ27" s="83">
        <v>700.38837000000001</v>
      </c>
      <c r="LK27" s="83">
        <v>613.34680000000003</v>
      </c>
      <c r="LL27" s="83">
        <v>652.41621899999996</v>
      </c>
      <c r="LM27" s="83">
        <v>667.34335299999998</v>
      </c>
      <c r="LN27" s="83">
        <v>655.84892400000001</v>
      </c>
      <c r="LO27" s="83">
        <v>641.10776899999996</v>
      </c>
      <c r="LP27" s="83">
        <v>627.75996199999997</v>
      </c>
      <c r="LQ27" s="83">
        <v>697.45444899999995</v>
      </c>
      <c r="LR27" s="83">
        <v>617.77897099999996</v>
      </c>
      <c r="LS27" s="83">
        <v>657.20529899999997</v>
      </c>
      <c r="LT27" s="83">
        <v>700.84039399999995</v>
      </c>
      <c r="LU27" s="83">
        <v>688.40011400000003</v>
      </c>
      <c r="LV27" s="83">
        <v>673.57063100000005</v>
      </c>
      <c r="LW27" s="83">
        <v>659.109915</v>
      </c>
      <c r="LX27" s="83">
        <v>730.93974000000003</v>
      </c>
      <c r="LY27" s="83">
        <v>658.23967300000004</v>
      </c>
      <c r="LZ27" s="83">
        <v>699.25782600000002</v>
      </c>
      <c r="MA27" s="83">
        <v>685.20586700000001</v>
      </c>
      <c r="MB27" s="83">
        <v>673.25378000000001</v>
      </c>
      <c r="MC27" s="83">
        <v>658.80628400000001</v>
      </c>
      <c r="MD27" s="83">
        <v>644.515175</v>
      </c>
      <c r="ME27" s="83">
        <v>714.50254399999994</v>
      </c>
      <c r="MF27" s="83">
        <v>640.85731099999998</v>
      </c>
      <c r="MG27" s="83">
        <v>680.95977900000003</v>
      </c>
      <c r="MH27" s="83">
        <v>696.69919200000004</v>
      </c>
      <c r="MI27" s="83">
        <v>684.51817300000005</v>
      </c>
      <c r="MJ27" s="83">
        <v>670.31867199999999</v>
      </c>
      <c r="MK27" s="83">
        <v>655.43402400000002</v>
      </c>
      <c r="ML27" s="83">
        <v>725.345327</v>
      </c>
      <c r="MM27" s="83">
        <v>600.85814700000003</v>
      </c>
      <c r="MN27" s="83">
        <v>638.98540700000001</v>
      </c>
      <c r="MO27" s="83">
        <v>690.82012799999995</v>
      </c>
      <c r="MP27" s="83">
        <v>678.87108599999999</v>
      </c>
      <c r="MQ27" s="83">
        <v>665.16361300000005</v>
      </c>
      <c r="MR27" s="83">
        <v>649.98591799999997</v>
      </c>
      <c r="MS27" s="83">
        <v>718.33840799999996</v>
      </c>
      <c r="MT27" s="83">
        <v>614.87781600000005</v>
      </c>
      <c r="MU27" s="83">
        <v>652.87253199999998</v>
      </c>
      <c r="MV27" s="83">
        <v>630.70878100000004</v>
      </c>
      <c r="MW27" s="83">
        <v>620.64973799999996</v>
      </c>
      <c r="MX27" s="83">
        <v>608.12180899999998</v>
      </c>
      <c r="MY27" s="83">
        <v>593.96085600000004</v>
      </c>
      <c r="MZ27" s="83">
        <v>655.83938799999999</v>
      </c>
      <c r="NA27" s="83">
        <v>607.09207000000004</v>
      </c>
      <c r="NB27" s="83">
        <v>645.597623</v>
      </c>
      <c r="NC27" s="83">
        <v>660.06476699999996</v>
      </c>
      <c r="ND27" s="83">
        <v>648.87167199999999</v>
      </c>
      <c r="NE27" s="83">
        <v>634.81631600000003</v>
      </c>
      <c r="NF27" s="83">
        <v>621.03174000000001</v>
      </c>
      <c r="NG27" s="83">
        <v>688.59863299999995</v>
      </c>
      <c r="NH27" s="83">
        <v>635.39125100000001</v>
      </c>
      <c r="NI27" s="83">
        <v>675.36857799999996</v>
      </c>
      <c r="NJ27" s="83">
        <v>682.05033000000003</v>
      </c>
      <c r="NK27" s="83">
        <v>670.18438000000003</v>
      </c>
      <c r="NL27" s="83">
        <v>655.89186299999994</v>
      </c>
      <c r="NM27" s="83">
        <v>641.52531699999997</v>
      </c>
      <c r="NN27" s="83">
        <v>710.99491399999999</v>
      </c>
      <c r="NO27" s="83">
        <v>641.93293400000005</v>
      </c>
      <c r="NP27" s="83">
        <v>681.88463400000001</v>
      </c>
      <c r="NQ27" s="83">
        <v>707.09965</v>
      </c>
      <c r="NR27" s="83">
        <v>694.71800800000005</v>
      </c>
      <c r="NS27" s="83">
        <v>681.16653899999994</v>
      </c>
      <c r="NT27" s="83">
        <v>665.24349299999994</v>
      </c>
      <c r="NU27" s="83">
        <v>734.14029300000004</v>
      </c>
      <c r="NV27" s="83">
        <v>596.23857899999996</v>
      </c>
      <c r="NW27" s="83">
        <v>633.83298100000002</v>
      </c>
      <c r="NX27" s="83">
        <v>647.566642</v>
      </c>
      <c r="NY27" s="83">
        <v>636.90427799999998</v>
      </c>
      <c r="NZ27" s="83">
        <v>623.37274500000001</v>
      </c>
      <c r="OA27" s="83">
        <v>609.64182300000004</v>
      </c>
      <c r="OB27" s="83">
        <v>674.96693700000003</v>
      </c>
      <c r="OC27" s="83">
        <v>580.04006800000002</v>
      </c>
      <c r="OD27" s="83">
        <v>617.06571799999995</v>
      </c>
      <c r="OE27" s="83">
        <v>663.43924200000004</v>
      </c>
      <c r="OF27" s="83">
        <v>652.27253099999996</v>
      </c>
      <c r="OG27" s="83">
        <v>638.88815799999998</v>
      </c>
      <c r="OH27" s="83">
        <v>624.32998099999998</v>
      </c>
      <c r="OI27" s="83">
        <v>690.36611600000003</v>
      </c>
      <c r="OJ27" s="83">
        <v>600.14896999999996</v>
      </c>
      <c r="OK27" s="83">
        <v>637.65216799999996</v>
      </c>
      <c r="OL27" s="83">
        <v>619.10795299999995</v>
      </c>
      <c r="OM27" s="83">
        <v>609.28471000000002</v>
      </c>
      <c r="ON27" s="83">
        <v>596.34047699999996</v>
      </c>
      <c r="OO27" s="83">
        <v>582.984419</v>
      </c>
      <c r="OP27" s="83">
        <v>645.29523099999994</v>
      </c>
      <c r="OQ27" s="83">
        <v>584.73374200000001</v>
      </c>
      <c r="OR27" s="83">
        <v>622.52387699999997</v>
      </c>
      <c r="OS27" s="83">
        <v>636.43547599999999</v>
      </c>
      <c r="OT27" s="83">
        <v>625.748469</v>
      </c>
      <c r="OU27" s="83">
        <v>610.90876800000001</v>
      </c>
      <c r="OV27" s="83">
        <v>598.72032999999999</v>
      </c>
      <c r="OW27" s="83">
        <v>666.97480499999995</v>
      </c>
      <c r="OX27" s="83">
        <v>629.74138100000005</v>
      </c>
      <c r="OY27" s="83">
        <v>668.67856500000005</v>
      </c>
      <c r="OZ27" s="83">
        <v>669.01829699999996</v>
      </c>
      <c r="PA27" s="83">
        <v>657.84382100000005</v>
      </c>
      <c r="PB27" s="83">
        <v>644.88925800000004</v>
      </c>
      <c r="PC27" s="83">
        <v>629.80382299999997</v>
      </c>
      <c r="PD27" s="83">
        <v>694.91006100000004</v>
      </c>
      <c r="PE27" s="83">
        <v>635.55350299999998</v>
      </c>
      <c r="PF27" s="83">
        <v>675.49968000000001</v>
      </c>
      <c r="PG27" s="83">
        <v>706.32589099999996</v>
      </c>
      <c r="PH27" s="83">
        <v>693.84087699999998</v>
      </c>
      <c r="PI27" s="83">
        <v>679.79415500000005</v>
      </c>
      <c r="PJ27" s="83">
        <v>664.33380099999999</v>
      </c>
      <c r="PK27" s="83">
        <v>734.53276300000005</v>
      </c>
      <c r="PL27" s="83">
        <v>617.19652900000006</v>
      </c>
      <c r="PM27" s="83">
        <v>655.98674000000005</v>
      </c>
      <c r="PN27" s="83">
        <v>670.67649700000004</v>
      </c>
      <c r="PO27" s="83">
        <v>659.28941099999997</v>
      </c>
      <c r="PP27" s="83">
        <v>645.44870400000002</v>
      </c>
      <c r="PQ27" s="83">
        <v>631.15558299999998</v>
      </c>
      <c r="PR27" s="83">
        <v>698.64814999999999</v>
      </c>
      <c r="PS27" s="83">
        <v>600.19752600000004</v>
      </c>
      <c r="PT27" s="83">
        <v>638.45074699999998</v>
      </c>
      <c r="PU27" s="83">
        <v>652.724018</v>
      </c>
      <c r="PV27" s="83">
        <v>641.71876099999997</v>
      </c>
      <c r="PW27" s="83">
        <v>627.26211999999998</v>
      </c>
      <c r="PX27" s="83">
        <v>614.20251099999996</v>
      </c>
      <c r="PY27" s="83">
        <v>682.26716899999997</v>
      </c>
      <c r="PZ27" s="83">
        <v>577.06306199999995</v>
      </c>
      <c r="QA27" s="83">
        <v>614.30823199999998</v>
      </c>
      <c r="QB27" s="83">
        <v>627.78075000000001</v>
      </c>
      <c r="QC27" s="83">
        <v>617.40941499999997</v>
      </c>
      <c r="QD27" s="83">
        <v>602.90588700000001</v>
      </c>
      <c r="QE27" s="83">
        <v>590.71991100000002</v>
      </c>
      <c r="QF27" s="83">
        <v>657.58688800000004</v>
      </c>
      <c r="QG27" s="83">
        <v>634.557232</v>
      </c>
      <c r="QH27" s="83">
        <v>674.07247500000005</v>
      </c>
      <c r="QI27" s="83">
        <v>689.33344</v>
      </c>
      <c r="QJ27" s="83">
        <v>677.46965499999999</v>
      </c>
      <c r="QK27" s="83">
        <v>663.94042100000001</v>
      </c>
      <c r="QL27" s="83">
        <v>648.65807800000005</v>
      </c>
      <c r="QM27" s="83">
        <v>716.44345399999997</v>
      </c>
      <c r="QN27" s="83">
        <v>627.42556000000002</v>
      </c>
      <c r="QO27" s="83">
        <v>666.93102599999997</v>
      </c>
      <c r="QP27" s="83">
        <v>682.19620799999996</v>
      </c>
      <c r="QQ27" s="83">
        <v>670.39081199999998</v>
      </c>
      <c r="QR27" s="83">
        <v>656.16087100000004</v>
      </c>
      <c r="QS27" s="83">
        <v>641.79713300000003</v>
      </c>
    </row>
    <row r="28" spans="6:461" x14ac:dyDescent="0.25">
      <c r="F28" s="82" t="str">
        <f xml:space="preserve"> _xll.EPMOlapMemberO("[PRDDESCR].[].[HELGAS GFREE WHOLEM 500G]","","HELGAS GFREE WHOLEM 500G","","000")</f>
        <v>HELGAS GFREE WHOLEM 500G</v>
      </c>
      <c r="G28" s="82" t="str">
        <f xml:space="preserve"> _xll.EPMOlapMemberO("[PRDID].[].[168848]","","168848","","000")</f>
        <v>168848</v>
      </c>
      <c r="H28" s="82" t="str">
        <f xml:space="preserve"> _xll.EPMOlapMemberO("[LOCID].[].[6120]","","6120","","000")</f>
        <v>6120</v>
      </c>
      <c r="I28" s="82" t="str">
        <f xml:space="preserve"> _xll.EPMOlapMemberO("[LOCDESCR].[].[QBA-Hobart]","","QBA-Hobart","","000")</f>
        <v>QBA-Hobart</v>
      </c>
      <c r="J28" s="82" t="str">
        <f xml:space="preserve"> _xll.EPMOlapMemberO("[KEY_FIGURES].[].[ZGFAPPROVEDFCSTQTY]","","Approved Forecast","","000")</f>
        <v>Approved Forecast</v>
      </c>
      <c r="K28" s="83">
        <v>0.38028400000000001</v>
      </c>
      <c r="L28" s="83">
        <v>153.551999</v>
      </c>
      <c r="M28" s="83">
        <v>0</v>
      </c>
      <c r="N28" s="83">
        <v>0</v>
      </c>
      <c r="O28" s="83">
        <v>136.467522</v>
      </c>
      <c r="P28" s="83">
        <v>0.30422700000000003</v>
      </c>
      <c r="Q28" s="83">
        <v>95.249626000000006</v>
      </c>
      <c r="R28" s="83">
        <v>0.373002</v>
      </c>
      <c r="S28" s="83">
        <v>152.323531</v>
      </c>
      <c r="T28" s="83">
        <v>0</v>
      </c>
      <c r="U28" s="83">
        <v>0</v>
      </c>
      <c r="V28" s="83">
        <v>151.18955399999999</v>
      </c>
      <c r="W28" s="83">
        <v>0.30165999999999998</v>
      </c>
      <c r="X28" s="83">
        <v>122.848293</v>
      </c>
      <c r="Y28" s="83">
        <v>0.361655</v>
      </c>
      <c r="Z28" s="83">
        <v>181.855694</v>
      </c>
      <c r="AA28" s="83">
        <v>0</v>
      </c>
      <c r="AB28" s="83">
        <v>0</v>
      </c>
      <c r="AC28" s="83">
        <v>163.53119699999999</v>
      </c>
      <c r="AD28" s="83">
        <v>0.29248499999999999</v>
      </c>
      <c r="AE28" s="83">
        <v>131.116255</v>
      </c>
      <c r="AF28" s="83">
        <v>0.37075999999999998</v>
      </c>
      <c r="AG28" s="83">
        <v>192.01855900000001</v>
      </c>
      <c r="AH28" s="83">
        <v>0</v>
      </c>
      <c r="AI28" s="83">
        <v>0</v>
      </c>
      <c r="AJ28" s="83">
        <v>162.72420700000001</v>
      </c>
      <c r="AK28" s="83">
        <v>0.29984899999999998</v>
      </c>
      <c r="AL28" s="83">
        <v>151.27418399999999</v>
      </c>
      <c r="AM28" s="83">
        <v>0.49648799999999998</v>
      </c>
      <c r="AN28" s="83">
        <v>230.243166</v>
      </c>
      <c r="AO28" s="83">
        <v>0</v>
      </c>
      <c r="AP28" s="83">
        <v>0</v>
      </c>
      <c r="AQ28" s="83">
        <v>198.363833</v>
      </c>
      <c r="AR28" s="83">
        <v>0.38842700000000002</v>
      </c>
      <c r="AS28" s="83">
        <v>150.52749499999999</v>
      </c>
      <c r="AT28" s="83">
        <v>0.48028599999999999</v>
      </c>
      <c r="AU28" s="83">
        <v>227.365432</v>
      </c>
      <c r="AV28" s="83">
        <v>0</v>
      </c>
      <c r="AW28" s="83">
        <v>0</v>
      </c>
      <c r="AX28" s="83">
        <v>200.33240699999999</v>
      </c>
      <c r="AY28" s="83">
        <v>0.38597399999999998</v>
      </c>
      <c r="AZ28" s="83">
        <v>149.43256500000001</v>
      </c>
      <c r="BA28" s="83">
        <v>0.47725200000000001</v>
      </c>
      <c r="BB28" s="83">
        <v>225.757102</v>
      </c>
      <c r="BC28" s="83">
        <v>0</v>
      </c>
      <c r="BD28" s="83">
        <v>0</v>
      </c>
      <c r="BE28" s="83">
        <v>176.86850699999999</v>
      </c>
      <c r="BF28" s="83">
        <v>0.31967600000000002</v>
      </c>
      <c r="BG28" s="83">
        <v>149.22985199999999</v>
      </c>
      <c r="BH28" s="83">
        <v>0.33049200000000001</v>
      </c>
      <c r="BI28" s="83">
        <v>181.01660000000001</v>
      </c>
      <c r="BJ28" s="83">
        <v>0</v>
      </c>
      <c r="BK28" s="83">
        <v>0</v>
      </c>
      <c r="BL28" s="83">
        <v>166.61688699999999</v>
      </c>
      <c r="BM28" s="83">
        <v>0.26312099999999999</v>
      </c>
      <c r="BN28" s="83">
        <v>146.90554900000001</v>
      </c>
      <c r="BO28" s="83">
        <v>0.37166700000000003</v>
      </c>
      <c r="BP28" s="83">
        <v>187.57723100000001</v>
      </c>
      <c r="BQ28" s="83">
        <v>0</v>
      </c>
      <c r="BR28" s="83">
        <v>0</v>
      </c>
      <c r="BS28" s="83">
        <v>197.71544299999999</v>
      </c>
      <c r="BT28" s="83">
        <v>0.342061</v>
      </c>
      <c r="BU28" s="83">
        <v>178.70689400000001</v>
      </c>
      <c r="BV28" s="83">
        <v>0.39554600000000001</v>
      </c>
      <c r="BW28" s="83">
        <v>216.777658</v>
      </c>
      <c r="BX28" s="83">
        <v>0</v>
      </c>
      <c r="BY28" s="83">
        <v>0</v>
      </c>
      <c r="BZ28" s="83">
        <v>143.02053100000001</v>
      </c>
      <c r="CA28" s="83">
        <v>0.24718200000000001</v>
      </c>
      <c r="CB28" s="83">
        <v>118.091796</v>
      </c>
      <c r="CC28" s="83">
        <v>0.34915499999999999</v>
      </c>
      <c r="CD28" s="83">
        <v>154.18090100000001</v>
      </c>
      <c r="CE28" s="83">
        <v>0</v>
      </c>
      <c r="CF28" s="83">
        <v>0</v>
      </c>
      <c r="CG28" s="83">
        <v>199.46092200000001</v>
      </c>
      <c r="CH28" s="83">
        <v>0.36203099999999999</v>
      </c>
      <c r="CI28" s="83">
        <v>178.06218100000001</v>
      </c>
      <c r="CJ28" s="83">
        <v>0.41863899999999998</v>
      </c>
      <c r="CK28" s="83">
        <v>217.17689799999999</v>
      </c>
      <c r="CL28" s="83">
        <v>0</v>
      </c>
      <c r="CM28" s="83">
        <v>0</v>
      </c>
      <c r="CN28" s="83">
        <v>218.35202699999999</v>
      </c>
      <c r="CO28" s="83">
        <v>0.32820100000000002</v>
      </c>
      <c r="CP28" s="83">
        <v>194.30532099999999</v>
      </c>
      <c r="CQ28" s="83">
        <v>0.45111899999999999</v>
      </c>
      <c r="CR28" s="83">
        <v>243.33193900000001</v>
      </c>
      <c r="CS28" s="83">
        <v>3.0247E-2</v>
      </c>
      <c r="CT28" s="83">
        <v>3.0248000000000001E-2</v>
      </c>
      <c r="CU28" s="83">
        <v>250.61834400000001</v>
      </c>
      <c r="CV28" s="83">
        <v>0.34052399999999999</v>
      </c>
      <c r="CW28" s="83">
        <v>252.24960200000001</v>
      </c>
      <c r="CX28" s="83">
        <v>0.39376699999999998</v>
      </c>
      <c r="CY28" s="83">
        <v>298.02660600000002</v>
      </c>
      <c r="CZ28" s="83">
        <v>0</v>
      </c>
      <c r="DA28" s="83">
        <v>0</v>
      </c>
      <c r="DB28" s="83">
        <v>235.52253300000001</v>
      </c>
      <c r="DC28" s="83">
        <v>0.297931</v>
      </c>
      <c r="DD28" s="83">
        <v>202.26215099999999</v>
      </c>
      <c r="DE28" s="83">
        <v>0.42084300000000002</v>
      </c>
      <c r="DF28" s="83">
        <v>252.13663600000001</v>
      </c>
      <c r="DG28" s="83">
        <v>0</v>
      </c>
      <c r="DH28" s="83">
        <v>0</v>
      </c>
      <c r="DI28" s="83">
        <v>224.0539</v>
      </c>
      <c r="DJ28" s="83">
        <v>0.317857</v>
      </c>
      <c r="DK28" s="83">
        <v>211.66147799999999</v>
      </c>
      <c r="DL28" s="83">
        <v>0.36755599999999999</v>
      </c>
      <c r="DM28" s="83">
        <v>251.88996900000001</v>
      </c>
      <c r="DN28" s="83">
        <v>0</v>
      </c>
      <c r="DO28" s="83">
        <v>0</v>
      </c>
      <c r="DP28" s="83">
        <v>227.17121299999999</v>
      </c>
      <c r="DQ28" s="83">
        <v>0.290773</v>
      </c>
      <c r="DR28" s="83">
        <v>197.567924</v>
      </c>
      <c r="DS28" s="83">
        <v>0.41072700000000001</v>
      </c>
      <c r="DT28" s="83">
        <v>246.23694</v>
      </c>
      <c r="DU28" s="83">
        <v>0</v>
      </c>
      <c r="DV28" s="83">
        <v>0</v>
      </c>
      <c r="DW28" s="83">
        <v>197.98931999999999</v>
      </c>
      <c r="DX28" s="83">
        <v>0.27529599999999999</v>
      </c>
      <c r="DY28" s="83">
        <v>195.17792800000001</v>
      </c>
      <c r="DZ28" s="83">
        <v>0.31833899999999998</v>
      </c>
      <c r="EA28" s="83">
        <v>231.28143299999999</v>
      </c>
      <c r="EB28" s="83">
        <v>0</v>
      </c>
      <c r="EC28" s="83">
        <v>0</v>
      </c>
      <c r="ED28" s="83">
        <v>220.02016599999999</v>
      </c>
      <c r="EE28" s="83">
        <v>0.28894999999999998</v>
      </c>
      <c r="EF28" s="83">
        <v>197.78433799999999</v>
      </c>
      <c r="EG28" s="83">
        <v>0.40815299999999999</v>
      </c>
      <c r="EH28" s="83">
        <v>246.327471</v>
      </c>
      <c r="EI28" s="83">
        <v>0</v>
      </c>
      <c r="EJ28" s="83">
        <v>0</v>
      </c>
      <c r="EK28" s="83">
        <v>201.40938700000001</v>
      </c>
      <c r="EL28" s="83">
        <v>0.28688900000000001</v>
      </c>
      <c r="EM28" s="83">
        <v>190.11766399999999</v>
      </c>
      <c r="EN28" s="83">
        <v>0.33174599999999999</v>
      </c>
      <c r="EO28" s="83">
        <v>226.328723</v>
      </c>
      <c r="EP28" s="83">
        <v>0</v>
      </c>
      <c r="EQ28" s="83">
        <v>0</v>
      </c>
      <c r="ER28" s="83">
        <v>221.73345800000001</v>
      </c>
      <c r="ES28" s="83">
        <v>0.28118799999999999</v>
      </c>
      <c r="ET28" s="83">
        <v>190.675712</v>
      </c>
      <c r="EU28" s="83">
        <v>0.39718900000000001</v>
      </c>
      <c r="EV28" s="83">
        <v>237.70016000000001</v>
      </c>
      <c r="EW28" s="83">
        <v>0</v>
      </c>
      <c r="EX28" s="83">
        <v>0</v>
      </c>
      <c r="EY28" s="83">
        <v>222.546176</v>
      </c>
      <c r="EZ28" s="83">
        <v>0.33249899999999999</v>
      </c>
      <c r="FA28" s="83">
        <v>221.526422</v>
      </c>
      <c r="FB28" s="83">
        <v>0.38162200000000002</v>
      </c>
      <c r="FC28" s="83">
        <v>262.59609999999998</v>
      </c>
      <c r="FD28" s="83">
        <v>1.8352E-2</v>
      </c>
      <c r="FE28" s="83">
        <v>1.8352E-2</v>
      </c>
      <c r="FF28" s="83">
        <v>211.938547</v>
      </c>
      <c r="FG28" s="83">
        <v>0.27988600000000002</v>
      </c>
      <c r="FH28" s="83">
        <v>226.24790899999999</v>
      </c>
      <c r="FI28" s="83">
        <v>0.55643900000000002</v>
      </c>
      <c r="FJ28" s="83">
        <v>287.19448899999998</v>
      </c>
      <c r="FK28" s="83">
        <v>9.1269999999999997E-3</v>
      </c>
      <c r="FL28" s="83">
        <v>9.1280000000000007E-3</v>
      </c>
      <c r="FM28" s="83">
        <v>214.84836999999999</v>
      </c>
      <c r="FN28" s="83">
        <v>0.352993</v>
      </c>
      <c r="FO28" s="83">
        <v>164.36601999999999</v>
      </c>
      <c r="FP28" s="83">
        <v>0.28523799999999999</v>
      </c>
      <c r="FQ28" s="83">
        <v>195.59645</v>
      </c>
      <c r="FR28" s="83">
        <v>0</v>
      </c>
      <c r="FS28" s="83">
        <v>0</v>
      </c>
      <c r="FT28" s="83">
        <v>212.88977700000001</v>
      </c>
      <c r="FU28" s="83">
        <v>0.25861200000000001</v>
      </c>
      <c r="FV28" s="83">
        <v>210.232643</v>
      </c>
      <c r="FW28" s="83">
        <v>0.36529600000000001</v>
      </c>
      <c r="FX28" s="83">
        <v>257.18347</v>
      </c>
      <c r="FY28" s="83">
        <v>0</v>
      </c>
      <c r="FZ28" s="83">
        <v>0</v>
      </c>
      <c r="GA28" s="83">
        <v>256.74584099999998</v>
      </c>
      <c r="GB28" s="83">
        <v>0.31558900000000001</v>
      </c>
      <c r="GC28" s="83">
        <v>231.57801699999999</v>
      </c>
      <c r="GD28" s="83">
        <v>0.36493399999999998</v>
      </c>
      <c r="GE28" s="83">
        <v>273.79925300000002</v>
      </c>
      <c r="GF28" s="83">
        <v>0</v>
      </c>
      <c r="GG28" s="83">
        <v>0</v>
      </c>
      <c r="GH28" s="83">
        <v>155.91484600000001</v>
      </c>
      <c r="GI28" s="83">
        <v>0.18369099999999999</v>
      </c>
      <c r="GJ28" s="83">
        <v>143.87618800000001</v>
      </c>
      <c r="GK28" s="83">
        <v>0.25947100000000001</v>
      </c>
      <c r="GL28" s="83">
        <v>176.666042</v>
      </c>
      <c r="GM28" s="83">
        <v>0</v>
      </c>
      <c r="GN28" s="83">
        <v>0</v>
      </c>
      <c r="GO28" s="83">
        <v>207.82908900000001</v>
      </c>
      <c r="GP28" s="83">
        <v>0.26049699999999998</v>
      </c>
      <c r="GQ28" s="83">
        <v>199.20370500000001</v>
      </c>
      <c r="GR28" s="83">
        <v>0.30122500000000002</v>
      </c>
      <c r="GS28" s="83">
        <v>234.88475399999999</v>
      </c>
      <c r="GT28" s="83">
        <v>0</v>
      </c>
      <c r="GU28" s="83">
        <v>0</v>
      </c>
      <c r="GV28" s="83">
        <v>179.46282199999999</v>
      </c>
      <c r="GW28" s="83">
        <v>0.21679200000000001</v>
      </c>
      <c r="GX28" s="83">
        <v>166.00754499999999</v>
      </c>
      <c r="GY28" s="83">
        <v>0.30622700000000003</v>
      </c>
      <c r="GZ28" s="83">
        <v>204.302447</v>
      </c>
      <c r="HA28" s="83">
        <v>0</v>
      </c>
      <c r="HB28" s="83">
        <v>0</v>
      </c>
      <c r="HC28" s="83">
        <v>204.69734700000001</v>
      </c>
      <c r="HD28" s="83">
        <v>0.27207599999999998</v>
      </c>
      <c r="HE28" s="83">
        <v>229.957684</v>
      </c>
      <c r="HF28" s="83">
        <v>0.444801</v>
      </c>
      <c r="HG28" s="83">
        <v>275.85432100000003</v>
      </c>
      <c r="HH28" s="83">
        <v>0</v>
      </c>
      <c r="HI28" s="83">
        <v>0</v>
      </c>
      <c r="HJ28" s="83">
        <v>221.409434</v>
      </c>
      <c r="HK28" s="83">
        <v>0.31412299999999999</v>
      </c>
      <c r="HL28" s="83">
        <v>170.04604699999999</v>
      </c>
      <c r="HM28" s="83">
        <v>0.313859</v>
      </c>
      <c r="HN28" s="83">
        <v>208.71233100000001</v>
      </c>
      <c r="HO28" s="83">
        <v>8.4840000000000002E-3</v>
      </c>
      <c r="HP28" s="83">
        <v>8.4840000000000002E-3</v>
      </c>
      <c r="HQ28" s="83">
        <v>187.10018700000001</v>
      </c>
      <c r="HR28" s="83">
        <v>0.26330999999999999</v>
      </c>
      <c r="HS28" s="83">
        <v>174.398144</v>
      </c>
      <c r="HT28" s="83">
        <v>0.30447999999999997</v>
      </c>
      <c r="HU28" s="83">
        <v>207.60227800000001</v>
      </c>
      <c r="HV28" s="83">
        <v>0</v>
      </c>
      <c r="HW28" s="83">
        <v>0</v>
      </c>
      <c r="HX28" s="83">
        <v>235.314795</v>
      </c>
      <c r="HY28" s="83">
        <v>0.27501900000000001</v>
      </c>
      <c r="HZ28" s="83">
        <v>221.30786900000001</v>
      </c>
      <c r="IA28" s="83">
        <v>0.38847599999999999</v>
      </c>
      <c r="IB28" s="83">
        <v>271.028164</v>
      </c>
      <c r="IC28" s="83">
        <v>0</v>
      </c>
      <c r="ID28" s="83">
        <v>0</v>
      </c>
      <c r="IE28" s="83">
        <v>250.43125499999999</v>
      </c>
      <c r="IF28" s="83">
        <v>0.336727</v>
      </c>
      <c r="IG28" s="83">
        <v>269.68650500000001</v>
      </c>
      <c r="IH28" s="83">
        <v>0.50620600000000004</v>
      </c>
      <c r="II28" s="83">
        <v>322.76872600000002</v>
      </c>
      <c r="IJ28" s="83">
        <v>0</v>
      </c>
      <c r="IK28" s="83">
        <v>0</v>
      </c>
      <c r="IL28" s="83">
        <v>224.483148</v>
      </c>
      <c r="IM28" s="83">
        <v>0.29626200000000003</v>
      </c>
      <c r="IN28" s="83">
        <v>177.64209199999999</v>
      </c>
      <c r="IO28" s="83">
        <v>0.32189699999999999</v>
      </c>
      <c r="IP28" s="83">
        <v>218.20650699999999</v>
      </c>
      <c r="IQ28" s="83">
        <v>0</v>
      </c>
      <c r="IR28" s="83">
        <v>0</v>
      </c>
      <c r="IS28" s="83">
        <v>209.59480300000001</v>
      </c>
      <c r="IT28" s="83">
        <v>0.28722300000000001</v>
      </c>
      <c r="IU28" s="83">
        <v>203.10654700000001</v>
      </c>
      <c r="IV28" s="83">
        <v>0.33213399999999998</v>
      </c>
      <c r="IW28" s="83">
        <v>240.71822</v>
      </c>
      <c r="IX28" s="83">
        <v>0</v>
      </c>
      <c r="IY28" s="83">
        <v>0</v>
      </c>
      <c r="IZ28" s="83">
        <v>259.479872</v>
      </c>
      <c r="JA28" s="83">
        <v>0.328156</v>
      </c>
      <c r="JB28" s="83">
        <v>239.31662299999999</v>
      </c>
      <c r="JC28" s="83">
        <v>0.46353100000000003</v>
      </c>
      <c r="JD28" s="83">
        <v>295.97848099999999</v>
      </c>
      <c r="JE28" s="83">
        <v>0</v>
      </c>
      <c r="JF28" s="83">
        <v>0</v>
      </c>
      <c r="JG28" s="83">
        <v>213.55354800000001</v>
      </c>
      <c r="JH28" s="83">
        <v>0.27685900000000002</v>
      </c>
      <c r="JI28" s="83">
        <v>245.04326399999999</v>
      </c>
      <c r="JJ28" s="83">
        <v>0.48453400000000002</v>
      </c>
      <c r="JK28" s="83">
        <v>294.45950299999998</v>
      </c>
      <c r="JL28" s="83">
        <v>0</v>
      </c>
      <c r="JM28" s="83">
        <v>0</v>
      </c>
      <c r="JN28" s="83">
        <v>128.23420200000001</v>
      </c>
      <c r="JO28" s="83">
        <v>0.22859499999999999</v>
      </c>
      <c r="JP28" s="83">
        <v>83.978013000000004</v>
      </c>
      <c r="JQ28" s="83">
        <v>0.21134800000000001</v>
      </c>
      <c r="JR28" s="83">
        <v>109.10384000000001</v>
      </c>
      <c r="JS28" s="83">
        <v>87.045452999999995</v>
      </c>
      <c r="JT28" s="83">
        <v>87.045450000000002</v>
      </c>
      <c r="JU28" s="83">
        <v>70.686567999999994</v>
      </c>
      <c r="JV28" s="83">
        <v>68.295946000000001</v>
      </c>
      <c r="JW28" s="83">
        <v>81.297071000000003</v>
      </c>
      <c r="JX28" s="83">
        <v>65.123710000000003</v>
      </c>
      <c r="JY28" s="83">
        <v>65.182817999999997</v>
      </c>
      <c r="JZ28" s="83">
        <v>65.246578</v>
      </c>
      <c r="KA28" s="83">
        <v>65.193644000000006</v>
      </c>
      <c r="KB28" s="83">
        <v>71.232101999999998</v>
      </c>
      <c r="KC28" s="83">
        <v>65.255927999999997</v>
      </c>
      <c r="KD28" s="83">
        <v>76.152484000000001</v>
      </c>
      <c r="KE28" s="83">
        <v>71.373332000000005</v>
      </c>
      <c r="KF28" s="83">
        <v>65.766032999999993</v>
      </c>
      <c r="KG28" s="83">
        <v>65.569522000000006</v>
      </c>
      <c r="KH28" s="83">
        <v>65.569513000000001</v>
      </c>
      <c r="KI28" s="83">
        <v>60.607748999999998</v>
      </c>
      <c r="KJ28" s="83">
        <v>58.422541000000002</v>
      </c>
      <c r="KK28" s="83">
        <v>68.962209999999999</v>
      </c>
      <c r="KL28" s="83">
        <v>55.859597999999998</v>
      </c>
      <c r="KM28" s="83">
        <v>55.938764999999997</v>
      </c>
      <c r="KN28" s="83">
        <v>55.966501999999998</v>
      </c>
      <c r="KO28" s="83">
        <v>55.915636999999997</v>
      </c>
      <c r="KP28" s="83">
        <v>69.883211000000003</v>
      </c>
      <c r="KQ28" s="83">
        <v>64.004814999999994</v>
      </c>
      <c r="KR28" s="83">
        <v>74.644001000000003</v>
      </c>
      <c r="KS28" s="83">
        <v>69.861599999999996</v>
      </c>
      <c r="KT28" s="83">
        <v>64.325406999999998</v>
      </c>
      <c r="KU28" s="83">
        <v>64.124055999999996</v>
      </c>
      <c r="KV28" s="83">
        <v>64.071146999999996</v>
      </c>
      <c r="KW28" s="83">
        <v>78.855394000000004</v>
      </c>
      <c r="KX28" s="83">
        <v>75.859128999999996</v>
      </c>
      <c r="KY28" s="83">
        <v>89.264291999999998</v>
      </c>
      <c r="KZ28" s="83">
        <v>72.624127999999999</v>
      </c>
      <c r="LA28" s="83">
        <v>72.653361000000004</v>
      </c>
      <c r="LB28" s="83">
        <v>72.695355000000006</v>
      </c>
      <c r="LC28" s="83">
        <v>72.695352</v>
      </c>
      <c r="LD28" s="83">
        <v>66.883195000000001</v>
      </c>
      <c r="LE28" s="83">
        <v>61.320444000000002</v>
      </c>
      <c r="LF28" s="83">
        <v>71.759801999999993</v>
      </c>
      <c r="LG28" s="83">
        <v>67.157511</v>
      </c>
      <c r="LH28" s="83">
        <v>61.820596999999999</v>
      </c>
      <c r="LI28" s="83">
        <v>61.62764</v>
      </c>
      <c r="LJ28" s="83">
        <v>61.577047999999998</v>
      </c>
      <c r="LK28" s="83">
        <v>73.154675999999995</v>
      </c>
      <c r="LL28" s="83">
        <v>70.542749000000001</v>
      </c>
      <c r="LM28" s="83">
        <v>84.032486000000006</v>
      </c>
      <c r="LN28" s="83">
        <v>67.612668999999997</v>
      </c>
      <c r="LO28" s="83">
        <v>67.687771999999995</v>
      </c>
      <c r="LP28" s="83">
        <v>67.740959000000004</v>
      </c>
      <c r="LQ28" s="83">
        <v>67.683364999999995</v>
      </c>
      <c r="LR28" s="83">
        <v>74.185063</v>
      </c>
      <c r="LS28" s="83">
        <v>67.910655000000006</v>
      </c>
      <c r="LT28" s="83">
        <v>82.182547</v>
      </c>
      <c r="LU28" s="83">
        <v>76.989512000000005</v>
      </c>
      <c r="LV28" s="83">
        <v>70.836787000000001</v>
      </c>
      <c r="LW28" s="83">
        <v>70.628532000000007</v>
      </c>
      <c r="LX28" s="83">
        <v>70.628525999999994</v>
      </c>
      <c r="LY28" s="83">
        <v>75.543138999999996</v>
      </c>
      <c r="LZ28" s="83">
        <v>72.836746000000005</v>
      </c>
      <c r="MA28" s="83">
        <v>83.373271000000003</v>
      </c>
      <c r="MB28" s="83">
        <v>67.04486</v>
      </c>
      <c r="MC28" s="83">
        <v>67.117610999999997</v>
      </c>
      <c r="MD28" s="83">
        <v>67.171982</v>
      </c>
      <c r="ME28" s="83">
        <v>67.115195999999997</v>
      </c>
      <c r="MF28" s="83">
        <v>75.910058000000006</v>
      </c>
      <c r="MG28" s="83">
        <v>69.582622999999998</v>
      </c>
      <c r="MH28" s="83">
        <v>80.634534000000002</v>
      </c>
      <c r="MI28" s="83">
        <v>75.580329000000006</v>
      </c>
      <c r="MJ28" s="83">
        <v>69.949100000000001</v>
      </c>
      <c r="MK28" s="83">
        <v>69.717170999999993</v>
      </c>
      <c r="ML28" s="83">
        <v>69.653650999999996</v>
      </c>
      <c r="MM28" s="83">
        <v>68.863978000000003</v>
      </c>
      <c r="MN28" s="83">
        <v>66.564406000000005</v>
      </c>
      <c r="MO28" s="83">
        <v>83.371736999999996</v>
      </c>
      <c r="MP28" s="83">
        <v>66.999138000000002</v>
      </c>
      <c r="MQ28" s="83">
        <v>66.997663000000003</v>
      </c>
      <c r="MR28" s="83">
        <v>67.070065999999997</v>
      </c>
      <c r="MS28" s="83">
        <v>67.070058000000003</v>
      </c>
      <c r="MT28" s="83">
        <v>77.699786000000003</v>
      </c>
      <c r="MU28" s="83">
        <v>71.304815000000005</v>
      </c>
      <c r="MV28" s="83">
        <v>78.621038999999996</v>
      </c>
      <c r="MW28" s="83">
        <v>73.578710000000001</v>
      </c>
      <c r="MX28" s="83">
        <v>67.731628000000001</v>
      </c>
      <c r="MY28" s="83">
        <v>67.520205000000004</v>
      </c>
      <c r="MZ28" s="83">
        <v>67.464769000000004</v>
      </c>
      <c r="NA28" s="83">
        <v>73.345729000000006</v>
      </c>
      <c r="NB28" s="83">
        <v>70.812848000000002</v>
      </c>
      <c r="NC28" s="83">
        <v>84.697221999999996</v>
      </c>
      <c r="ND28" s="83">
        <v>67.775677999999999</v>
      </c>
      <c r="NE28" s="83">
        <v>67.833872999999997</v>
      </c>
      <c r="NF28" s="83">
        <v>67.903358999999995</v>
      </c>
      <c r="NG28" s="83">
        <v>67.848916000000003</v>
      </c>
      <c r="NH28" s="83">
        <v>74.911777999999998</v>
      </c>
      <c r="NI28" s="83">
        <v>68.656788000000006</v>
      </c>
      <c r="NJ28" s="83">
        <v>78.532059000000004</v>
      </c>
      <c r="NK28" s="83">
        <v>73.628623000000005</v>
      </c>
      <c r="NL28" s="83">
        <v>67.917764000000005</v>
      </c>
      <c r="NM28" s="83">
        <v>67.712404000000006</v>
      </c>
      <c r="NN28" s="83">
        <v>67.712399000000005</v>
      </c>
      <c r="NO28" s="83">
        <v>85.066987999999995</v>
      </c>
      <c r="NP28" s="83">
        <v>82.238254999999995</v>
      </c>
      <c r="NQ28" s="83">
        <v>99.528619000000006</v>
      </c>
      <c r="NR28" s="83">
        <v>79.738809000000003</v>
      </c>
      <c r="NS28" s="83">
        <v>79.811661000000001</v>
      </c>
      <c r="NT28" s="83">
        <v>79.889268999999999</v>
      </c>
      <c r="NU28" s="83">
        <v>79.824365999999998</v>
      </c>
      <c r="NV28" s="83">
        <v>75.577619999999996</v>
      </c>
      <c r="NW28" s="83">
        <v>69.160259999999994</v>
      </c>
      <c r="NX28" s="83">
        <v>81.188903999999994</v>
      </c>
      <c r="NY28" s="83">
        <v>75.871251000000001</v>
      </c>
      <c r="NZ28" s="83">
        <v>69.488113999999996</v>
      </c>
      <c r="OA28" s="83">
        <v>69.284041000000002</v>
      </c>
      <c r="OB28" s="83">
        <v>69.233078000000006</v>
      </c>
      <c r="OC28" s="83">
        <v>75.918744000000004</v>
      </c>
      <c r="OD28" s="83">
        <v>73.293654000000004</v>
      </c>
      <c r="OE28" s="83">
        <v>91.481931000000003</v>
      </c>
      <c r="OF28" s="83">
        <v>73.915458999999998</v>
      </c>
      <c r="OG28" s="83">
        <v>73.927656999999996</v>
      </c>
      <c r="OH28" s="83">
        <v>73.991169999999997</v>
      </c>
      <c r="OI28" s="83">
        <v>73.991174999999998</v>
      </c>
      <c r="OJ28" s="83">
        <v>83.090334999999996</v>
      </c>
      <c r="OK28" s="83">
        <v>76.162610999999998</v>
      </c>
      <c r="OL28" s="83">
        <v>85.348461999999998</v>
      </c>
      <c r="OM28" s="83">
        <v>79.742137</v>
      </c>
      <c r="ON28" s="83">
        <v>72.981364999999997</v>
      </c>
      <c r="OO28" s="83">
        <v>72.768928000000002</v>
      </c>
      <c r="OP28" s="83">
        <v>72.716273999999999</v>
      </c>
      <c r="OQ28" s="83">
        <v>78.029145</v>
      </c>
      <c r="OR28" s="83">
        <v>75.413730000000001</v>
      </c>
      <c r="OS28" s="83">
        <v>90.516163000000006</v>
      </c>
      <c r="OT28" s="83">
        <v>72.090896999999998</v>
      </c>
      <c r="OU28" s="83">
        <v>72.137032000000005</v>
      </c>
      <c r="OV28" s="83">
        <v>72.22587</v>
      </c>
      <c r="OW28" s="83">
        <v>72.170991000000001</v>
      </c>
      <c r="OX28" s="83">
        <v>79.769085000000004</v>
      </c>
      <c r="OY28" s="83">
        <v>73.036126999999993</v>
      </c>
      <c r="OZ28" s="83">
        <v>83.783734999999993</v>
      </c>
      <c r="PA28" s="83">
        <v>78.391887999999994</v>
      </c>
      <c r="PB28" s="83">
        <v>71.840012999999999</v>
      </c>
      <c r="PC28" s="83">
        <v>71.638254000000003</v>
      </c>
      <c r="PD28" s="83">
        <v>71.638256999999996</v>
      </c>
      <c r="PE28" s="83">
        <v>71.059651000000002</v>
      </c>
      <c r="PF28" s="83">
        <v>68.505166000000003</v>
      </c>
      <c r="PG28" s="83">
        <v>82.852137999999997</v>
      </c>
      <c r="PH28" s="83">
        <v>67.373645999999994</v>
      </c>
      <c r="PI28" s="83">
        <v>67.481133999999997</v>
      </c>
      <c r="PJ28" s="83">
        <v>67.503226999999995</v>
      </c>
      <c r="PK28" s="83">
        <v>67.439556999999994</v>
      </c>
      <c r="PL28" s="83">
        <v>73.702318000000005</v>
      </c>
      <c r="PM28" s="83">
        <v>67.596969000000001</v>
      </c>
      <c r="PN28" s="83">
        <v>77.995626999999999</v>
      </c>
      <c r="PO28" s="83">
        <v>73.180853999999997</v>
      </c>
      <c r="PP28" s="83">
        <v>67.964766999999995</v>
      </c>
      <c r="PQ28" s="83">
        <v>67.730903999999995</v>
      </c>
      <c r="PR28" s="83">
        <v>67.665246999999994</v>
      </c>
      <c r="PS28" s="83">
        <v>84.707718</v>
      </c>
      <c r="PT28" s="83">
        <v>81.575007999999997</v>
      </c>
      <c r="PU28" s="83">
        <v>96.741698999999997</v>
      </c>
      <c r="PV28" s="83">
        <v>78.307627999999994</v>
      </c>
      <c r="PW28" s="83">
        <v>78.416151999999997</v>
      </c>
      <c r="PX28" s="83">
        <v>78.457358999999997</v>
      </c>
      <c r="PY28" s="83">
        <v>78.386516999999998</v>
      </c>
      <c r="PZ28" s="83">
        <v>60.420718999999998</v>
      </c>
      <c r="QA28" s="83">
        <v>55.310352999999999</v>
      </c>
      <c r="QB28" s="83">
        <v>64.752340000000004</v>
      </c>
      <c r="QC28" s="83">
        <v>60.549709</v>
      </c>
      <c r="QD28" s="83">
        <v>55.578741000000001</v>
      </c>
      <c r="QE28" s="83">
        <v>55.411028999999999</v>
      </c>
      <c r="QF28" s="83">
        <v>55.368201999999997</v>
      </c>
      <c r="QG28" s="83">
        <v>84.748491999999999</v>
      </c>
      <c r="QH28" s="83">
        <v>81.780614</v>
      </c>
      <c r="QI28" s="83">
        <v>97.650982999999997</v>
      </c>
      <c r="QJ28" s="83">
        <v>78.318996999999996</v>
      </c>
      <c r="QK28" s="83">
        <v>78.394451000000004</v>
      </c>
      <c r="QL28" s="83">
        <v>78.466992000000005</v>
      </c>
      <c r="QM28" s="83">
        <v>78.402490999999998</v>
      </c>
      <c r="QN28" s="83">
        <v>95.851445999999996</v>
      </c>
      <c r="QO28" s="83">
        <v>88.061394000000007</v>
      </c>
      <c r="QP28" s="83">
        <v>100.294788</v>
      </c>
      <c r="QQ28" s="83">
        <v>94.393291000000005</v>
      </c>
      <c r="QR28" s="83">
        <v>88.586011999999997</v>
      </c>
      <c r="QS28" s="83">
        <v>88.248278999999997</v>
      </c>
    </row>
    <row r="29" spans="6:461" x14ac:dyDescent="0.25">
      <c r="F29" s="82" t="str">
        <f xml:space="preserve"> _xll.EPMOlapMemberO("[PRDDESCR].[].[HELGAS GFREE WHOLEM 500G]","","HELGAS GFREE WHOLEM 500G","","000")</f>
        <v>HELGAS GFREE WHOLEM 500G</v>
      </c>
      <c r="G29" s="82" t="str">
        <f xml:space="preserve"> _xll.EPMOlapMemberO("[PRDID].[].[168848]","","168848","","000")</f>
        <v>168848</v>
      </c>
      <c r="H29" s="82" t="str">
        <f xml:space="preserve"> _xll.EPMOlapMemberO("[LOCID].[].[6123]","","6123","","000")</f>
        <v>6123</v>
      </c>
      <c r="I29" s="82" t="str">
        <f xml:space="preserve"> _xll.EPMOlapMemberO("[LOCDESCR].[].[QBA-Clayton - Fairbank]","","QBA-Clayton - Fairbank","","000")</f>
        <v>QBA-Clayton - Fairbank</v>
      </c>
      <c r="J29" s="82" t="str">
        <f xml:space="preserve"> _xll.EPMOlapMemberO("[KEY_FIGURES].[].[ZGFAPPROVEDFCSTQTY]","","Approved Forecast","","000")</f>
        <v>Approved Forecast</v>
      </c>
      <c r="K29" s="83">
        <v>270.92825399999998</v>
      </c>
      <c r="L29" s="83">
        <v>658.424126</v>
      </c>
      <c r="M29" s="83">
        <v>429.10811799999999</v>
      </c>
      <c r="N29" s="83">
        <v>997.81239700000003</v>
      </c>
      <c r="O29" s="83">
        <v>0</v>
      </c>
      <c r="P29" s="83">
        <v>0.61909700000000001</v>
      </c>
      <c r="Q29" s="83">
        <v>1236.020424</v>
      </c>
      <c r="R29" s="83">
        <v>300.17929600000002</v>
      </c>
      <c r="S29" s="83">
        <v>741.19853499999999</v>
      </c>
      <c r="T29" s="83">
        <v>494.71642400000002</v>
      </c>
      <c r="U29" s="83">
        <v>1220.5239730000001</v>
      </c>
      <c r="V29" s="83">
        <v>0.37188700000000002</v>
      </c>
      <c r="W29" s="83">
        <v>2.1308799999999999</v>
      </c>
      <c r="X29" s="83">
        <v>969.24725599999999</v>
      </c>
      <c r="Y29" s="83">
        <v>223.40614199999999</v>
      </c>
      <c r="Z29" s="83">
        <v>589.42285100000004</v>
      </c>
      <c r="AA29" s="83">
        <v>389.00701099999998</v>
      </c>
      <c r="AB29" s="83">
        <v>942.23907399999996</v>
      </c>
      <c r="AC29" s="83">
        <v>0.39881499999999998</v>
      </c>
      <c r="AD29" s="83">
        <v>0.44937100000000002</v>
      </c>
      <c r="AE29" s="83">
        <v>997.31377899999995</v>
      </c>
      <c r="AF29" s="83">
        <v>239.65132</v>
      </c>
      <c r="AG29" s="83">
        <v>597.48890200000005</v>
      </c>
      <c r="AH29" s="83">
        <v>395.78263900000002</v>
      </c>
      <c r="AI29" s="83">
        <v>952.19121500000006</v>
      </c>
      <c r="AJ29" s="83">
        <v>0.37136200000000003</v>
      </c>
      <c r="AK29" s="83">
        <v>2.4244590000000001</v>
      </c>
      <c r="AL29" s="83">
        <v>968.44734700000004</v>
      </c>
      <c r="AM29" s="83">
        <v>221.33963299999999</v>
      </c>
      <c r="AN29" s="83">
        <v>588.41903000000002</v>
      </c>
      <c r="AO29" s="83">
        <v>388.41690199999999</v>
      </c>
      <c r="AP29" s="83">
        <v>971.599692</v>
      </c>
      <c r="AQ29" s="83">
        <v>0.39881499999999998</v>
      </c>
      <c r="AR29" s="83">
        <v>0.44937100000000002</v>
      </c>
      <c r="AS29" s="83">
        <v>953.39243399999998</v>
      </c>
      <c r="AT29" s="83">
        <v>233.73799299999999</v>
      </c>
      <c r="AU29" s="83">
        <v>576.49355000000003</v>
      </c>
      <c r="AV29" s="83">
        <v>379.391322</v>
      </c>
      <c r="AW29" s="83">
        <v>942.02795400000002</v>
      </c>
      <c r="AX29" s="83">
        <v>0.37136200000000003</v>
      </c>
      <c r="AY29" s="83">
        <v>2.4244590000000001</v>
      </c>
      <c r="AZ29" s="83">
        <v>1014.7582159999999</v>
      </c>
      <c r="BA29" s="83">
        <v>234.17395400000001</v>
      </c>
      <c r="BB29" s="83">
        <v>622.99119499999995</v>
      </c>
      <c r="BC29" s="83">
        <v>408.54695299999997</v>
      </c>
      <c r="BD29" s="83">
        <v>1046.5680090000001</v>
      </c>
      <c r="BE29" s="83">
        <v>0.39881499999999998</v>
      </c>
      <c r="BF29" s="83">
        <v>0.44937100000000002</v>
      </c>
      <c r="BG29" s="83">
        <v>1017.985451</v>
      </c>
      <c r="BH29" s="83">
        <v>253.69398000000001</v>
      </c>
      <c r="BI29" s="83">
        <v>613.41182900000001</v>
      </c>
      <c r="BJ29" s="83">
        <v>406.06478700000002</v>
      </c>
      <c r="BK29" s="83">
        <v>1025.236318</v>
      </c>
      <c r="BL29" s="83">
        <v>0.37136200000000003</v>
      </c>
      <c r="BM29" s="83">
        <v>2.4244590000000001</v>
      </c>
      <c r="BN29" s="83">
        <v>1008.687135</v>
      </c>
      <c r="BO29" s="83">
        <v>238.596949</v>
      </c>
      <c r="BP29" s="83">
        <v>613.83142099999998</v>
      </c>
      <c r="BQ29" s="83">
        <v>408.66936800000002</v>
      </c>
      <c r="BR29" s="83">
        <v>1036.357786</v>
      </c>
      <c r="BS29" s="83">
        <v>0.39881499999999998</v>
      </c>
      <c r="BT29" s="83">
        <v>0.44937100000000002</v>
      </c>
      <c r="BU29" s="83">
        <v>1032.041982</v>
      </c>
      <c r="BV29" s="83">
        <v>254.95165</v>
      </c>
      <c r="BW29" s="83">
        <v>616.292463</v>
      </c>
      <c r="BX29" s="83">
        <v>411.90051799999998</v>
      </c>
      <c r="BY29" s="83">
        <v>1009.542884</v>
      </c>
      <c r="BZ29" s="83">
        <v>0.37136200000000003</v>
      </c>
      <c r="CA29" s="83">
        <v>2.4244650000000001</v>
      </c>
      <c r="CB29" s="83">
        <v>987.47462099999996</v>
      </c>
      <c r="CC29" s="83">
        <v>233.64417399999999</v>
      </c>
      <c r="CD29" s="83">
        <v>594.61998500000004</v>
      </c>
      <c r="CE29" s="83">
        <v>400.48415999999997</v>
      </c>
      <c r="CF29" s="83">
        <v>979.43779500000005</v>
      </c>
      <c r="CG29" s="83">
        <v>0.39881499999999998</v>
      </c>
      <c r="CH29" s="83">
        <v>0.44937100000000002</v>
      </c>
      <c r="CI29" s="83">
        <v>1023.716393</v>
      </c>
      <c r="CJ29" s="83">
        <v>252.50467599999999</v>
      </c>
      <c r="CK29" s="83">
        <v>611.32157500000005</v>
      </c>
      <c r="CL29" s="83">
        <v>407.43004100000002</v>
      </c>
      <c r="CM29" s="83">
        <v>1009.3807849999999</v>
      </c>
      <c r="CN29" s="83">
        <v>0.37136200000000003</v>
      </c>
      <c r="CO29" s="83">
        <v>2.4244590000000001</v>
      </c>
      <c r="CP29" s="83">
        <v>1049.720249</v>
      </c>
      <c r="CQ29" s="83">
        <v>253.74501100000001</v>
      </c>
      <c r="CR29" s="83">
        <v>642.95441300000005</v>
      </c>
      <c r="CS29" s="83">
        <v>431.97286700000001</v>
      </c>
      <c r="CT29" s="83">
        <v>1052.821201</v>
      </c>
      <c r="CU29" s="83">
        <v>0.39881499999999998</v>
      </c>
      <c r="CV29" s="83">
        <v>0.44937100000000002</v>
      </c>
      <c r="CW29" s="83">
        <v>1013.639581</v>
      </c>
      <c r="CX29" s="83">
        <v>254.16568799999999</v>
      </c>
      <c r="CY29" s="83">
        <v>610.79374299999995</v>
      </c>
      <c r="CZ29" s="83">
        <v>406.63047999999998</v>
      </c>
      <c r="DA29" s="83">
        <v>1006.914386</v>
      </c>
      <c r="DB29" s="83">
        <v>0.37136200000000003</v>
      </c>
      <c r="DC29" s="83">
        <v>2.4244590000000001</v>
      </c>
      <c r="DD29" s="83">
        <v>959.57016299999998</v>
      </c>
      <c r="DE29" s="83">
        <v>233.46154200000001</v>
      </c>
      <c r="DF29" s="83">
        <v>586.57302300000003</v>
      </c>
      <c r="DG29" s="83">
        <v>393.86098800000002</v>
      </c>
      <c r="DH29" s="83">
        <v>968.10039300000005</v>
      </c>
      <c r="DI29" s="83">
        <v>0.398816</v>
      </c>
      <c r="DJ29" s="83">
        <v>0.44937100000000002</v>
      </c>
      <c r="DK29" s="83">
        <v>1013.787436</v>
      </c>
      <c r="DL29" s="83">
        <v>252.980109</v>
      </c>
      <c r="DM29" s="83">
        <v>610.75187100000005</v>
      </c>
      <c r="DN29" s="83">
        <v>404.81017300000002</v>
      </c>
      <c r="DO29" s="83">
        <v>1018.396856</v>
      </c>
      <c r="DP29" s="83">
        <v>0.371363</v>
      </c>
      <c r="DQ29" s="83">
        <v>2.4244650000000001</v>
      </c>
      <c r="DR29" s="83">
        <v>990.76039200000002</v>
      </c>
      <c r="DS29" s="83">
        <v>235.524541</v>
      </c>
      <c r="DT29" s="83">
        <v>602.91269399999999</v>
      </c>
      <c r="DU29" s="83">
        <v>401.89820800000001</v>
      </c>
      <c r="DV29" s="83">
        <v>1015.609627</v>
      </c>
      <c r="DW29" s="83">
        <v>0.398816</v>
      </c>
      <c r="DX29" s="83">
        <v>0.44937199999999999</v>
      </c>
      <c r="DY29" s="83">
        <v>1014.706315</v>
      </c>
      <c r="DZ29" s="83">
        <v>250.52634399999999</v>
      </c>
      <c r="EA29" s="83">
        <v>605.81703400000004</v>
      </c>
      <c r="EB29" s="83">
        <v>403.88749100000001</v>
      </c>
      <c r="EC29" s="83">
        <v>1000.290633</v>
      </c>
      <c r="ED29" s="83">
        <v>0.371363</v>
      </c>
      <c r="EE29" s="83">
        <v>2.4244650000000001</v>
      </c>
      <c r="EF29" s="83">
        <v>1003.931605</v>
      </c>
      <c r="EG29" s="83">
        <v>237.60108700000001</v>
      </c>
      <c r="EH29" s="83">
        <v>606.91297599999996</v>
      </c>
      <c r="EI29" s="83">
        <v>407.52237200000002</v>
      </c>
      <c r="EJ29" s="83">
        <v>1004.987935</v>
      </c>
      <c r="EK29" s="83">
        <v>0.398816</v>
      </c>
      <c r="EL29" s="83">
        <v>0.44937199999999999</v>
      </c>
      <c r="EM29" s="83">
        <v>1019.819487</v>
      </c>
      <c r="EN29" s="83">
        <v>255.18035599999999</v>
      </c>
      <c r="EO29" s="83">
        <v>611.56490699999995</v>
      </c>
      <c r="EP29" s="83">
        <v>409.99009799999999</v>
      </c>
      <c r="EQ29" s="83">
        <v>992.35777900000005</v>
      </c>
      <c r="ER29" s="83">
        <v>0.371363</v>
      </c>
      <c r="ES29" s="83">
        <v>2.4244650000000001</v>
      </c>
      <c r="ET29" s="83">
        <v>1076.466349</v>
      </c>
      <c r="EU29" s="83">
        <v>250.82390100000001</v>
      </c>
      <c r="EV29" s="83">
        <v>649.74731299999996</v>
      </c>
      <c r="EW29" s="83">
        <v>434.61866199999997</v>
      </c>
      <c r="EX29" s="83">
        <v>1084.051395</v>
      </c>
      <c r="EY29" s="83">
        <v>0.398816</v>
      </c>
      <c r="EZ29" s="83">
        <v>0.44937300000000002</v>
      </c>
      <c r="FA29" s="83">
        <v>1089.26503</v>
      </c>
      <c r="FB29" s="83">
        <v>267.70214299999998</v>
      </c>
      <c r="FC29" s="83">
        <v>654.78691500000002</v>
      </c>
      <c r="FD29" s="83">
        <v>434.03030100000001</v>
      </c>
      <c r="FE29" s="83">
        <v>1086.9235209999999</v>
      </c>
      <c r="FF29" s="83">
        <v>0.37136200000000003</v>
      </c>
      <c r="FG29" s="83">
        <v>2.424464</v>
      </c>
      <c r="FH29" s="83">
        <v>1045.786578</v>
      </c>
      <c r="FI29" s="83">
        <v>236.76105200000001</v>
      </c>
      <c r="FJ29" s="83">
        <v>613.74040500000001</v>
      </c>
      <c r="FK29" s="83">
        <v>418.50941799999998</v>
      </c>
      <c r="FL29" s="83">
        <v>986.68278999999995</v>
      </c>
      <c r="FM29" s="83">
        <v>0.39881499999999998</v>
      </c>
      <c r="FN29" s="83">
        <v>0.44937100000000002</v>
      </c>
      <c r="FO29" s="83">
        <v>913.71457399999997</v>
      </c>
      <c r="FP29" s="83">
        <v>231.97344000000001</v>
      </c>
      <c r="FQ29" s="83">
        <v>551.74287600000002</v>
      </c>
      <c r="FR29" s="83">
        <v>364.88081299999999</v>
      </c>
      <c r="FS29" s="83">
        <v>931.87473899999998</v>
      </c>
      <c r="FT29" s="83">
        <v>0.371363</v>
      </c>
      <c r="FU29" s="83">
        <v>2.4244650000000001</v>
      </c>
      <c r="FV29" s="83">
        <v>971.454207</v>
      </c>
      <c r="FW29" s="83">
        <v>229.77184500000001</v>
      </c>
      <c r="FX29" s="83">
        <v>588.90698199999997</v>
      </c>
      <c r="FY29" s="83">
        <v>392.15530000000001</v>
      </c>
      <c r="FZ29" s="83">
        <v>997.993515</v>
      </c>
      <c r="GA29" s="83">
        <v>0.398816</v>
      </c>
      <c r="GB29" s="83">
        <v>0.44937199999999999</v>
      </c>
      <c r="GC29" s="83">
        <v>979.51524099999995</v>
      </c>
      <c r="GD29" s="83">
        <v>244.39884000000001</v>
      </c>
      <c r="GE29" s="83">
        <v>585.26636099999996</v>
      </c>
      <c r="GF29" s="83">
        <v>391.58453200000002</v>
      </c>
      <c r="GG29" s="83">
        <v>959.79055400000004</v>
      </c>
      <c r="GH29" s="83">
        <v>0.371363</v>
      </c>
      <c r="GI29" s="83">
        <v>2.4244650000000001</v>
      </c>
      <c r="GJ29" s="83">
        <v>968.479467</v>
      </c>
      <c r="GK29" s="83">
        <v>226.686485</v>
      </c>
      <c r="GL29" s="83">
        <v>581.62710700000002</v>
      </c>
      <c r="GM29" s="83">
        <v>389.95395300000001</v>
      </c>
      <c r="GN29" s="83">
        <v>972.62300000000005</v>
      </c>
      <c r="GO29" s="83">
        <v>0.398816</v>
      </c>
      <c r="GP29" s="83">
        <v>0.44937199999999999</v>
      </c>
      <c r="GQ29" s="83">
        <v>1073.2426089999999</v>
      </c>
      <c r="GR29" s="83">
        <v>265.95756499999999</v>
      </c>
      <c r="GS29" s="83">
        <v>649.31158800000003</v>
      </c>
      <c r="GT29" s="83">
        <v>427.92602199999999</v>
      </c>
      <c r="GU29" s="83">
        <v>1090.934947</v>
      </c>
      <c r="GV29" s="83">
        <v>0.371363</v>
      </c>
      <c r="GW29" s="83">
        <v>2.4244650000000001</v>
      </c>
      <c r="GX29" s="83">
        <v>1002.171879</v>
      </c>
      <c r="GY29" s="83">
        <v>234.458144</v>
      </c>
      <c r="GZ29" s="83">
        <v>607.05602899999997</v>
      </c>
      <c r="HA29" s="83">
        <v>403.03993300000002</v>
      </c>
      <c r="HB29" s="83">
        <v>1035.4746</v>
      </c>
      <c r="HC29" s="83">
        <v>0.398816</v>
      </c>
      <c r="HD29" s="83">
        <v>0.44937199999999999</v>
      </c>
      <c r="HE29" s="83">
        <v>1012.403276</v>
      </c>
      <c r="HF29" s="83">
        <v>241.64077700000001</v>
      </c>
      <c r="HG29" s="83">
        <v>591.31755099999998</v>
      </c>
      <c r="HH29" s="83">
        <v>398.64339200000001</v>
      </c>
      <c r="HI29" s="83">
        <v>958.30755399999998</v>
      </c>
      <c r="HJ29" s="83">
        <v>0.35996600000000001</v>
      </c>
      <c r="HK29" s="83">
        <v>2.3500709999999998</v>
      </c>
      <c r="HL29" s="83">
        <v>938.234869</v>
      </c>
      <c r="HM29" s="83">
        <v>223.321032</v>
      </c>
      <c r="HN29" s="83">
        <v>567.33102399999996</v>
      </c>
      <c r="HO29" s="83">
        <v>381.48161900000002</v>
      </c>
      <c r="HP29" s="83">
        <v>937.37453700000003</v>
      </c>
      <c r="HQ29" s="83">
        <v>0.38470399999999999</v>
      </c>
      <c r="HR29" s="83">
        <v>0.43347200000000002</v>
      </c>
      <c r="HS29" s="83">
        <v>1039.6284619999999</v>
      </c>
      <c r="HT29" s="83">
        <v>250.73695900000001</v>
      </c>
      <c r="HU29" s="83">
        <v>615.84539299999994</v>
      </c>
      <c r="HV29" s="83">
        <v>409.16775000000001</v>
      </c>
      <c r="HW29" s="83">
        <v>1028.3307580000001</v>
      </c>
      <c r="HX29" s="83">
        <v>0.371363</v>
      </c>
      <c r="HY29" s="83">
        <v>2.4244650000000001</v>
      </c>
      <c r="HZ29" s="83">
        <v>1055.751835</v>
      </c>
      <c r="IA29" s="83">
        <v>241.31992099999999</v>
      </c>
      <c r="IB29" s="83">
        <v>633.75536299999999</v>
      </c>
      <c r="IC29" s="83">
        <v>420.56143400000002</v>
      </c>
      <c r="ID29" s="83">
        <v>1084.54693</v>
      </c>
      <c r="IE29" s="83">
        <v>0.398816</v>
      </c>
      <c r="IF29" s="83">
        <v>0.44937199999999999</v>
      </c>
      <c r="IG29" s="83">
        <v>1174.5199970000001</v>
      </c>
      <c r="IH29" s="83">
        <v>278.37216999999998</v>
      </c>
      <c r="II29" s="83">
        <v>691.64900999999998</v>
      </c>
      <c r="IJ29" s="83">
        <v>463.84850699999998</v>
      </c>
      <c r="IK29" s="83">
        <v>1120.979538</v>
      </c>
      <c r="IL29" s="83">
        <v>0.371363</v>
      </c>
      <c r="IM29" s="83">
        <v>2.4244650000000001</v>
      </c>
      <c r="IN29" s="83">
        <v>976.47165800000005</v>
      </c>
      <c r="IO29" s="83">
        <v>229.528469</v>
      </c>
      <c r="IP29" s="83">
        <v>591.17417999999998</v>
      </c>
      <c r="IQ29" s="83">
        <v>393.30472300000002</v>
      </c>
      <c r="IR29" s="83">
        <v>1004.618613</v>
      </c>
      <c r="IS29" s="83">
        <v>0.398816</v>
      </c>
      <c r="IT29" s="83">
        <v>0.44937199999999999</v>
      </c>
      <c r="IU29" s="83">
        <v>1001.646786</v>
      </c>
      <c r="IV29" s="83">
        <v>249.03290899999999</v>
      </c>
      <c r="IW29" s="83">
        <v>603.29745000000003</v>
      </c>
      <c r="IX29" s="83">
        <v>398.48673000000002</v>
      </c>
      <c r="IY29" s="83">
        <v>1015.770937</v>
      </c>
      <c r="IZ29" s="83">
        <v>0.371363</v>
      </c>
      <c r="JA29" s="83">
        <v>2.4244650000000001</v>
      </c>
      <c r="JB29" s="83">
        <v>942.60358499999995</v>
      </c>
      <c r="JC29" s="83">
        <v>221.972894</v>
      </c>
      <c r="JD29" s="83">
        <v>569.21283900000003</v>
      </c>
      <c r="JE29" s="83">
        <v>379.130697</v>
      </c>
      <c r="JF29" s="83">
        <v>967.66667199999995</v>
      </c>
      <c r="JG29" s="83">
        <v>0.398816</v>
      </c>
      <c r="JH29" s="83">
        <v>0.44937199999999999</v>
      </c>
      <c r="JI29" s="83">
        <v>1051.5725170000001</v>
      </c>
      <c r="JJ29" s="83">
        <v>253.59818200000001</v>
      </c>
      <c r="JK29" s="83">
        <v>616.84523200000001</v>
      </c>
      <c r="JL29" s="83">
        <v>417.02502900000002</v>
      </c>
      <c r="JM29" s="83">
        <v>989.12010999999995</v>
      </c>
      <c r="JN29" s="83">
        <v>1.548616</v>
      </c>
      <c r="JO29" s="83">
        <v>5.6914309999999997</v>
      </c>
      <c r="JP29" s="83">
        <v>1630.152378</v>
      </c>
      <c r="JQ29" s="83">
        <v>436.99234999999999</v>
      </c>
      <c r="JR29" s="83">
        <v>979.07359199999996</v>
      </c>
      <c r="JS29" s="83">
        <v>1.375742</v>
      </c>
      <c r="JT29" s="83">
        <v>1.3358220000000001</v>
      </c>
      <c r="JU29" s="83">
        <v>475.35551800000002</v>
      </c>
      <c r="JV29" s="83">
        <v>461.26249100000001</v>
      </c>
      <c r="JW29" s="83">
        <v>492.262023</v>
      </c>
      <c r="JX29" s="83">
        <v>547.43341799999996</v>
      </c>
      <c r="JY29" s="83">
        <v>485.417755</v>
      </c>
      <c r="JZ29" s="83">
        <v>486.874121</v>
      </c>
      <c r="KA29" s="83">
        <v>469.16435899999999</v>
      </c>
      <c r="KB29" s="83">
        <v>446.02659599999998</v>
      </c>
      <c r="KC29" s="83">
        <v>1317.4353799999999</v>
      </c>
      <c r="KD29" s="83">
        <v>471.00004000000001</v>
      </c>
      <c r="KE29" s="83">
        <v>499.38366400000001</v>
      </c>
      <c r="KF29" s="83">
        <v>470.57432599999999</v>
      </c>
      <c r="KG29" s="83">
        <v>473.279742</v>
      </c>
      <c r="KH29" s="83">
        <v>459.53340400000002</v>
      </c>
      <c r="KI29" s="83">
        <v>436.68663900000001</v>
      </c>
      <c r="KJ29" s="83">
        <v>422.593614</v>
      </c>
      <c r="KK29" s="83">
        <v>451.21068600000001</v>
      </c>
      <c r="KL29" s="83">
        <v>502.73803099999998</v>
      </c>
      <c r="KM29" s="83">
        <v>444.88818400000002</v>
      </c>
      <c r="KN29" s="83">
        <v>445.65697999999998</v>
      </c>
      <c r="KO29" s="83">
        <v>430.25181500000002</v>
      </c>
      <c r="KP29" s="83">
        <v>424.12588199999999</v>
      </c>
      <c r="KQ29" s="83">
        <v>1295.534645</v>
      </c>
      <c r="KR29" s="83">
        <v>444.63981799999999</v>
      </c>
      <c r="KS29" s="83">
        <v>469.70101899999997</v>
      </c>
      <c r="KT29" s="83">
        <v>444.92380100000003</v>
      </c>
      <c r="KU29" s="83">
        <v>446.350639</v>
      </c>
      <c r="KV29" s="83">
        <v>433.72375399999999</v>
      </c>
      <c r="KW29" s="83">
        <v>470.17750899999999</v>
      </c>
      <c r="KX29" s="83">
        <v>456.08446700000002</v>
      </c>
      <c r="KY29" s="83">
        <v>488.43672800000002</v>
      </c>
      <c r="KZ29" s="83">
        <v>541.49449000000004</v>
      </c>
      <c r="LA29" s="83">
        <v>482.064187</v>
      </c>
      <c r="LB29" s="83">
        <v>482.75167399999998</v>
      </c>
      <c r="LC29" s="83">
        <v>464.88839200000001</v>
      </c>
      <c r="LD29" s="83">
        <v>433.183897</v>
      </c>
      <c r="LE29" s="83">
        <v>1304.5926899999999</v>
      </c>
      <c r="LF29" s="83">
        <v>455.872975</v>
      </c>
      <c r="LG29" s="83">
        <v>483.80292200000002</v>
      </c>
      <c r="LH29" s="83">
        <v>455.56705399999998</v>
      </c>
      <c r="LI29" s="83">
        <v>457.96738399999998</v>
      </c>
      <c r="LJ29" s="83">
        <v>444.79592200000002</v>
      </c>
      <c r="LK29" s="83">
        <v>435.751283</v>
      </c>
      <c r="LL29" s="83">
        <v>421.65826499999997</v>
      </c>
      <c r="LM29" s="83">
        <v>452.64821699999999</v>
      </c>
      <c r="LN29" s="83">
        <v>504.46971600000001</v>
      </c>
      <c r="LO29" s="83">
        <v>446.27501699999999</v>
      </c>
      <c r="LP29" s="83">
        <v>447.11800299999999</v>
      </c>
      <c r="LQ29" s="83">
        <v>431.60206299999999</v>
      </c>
      <c r="LR29" s="83">
        <v>423.91815100000002</v>
      </c>
      <c r="LS29" s="83">
        <v>1295.3269089999999</v>
      </c>
      <c r="LT29" s="83">
        <v>465.387698</v>
      </c>
      <c r="LU29" s="83">
        <v>494.97316499999999</v>
      </c>
      <c r="LV29" s="83">
        <v>464.73925100000002</v>
      </c>
      <c r="LW29" s="83">
        <v>467.71288700000002</v>
      </c>
      <c r="LX29" s="83">
        <v>454.18988100000001</v>
      </c>
      <c r="LY29" s="83">
        <v>464.87419399999999</v>
      </c>
      <c r="LZ29" s="83">
        <v>450.78114799999997</v>
      </c>
      <c r="MA29" s="83">
        <v>461.40986900000001</v>
      </c>
      <c r="MB29" s="83">
        <v>512.02952900000003</v>
      </c>
      <c r="MC29" s="83">
        <v>455.38503800000001</v>
      </c>
      <c r="MD29" s="83">
        <v>455.61551500000002</v>
      </c>
      <c r="ME29" s="83">
        <v>439.30653599999999</v>
      </c>
      <c r="MF29" s="83">
        <v>454.39822199999998</v>
      </c>
      <c r="MG29" s="83">
        <v>1325.8069969999999</v>
      </c>
      <c r="MH29" s="83">
        <v>477.51385099999999</v>
      </c>
      <c r="MI29" s="83">
        <v>507.54513900000001</v>
      </c>
      <c r="MJ29" s="83">
        <v>476.74478299999998</v>
      </c>
      <c r="MK29" s="83">
        <v>480.03493800000001</v>
      </c>
      <c r="ML29" s="83">
        <v>465.89297299999998</v>
      </c>
      <c r="MM29" s="83">
        <v>422.46712500000001</v>
      </c>
      <c r="MN29" s="83">
        <v>408.374075</v>
      </c>
      <c r="MO29" s="83">
        <v>464.61882000000003</v>
      </c>
      <c r="MP29" s="83">
        <v>517.60069099999998</v>
      </c>
      <c r="MQ29" s="83">
        <v>458.09506800000003</v>
      </c>
      <c r="MR29" s="83">
        <v>459.12290999999999</v>
      </c>
      <c r="MS29" s="83">
        <v>442.73585000000003</v>
      </c>
      <c r="MT29" s="83">
        <v>442.18252999999999</v>
      </c>
      <c r="MU29" s="83">
        <v>1313.591322</v>
      </c>
      <c r="MV29" s="83">
        <v>438.097556</v>
      </c>
      <c r="MW29" s="83">
        <v>467.10898800000001</v>
      </c>
      <c r="MX29" s="83">
        <v>437.60900099999998</v>
      </c>
      <c r="MY29" s="83">
        <v>440.14953700000001</v>
      </c>
      <c r="MZ29" s="83">
        <v>427.50606099999999</v>
      </c>
      <c r="NA29" s="83">
        <v>423.94986999999998</v>
      </c>
      <c r="NB29" s="83">
        <v>409.85685699999999</v>
      </c>
      <c r="NC29" s="83">
        <v>439.84463699999998</v>
      </c>
      <c r="ND29" s="83">
        <v>490.68986699999999</v>
      </c>
      <c r="NE29" s="83">
        <v>433.58750099999997</v>
      </c>
      <c r="NF29" s="83">
        <v>434.29824000000002</v>
      </c>
      <c r="NG29" s="83">
        <v>419.60887700000001</v>
      </c>
      <c r="NH29" s="83">
        <v>476.86814800000002</v>
      </c>
      <c r="NI29" s="83">
        <v>1348.276891</v>
      </c>
      <c r="NJ29" s="83">
        <v>493.24504300000001</v>
      </c>
      <c r="NK29" s="83">
        <v>523.68783599999995</v>
      </c>
      <c r="NL29" s="83">
        <v>492.37605000000002</v>
      </c>
      <c r="NM29" s="83">
        <v>495.89300900000001</v>
      </c>
      <c r="NN29" s="83">
        <v>481.39108900000002</v>
      </c>
      <c r="NO29" s="83">
        <v>483.92937799999999</v>
      </c>
      <c r="NP29" s="83">
        <v>469.836364</v>
      </c>
      <c r="NQ29" s="83">
        <v>512.02862700000003</v>
      </c>
      <c r="NR29" s="83">
        <v>567.95154300000002</v>
      </c>
      <c r="NS29" s="83">
        <v>505.15607299999999</v>
      </c>
      <c r="NT29" s="83">
        <v>506.58061300000003</v>
      </c>
      <c r="NU29" s="83">
        <v>487.69641000000001</v>
      </c>
      <c r="NV29" s="83">
        <v>414.17866900000001</v>
      </c>
      <c r="NW29" s="83">
        <v>1285.587442</v>
      </c>
      <c r="NX29" s="83">
        <v>435.38</v>
      </c>
      <c r="NY29" s="83">
        <v>464.20611700000001</v>
      </c>
      <c r="NZ29" s="83">
        <v>434.94171</v>
      </c>
      <c r="OA29" s="83">
        <v>437.34963199999999</v>
      </c>
      <c r="OB29" s="83">
        <v>424.96686799999998</v>
      </c>
      <c r="OC29" s="83">
        <v>432.20626900000002</v>
      </c>
      <c r="OD29" s="83">
        <v>418.113246</v>
      </c>
      <c r="OE29" s="83">
        <v>474.13199400000002</v>
      </c>
      <c r="OF29" s="83">
        <v>527.80214999999998</v>
      </c>
      <c r="OG29" s="83">
        <v>467.48925000000003</v>
      </c>
      <c r="OH29" s="83">
        <v>468.69171299999999</v>
      </c>
      <c r="OI29" s="83">
        <v>452.04931399999998</v>
      </c>
      <c r="OJ29" s="83">
        <v>450.31041699999997</v>
      </c>
      <c r="OK29" s="83">
        <v>1321.719188</v>
      </c>
      <c r="OL29" s="83">
        <v>447.06541299999998</v>
      </c>
      <c r="OM29" s="83">
        <v>476.71666399999998</v>
      </c>
      <c r="ON29" s="83">
        <v>446.43781799999999</v>
      </c>
      <c r="OO29" s="83">
        <v>449.23793599999999</v>
      </c>
      <c r="OP29" s="83">
        <v>436.33561200000003</v>
      </c>
      <c r="OQ29" s="83">
        <v>427.77667000000002</v>
      </c>
      <c r="OR29" s="83">
        <v>413.68364700000001</v>
      </c>
      <c r="OS29" s="83">
        <v>443.80046700000003</v>
      </c>
      <c r="OT29" s="83">
        <v>494.01826299999999</v>
      </c>
      <c r="OU29" s="83">
        <v>437.71258899999998</v>
      </c>
      <c r="OV29" s="83">
        <v>438.13114400000001</v>
      </c>
      <c r="OW29" s="83">
        <v>423.13880899999998</v>
      </c>
      <c r="OX29" s="83">
        <v>466.863857</v>
      </c>
      <c r="OY29" s="83">
        <v>1338.272604</v>
      </c>
      <c r="OZ29" s="83">
        <v>478.19604700000002</v>
      </c>
      <c r="PA29" s="83">
        <v>506.64777400000003</v>
      </c>
      <c r="PB29" s="83">
        <v>477.74573700000002</v>
      </c>
      <c r="PC29" s="83">
        <v>480.53456899999998</v>
      </c>
      <c r="PD29" s="83">
        <v>466.58033999999998</v>
      </c>
      <c r="PE29" s="83">
        <v>466.86151000000001</v>
      </c>
      <c r="PF29" s="83">
        <v>452.76848000000001</v>
      </c>
      <c r="PG29" s="83">
        <v>497.76996400000002</v>
      </c>
      <c r="PH29" s="83">
        <v>552.15894000000003</v>
      </c>
      <c r="PI29" s="83">
        <v>491.15055699999999</v>
      </c>
      <c r="PJ29" s="83">
        <v>492.21239200000002</v>
      </c>
      <c r="PK29" s="83">
        <v>474.003264</v>
      </c>
      <c r="PL29" s="83">
        <v>452.121756</v>
      </c>
      <c r="PM29" s="83">
        <v>1323.5305450000001</v>
      </c>
      <c r="PN29" s="83">
        <v>474.777018</v>
      </c>
      <c r="PO29" s="83">
        <v>504.17110200000002</v>
      </c>
      <c r="PP29" s="83">
        <v>474.15040800000003</v>
      </c>
      <c r="PQ29" s="83">
        <v>477.15912700000001</v>
      </c>
      <c r="PR29" s="83">
        <v>463.34894600000001</v>
      </c>
      <c r="PS29" s="83">
        <v>462.30271699999997</v>
      </c>
      <c r="PT29" s="83">
        <v>448.20970699999998</v>
      </c>
      <c r="PU29" s="83">
        <v>481.48975799999999</v>
      </c>
      <c r="PV29" s="83">
        <v>537.39329599999996</v>
      </c>
      <c r="PW29" s="83">
        <v>474.39872400000002</v>
      </c>
      <c r="PX29" s="83">
        <v>476.30393900000001</v>
      </c>
      <c r="PY29" s="83">
        <v>459.38211000000001</v>
      </c>
      <c r="PZ29" s="83">
        <v>435.92637100000002</v>
      </c>
      <c r="QA29" s="83">
        <v>1307.335139</v>
      </c>
      <c r="QB29" s="83">
        <v>458.70892800000001</v>
      </c>
      <c r="QC29" s="83">
        <v>490.79335900000001</v>
      </c>
      <c r="QD29" s="83">
        <v>457.58759099999997</v>
      </c>
      <c r="QE29" s="83">
        <v>461.17528800000002</v>
      </c>
      <c r="QF29" s="83">
        <v>447.93420600000002</v>
      </c>
      <c r="QG29" s="83">
        <v>459.57654700000001</v>
      </c>
      <c r="QH29" s="83">
        <v>445.483519</v>
      </c>
      <c r="QI29" s="83">
        <v>478.60675700000002</v>
      </c>
      <c r="QJ29" s="83">
        <v>533.963528</v>
      </c>
      <c r="QK29" s="83">
        <v>471.63028800000001</v>
      </c>
      <c r="QL29" s="83">
        <v>473.35303299999998</v>
      </c>
      <c r="QM29" s="83">
        <v>456.45769000000001</v>
      </c>
      <c r="QN29" s="83">
        <v>469.24559399999998</v>
      </c>
      <c r="QO29" s="83">
        <v>1340.6543529999999</v>
      </c>
      <c r="QP29" s="83">
        <v>492.639633</v>
      </c>
      <c r="QQ29" s="83">
        <v>523.76524800000004</v>
      </c>
      <c r="QR29" s="83">
        <v>491.65600699999999</v>
      </c>
      <c r="QS29" s="83">
        <v>495.25766499999997</v>
      </c>
    </row>
    <row r="30" spans="6:461" x14ac:dyDescent="0.25">
      <c r="F30" s="82" t="str">
        <f xml:space="preserve"> _xll.EPMOlapMemberO("[PRDDESCR].[].[HELGAS GFREE WHOLEM 500G]","","HELGAS GFREE WHOLEM 500G","","000")</f>
        <v>HELGAS GFREE WHOLEM 500G</v>
      </c>
      <c r="G30" s="82" t="str">
        <f xml:space="preserve"> _xll.EPMOlapMemberO("[PRDID].[].[168848]","","168848","","000")</f>
        <v>168848</v>
      </c>
      <c r="H30" s="82" t="str">
        <f xml:space="preserve"> _xll.EPMOlapMemberO("[LOCID].[].[6125]","","6125","","000")</f>
        <v>6125</v>
      </c>
      <c r="I30" s="82" t="str">
        <f xml:space="preserve"> _xll.EPMOlapMemberO("[LOCDESCR].[].[QBA -Keilor Park]","","QBA -Keilor Park","","000")</f>
        <v>QBA -Keilor Park</v>
      </c>
      <c r="J30" s="82" t="str">
        <f xml:space="preserve"> _xll.EPMOlapMemberO("[KEY_FIGURES].[].[ZGFAPPROVEDFCSTQTY]","","Approved Forecast","","000")</f>
        <v>Approved Forecast</v>
      </c>
      <c r="K30" s="83">
        <v>190.81479100000001</v>
      </c>
      <c r="L30" s="83">
        <v>443.47392100000002</v>
      </c>
      <c r="M30" s="83">
        <v>622.75800700000002</v>
      </c>
      <c r="N30" s="83">
        <v>619.31559400000003</v>
      </c>
      <c r="O30" s="83">
        <v>6.8135000000000001E-2</v>
      </c>
      <c r="P30" s="83">
        <v>0.13955300000000001</v>
      </c>
      <c r="Q30" s="83">
        <v>1004.540343</v>
      </c>
      <c r="R30" s="83">
        <v>187.41941299999999</v>
      </c>
      <c r="S30" s="83">
        <v>426.38996400000002</v>
      </c>
      <c r="T30" s="83">
        <v>605.83702100000005</v>
      </c>
      <c r="U30" s="83">
        <v>608.91041900000005</v>
      </c>
      <c r="V30" s="83">
        <v>3.9556000000000001E-2</v>
      </c>
      <c r="W30" s="83">
        <v>0.11172</v>
      </c>
      <c r="X30" s="83">
        <v>919.51507700000002</v>
      </c>
      <c r="Y30" s="83">
        <v>168.737987</v>
      </c>
      <c r="Z30" s="83">
        <v>387.117073</v>
      </c>
      <c r="AA30" s="83">
        <v>559.62898700000005</v>
      </c>
      <c r="AB30" s="83">
        <v>572.70198300000004</v>
      </c>
      <c r="AC30" s="83">
        <v>0</v>
      </c>
      <c r="AD30" s="83">
        <v>7.2375999999999996E-2</v>
      </c>
      <c r="AE30" s="83">
        <v>935.82748400000003</v>
      </c>
      <c r="AF30" s="83">
        <v>167.78882300000001</v>
      </c>
      <c r="AG30" s="83">
        <v>394.182546</v>
      </c>
      <c r="AH30" s="83">
        <v>569.73580300000003</v>
      </c>
      <c r="AI30" s="83">
        <v>583.40663400000005</v>
      </c>
      <c r="AJ30" s="83">
        <v>0</v>
      </c>
      <c r="AK30" s="83">
        <v>7.2375999999999996E-2</v>
      </c>
      <c r="AL30" s="83">
        <v>909.131214</v>
      </c>
      <c r="AM30" s="83">
        <v>157.03021100000001</v>
      </c>
      <c r="AN30" s="83">
        <v>380.75653599999998</v>
      </c>
      <c r="AO30" s="83">
        <v>565.18115299999999</v>
      </c>
      <c r="AP30" s="83">
        <v>585.52541499999995</v>
      </c>
      <c r="AQ30" s="83">
        <v>0</v>
      </c>
      <c r="AR30" s="83">
        <v>7.2375999999999996E-2</v>
      </c>
      <c r="AS30" s="83">
        <v>880.68878900000004</v>
      </c>
      <c r="AT30" s="83">
        <v>155.87204700000001</v>
      </c>
      <c r="AU30" s="83">
        <v>370.476899</v>
      </c>
      <c r="AV30" s="83">
        <v>538.93120599999997</v>
      </c>
      <c r="AW30" s="83">
        <v>549.34542499999998</v>
      </c>
      <c r="AX30" s="83">
        <v>0</v>
      </c>
      <c r="AY30" s="83">
        <v>7.2375999999999996E-2</v>
      </c>
      <c r="AZ30" s="83">
        <v>971.74120600000003</v>
      </c>
      <c r="BA30" s="83">
        <v>168.052278</v>
      </c>
      <c r="BB30" s="83">
        <v>407.83281599999998</v>
      </c>
      <c r="BC30" s="83">
        <v>604.14054399999998</v>
      </c>
      <c r="BD30" s="83">
        <v>630.131709</v>
      </c>
      <c r="BE30" s="83">
        <v>0</v>
      </c>
      <c r="BF30" s="83">
        <v>7.2375999999999996E-2</v>
      </c>
      <c r="BG30" s="83">
        <v>965.01544899999999</v>
      </c>
      <c r="BH30" s="83">
        <v>165.15408300000001</v>
      </c>
      <c r="BI30" s="83">
        <v>402.87815000000001</v>
      </c>
      <c r="BJ30" s="83">
        <v>612.84257100000002</v>
      </c>
      <c r="BK30" s="83">
        <v>645.66494799999998</v>
      </c>
      <c r="BL30" s="83">
        <v>0</v>
      </c>
      <c r="BM30" s="83">
        <v>7.2375999999999996E-2</v>
      </c>
      <c r="BN30" s="83">
        <v>941.33801400000004</v>
      </c>
      <c r="BO30" s="83">
        <v>165.93680000000001</v>
      </c>
      <c r="BP30" s="83">
        <v>393.945762</v>
      </c>
      <c r="BQ30" s="83">
        <v>589.57637199999999</v>
      </c>
      <c r="BR30" s="83">
        <v>613.21276999999998</v>
      </c>
      <c r="BS30" s="83">
        <v>0</v>
      </c>
      <c r="BT30" s="83">
        <v>7.2375999999999996E-2</v>
      </c>
      <c r="BU30" s="83">
        <v>935.39640499999996</v>
      </c>
      <c r="BV30" s="83">
        <v>168.639533</v>
      </c>
      <c r="BW30" s="83">
        <v>392.27963799999998</v>
      </c>
      <c r="BX30" s="83">
        <v>580.41372200000001</v>
      </c>
      <c r="BY30" s="83">
        <v>599.11717299999998</v>
      </c>
      <c r="BZ30" s="83">
        <v>0</v>
      </c>
      <c r="CA30" s="83">
        <v>7.2375999999999996E-2</v>
      </c>
      <c r="CB30" s="83">
        <v>835.02172700000006</v>
      </c>
      <c r="CC30" s="83">
        <v>144.38490400000001</v>
      </c>
      <c r="CD30" s="83">
        <v>348.18679700000001</v>
      </c>
      <c r="CE30" s="83">
        <v>526.64274899999998</v>
      </c>
      <c r="CF30" s="83">
        <v>543.28606500000001</v>
      </c>
      <c r="CG30" s="83">
        <v>0</v>
      </c>
      <c r="CH30" s="83">
        <v>7.2375999999999996E-2</v>
      </c>
      <c r="CI30" s="83">
        <v>878.50966100000005</v>
      </c>
      <c r="CJ30" s="83">
        <v>156.10210699999999</v>
      </c>
      <c r="CK30" s="83">
        <v>367.68481800000001</v>
      </c>
      <c r="CL30" s="83">
        <v>547.93352400000003</v>
      </c>
      <c r="CM30" s="83">
        <v>563.71828300000004</v>
      </c>
      <c r="CN30" s="83">
        <v>0</v>
      </c>
      <c r="CO30" s="83">
        <v>7.2375999999999996E-2</v>
      </c>
      <c r="CP30" s="83">
        <v>899.179078</v>
      </c>
      <c r="CQ30" s="83">
        <v>155.243526</v>
      </c>
      <c r="CR30" s="83">
        <v>374.84781299999997</v>
      </c>
      <c r="CS30" s="83">
        <v>568.73242300000004</v>
      </c>
      <c r="CT30" s="83">
        <v>593.43897500000003</v>
      </c>
      <c r="CU30" s="83">
        <v>0</v>
      </c>
      <c r="CV30" s="83">
        <v>7.2375999999999996E-2</v>
      </c>
      <c r="CW30" s="83">
        <v>944.43782799999997</v>
      </c>
      <c r="CX30" s="83">
        <v>169.63605000000001</v>
      </c>
      <c r="CY30" s="83">
        <v>395.703531</v>
      </c>
      <c r="CZ30" s="83">
        <v>587.578033</v>
      </c>
      <c r="DA30" s="83">
        <v>608.65416000000005</v>
      </c>
      <c r="DB30" s="83">
        <v>0</v>
      </c>
      <c r="DC30" s="83">
        <v>7.2375999999999996E-2</v>
      </c>
      <c r="DD30" s="83">
        <v>875.17594199999996</v>
      </c>
      <c r="DE30" s="83">
        <v>154.99053799999999</v>
      </c>
      <c r="DF30" s="83">
        <v>366.025194</v>
      </c>
      <c r="DG30" s="83">
        <v>546.86334599999998</v>
      </c>
      <c r="DH30" s="83">
        <v>563.30029500000001</v>
      </c>
      <c r="DI30" s="83">
        <v>0</v>
      </c>
      <c r="DJ30" s="83">
        <v>7.2375999999999996E-2</v>
      </c>
      <c r="DK30" s="83">
        <v>900.95506899999998</v>
      </c>
      <c r="DL30" s="83">
        <v>156.44374999999999</v>
      </c>
      <c r="DM30" s="83">
        <v>375.95124199999998</v>
      </c>
      <c r="DN30" s="83">
        <v>568.24834099999998</v>
      </c>
      <c r="DO30" s="83">
        <v>591.66609000000005</v>
      </c>
      <c r="DP30" s="83">
        <v>0</v>
      </c>
      <c r="DQ30" s="83">
        <v>7.2375999999999996E-2</v>
      </c>
      <c r="DR30" s="83">
        <v>969.17039599999998</v>
      </c>
      <c r="DS30" s="83">
        <v>169.718334</v>
      </c>
      <c r="DT30" s="83">
        <v>406.48496899999998</v>
      </c>
      <c r="DU30" s="83">
        <v>606.59222999999997</v>
      </c>
      <c r="DV30" s="83">
        <v>631.35653100000002</v>
      </c>
      <c r="DW30" s="83">
        <v>0</v>
      </c>
      <c r="DX30" s="83">
        <v>7.2375999999999996E-2</v>
      </c>
      <c r="DY30" s="83">
        <v>868.72024899999997</v>
      </c>
      <c r="DZ30" s="83">
        <v>147.35504700000001</v>
      </c>
      <c r="EA30" s="83">
        <v>362.13882699999999</v>
      </c>
      <c r="EB30" s="83">
        <v>551.45239500000002</v>
      </c>
      <c r="EC30" s="83">
        <v>573.84402899999998</v>
      </c>
      <c r="ED30" s="83">
        <v>0</v>
      </c>
      <c r="EE30" s="83">
        <v>7.2375999999999996E-2</v>
      </c>
      <c r="EF30" s="83">
        <v>895.92227000000003</v>
      </c>
      <c r="EG30" s="83">
        <v>157.04824500000001</v>
      </c>
      <c r="EH30" s="83">
        <v>374.13530600000001</v>
      </c>
      <c r="EI30" s="83">
        <v>562.96618100000001</v>
      </c>
      <c r="EJ30" s="83">
        <v>584.22345199999995</v>
      </c>
      <c r="EK30" s="83">
        <v>0</v>
      </c>
      <c r="EL30" s="83">
        <v>7.2375999999999996E-2</v>
      </c>
      <c r="EM30" s="83">
        <v>859.36129500000004</v>
      </c>
      <c r="EN30" s="83">
        <v>151.74976699999999</v>
      </c>
      <c r="EO30" s="83">
        <v>359.04424699999998</v>
      </c>
      <c r="EP30" s="83">
        <v>537.91528100000005</v>
      </c>
      <c r="EQ30" s="83">
        <v>553.83677499999999</v>
      </c>
      <c r="ER30" s="83">
        <v>0</v>
      </c>
      <c r="ES30" s="83">
        <v>7.2375999999999996E-2</v>
      </c>
      <c r="ET30" s="83">
        <v>919.57312300000001</v>
      </c>
      <c r="EU30" s="83">
        <v>161.32729599999999</v>
      </c>
      <c r="EV30" s="83">
        <v>384.45144599999998</v>
      </c>
      <c r="EW30" s="83">
        <v>577.15589899999998</v>
      </c>
      <c r="EX30" s="83">
        <v>599.82763</v>
      </c>
      <c r="EY30" s="83">
        <v>0</v>
      </c>
      <c r="EZ30" s="83">
        <v>7.2375999999999996E-2</v>
      </c>
      <c r="FA30" s="83">
        <v>954.64560400000005</v>
      </c>
      <c r="FB30" s="83">
        <v>164.620012</v>
      </c>
      <c r="FC30" s="83">
        <v>398.66132399999998</v>
      </c>
      <c r="FD30" s="83">
        <v>603.46470499999998</v>
      </c>
      <c r="FE30" s="83">
        <v>632.92395299999998</v>
      </c>
      <c r="FF30" s="83">
        <v>0</v>
      </c>
      <c r="FG30" s="83">
        <v>7.2374999999999995E-2</v>
      </c>
      <c r="FH30" s="83">
        <v>913.33140400000002</v>
      </c>
      <c r="FI30" s="83">
        <v>173.62686099999999</v>
      </c>
      <c r="FJ30" s="83">
        <v>385.48380200000003</v>
      </c>
      <c r="FK30" s="83">
        <v>552.49734699999999</v>
      </c>
      <c r="FL30" s="83">
        <v>557.16983000000005</v>
      </c>
      <c r="FM30" s="83">
        <v>0</v>
      </c>
      <c r="FN30" s="83">
        <v>7.2374999999999995E-2</v>
      </c>
      <c r="FO30" s="83">
        <v>846.56862899999999</v>
      </c>
      <c r="FP30" s="83">
        <v>146.200568</v>
      </c>
      <c r="FQ30" s="83">
        <v>353.45782000000003</v>
      </c>
      <c r="FR30" s="83">
        <v>533.31817599999999</v>
      </c>
      <c r="FS30" s="83">
        <v>550.10586999999998</v>
      </c>
      <c r="FT30" s="83">
        <v>0</v>
      </c>
      <c r="FU30" s="83">
        <v>7.2375999999999996E-2</v>
      </c>
      <c r="FV30" s="83">
        <v>914.875044</v>
      </c>
      <c r="FW30" s="83">
        <v>158.248986</v>
      </c>
      <c r="FX30" s="83">
        <v>383.01003300000002</v>
      </c>
      <c r="FY30" s="83">
        <v>575.12192500000003</v>
      </c>
      <c r="FZ30" s="83">
        <v>596.854197</v>
      </c>
      <c r="GA30" s="83">
        <v>0</v>
      </c>
      <c r="GB30" s="83">
        <v>7.2374999999999995E-2</v>
      </c>
      <c r="GC30" s="83">
        <v>876.069435</v>
      </c>
      <c r="GD30" s="83">
        <v>154.19582</v>
      </c>
      <c r="GE30" s="83">
        <v>366.75005399999998</v>
      </c>
      <c r="GF30" s="83">
        <v>547.57414300000005</v>
      </c>
      <c r="GG30" s="83">
        <v>563.56576600000005</v>
      </c>
      <c r="GH30" s="83">
        <v>0</v>
      </c>
      <c r="GI30" s="83">
        <v>7.2375999999999996E-2</v>
      </c>
      <c r="GJ30" s="83">
        <v>856.02704300000005</v>
      </c>
      <c r="GK30" s="83">
        <v>153.78678400000001</v>
      </c>
      <c r="GL30" s="83">
        <v>358.78388699999999</v>
      </c>
      <c r="GM30" s="83">
        <v>530.80850099999998</v>
      </c>
      <c r="GN30" s="83">
        <v>541.73844299999996</v>
      </c>
      <c r="GO30" s="83">
        <v>0</v>
      </c>
      <c r="GP30" s="83">
        <v>7.2375999999999996E-2</v>
      </c>
      <c r="GQ30" s="83">
        <v>886.925614</v>
      </c>
      <c r="GR30" s="83">
        <v>156.641165</v>
      </c>
      <c r="GS30" s="83">
        <v>370.64230700000002</v>
      </c>
      <c r="GT30" s="83">
        <v>555.47114399999998</v>
      </c>
      <c r="GU30" s="83">
        <v>574.326412</v>
      </c>
      <c r="GV30" s="83">
        <v>0</v>
      </c>
      <c r="GW30" s="83">
        <v>7.2375999999999996E-2</v>
      </c>
      <c r="GX30" s="83">
        <v>935.18387199999995</v>
      </c>
      <c r="GY30" s="83">
        <v>164.77479700000001</v>
      </c>
      <c r="GZ30" s="83">
        <v>391.53797600000001</v>
      </c>
      <c r="HA30" s="83">
        <v>585.32652800000005</v>
      </c>
      <c r="HB30" s="83">
        <v>607.81373299999996</v>
      </c>
      <c r="HC30" s="83">
        <v>0</v>
      </c>
      <c r="HD30" s="83">
        <v>7.2375999999999996E-2</v>
      </c>
      <c r="HE30" s="83">
        <v>892.05052899999998</v>
      </c>
      <c r="HF30" s="83">
        <v>166.64189400000001</v>
      </c>
      <c r="HG30" s="83">
        <v>376.00559700000002</v>
      </c>
      <c r="HH30" s="83">
        <v>543.482213</v>
      </c>
      <c r="HI30" s="83">
        <v>551.29269199999999</v>
      </c>
      <c r="HJ30" s="83">
        <v>0</v>
      </c>
      <c r="HK30" s="83">
        <v>7.0154999999999995E-2</v>
      </c>
      <c r="HL30" s="83">
        <v>846.62980800000003</v>
      </c>
      <c r="HM30" s="83">
        <v>150.28894099999999</v>
      </c>
      <c r="HN30" s="83">
        <v>354.30385899999999</v>
      </c>
      <c r="HO30" s="83">
        <v>528.11512300000004</v>
      </c>
      <c r="HP30" s="83">
        <v>543.11486200000002</v>
      </c>
      <c r="HQ30" s="83">
        <v>0</v>
      </c>
      <c r="HR30" s="83">
        <v>6.9815000000000002E-2</v>
      </c>
      <c r="HS30" s="83">
        <v>926.04576499999996</v>
      </c>
      <c r="HT30" s="83">
        <v>167.10259199999999</v>
      </c>
      <c r="HU30" s="83">
        <v>388.57113600000002</v>
      </c>
      <c r="HV30" s="83">
        <v>573.84931200000005</v>
      </c>
      <c r="HW30" s="83">
        <v>590.83879300000001</v>
      </c>
      <c r="HX30" s="83">
        <v>0</v>
      </c>
      <c r="HY30" s="83">
        <v>7.2375999999999996E-2</v>
      </c>
      <c r="HZ30" s="83">
        <v>1029.157066</v>
      </c>
      <c r="IA30" s="83">
        <v>182.96474799999999</v>
      </c>
      <c r="IB30" s="83">
        <v>432.21693299999998</v>
      </c>
      <c r="IC30" s="83">
        <v>641.26086399999997</v>
      </c>
      <c r="ID30" s="83">
        <v>669.68101999999999</v>
      </c>
      <c r="IE30" s="83">
        <v>0</v>
      </c>
      <c r="IF30" s="83">
        <v>7.2375999999999996E-2</v>
      </c>
      <c r="IG30" s="83">
        <v>1090.0620530000001</v>
      </c>
      <c r="IH30" s="83">
        <v>205.063625</v>
      </c>
      <c r="II30" s="83">
        <v>460.22434700000002</v>
      </c>
      <c r="IJ30" s="83">
        <v>664.16167099999996</v>
      </c>
      <c r="IK30" s="83">
        <v>686.50460299999997</v>
      </c>
      <c r="IL30" s="83">
        <v>0</v>
      </c>
      <c r="IM30" s="83">
        <v>7.2375999999999996E-2</v>
      </c>
      <c r="IN30" s="83">
        <v>926.30109600000003</v>
      </c>
      <c r="IO30" s="83">
        <v>163.77511799999999</v>
      </c>
      <c r="IP30" s="83">
        <v>387.805994</v>
      </c>
      <c r="IQ30" s="83">
        <v>579.110725</v>
      </c>
      <c r="IR30" s="83">
        <v>600.34904800000004</v>
      </c>
      <c r="IS30" s="83">
        <v>0</v>
      </c>
      <c r="IT30" s="83">
        <v>7.2375999999999996E-2</v>
      </c>
      <c r="IU30" s="83">
        <v>925.30964300000005</v>
      </c>
      <c r="IV30" s="83">
        <v>161.73138800000001</v>
      </c>
      <c r="IW30" s="83">
        <v>386.863676</v>
      </c>
      <c r="IX30" s="83">
        <v>581.39408200000003</v>
      </c>
      <c r="IY30" s="83">
        <v>604.98660800000005</v>
      </c>
      <c r="IZ30" s="83">
        <v>0</v>
      </c>
      <c r="JA30" s="83">
        <v>7.2375999999999996E-2</v>
      </c>
      <c r="JB30" s="83">
        <v>900.65961400000003</v>
      </c>
      <c r="JC30" s="83">
        <v>158.90414200000001</v>
      </c>
      <c r="JD30" s="83">
        <v>377.00848999999999</v>
      </c>
      <c r="JE30" s="83">
        <v>563.10191299999997</v>
      </c>
      <c r="JF30" s="83">
        <v>581.79581900000005</v>
      </c>
      <c r="JG30" s="83">
        <v>0</v>
      </c>
      <c r="JH30" s="83">
        <v>7.2375999999999996E-2</v>
      </c>
      <c r="JI30" s="83">
        <v>953.48100599999998</v>
      </c>
      <c r="JJ30" s="83">
        <v>183.73030299999999</v>
      </c>
      <c r="JK30" s="83">
        <v>403.11326600000001</v>
      </c>
      <c r="JL30" s="83">
        <v>573.641707</v>
      </c>
      <c r="JM30" s="83">
        <v>578.95989099999997</v>
      </c>
      <c r="JN30" s="83">
        <v>1.9065829999999999</v>
      </c>
      <c r="JO30" s="83">
        <v>2.0280969999999998</v>
      </c>
      <c r="JP30" s="83">
        <v>1620.76127</v>
      </c>
      <c r="JQ30" s="83">
        <v>316.782062</v>
      </c>
      <c r="JR30" s="83">
        <v>583.24549100000002</v>
      </c>
      <c r="JS30" s="83">
        <v>1.505495</v>
      </c>
      <c r="JT30" s="83">
        <v>1.449692</v>
      </c>
      <c r="JU30" s="83">
        <v>356.11132800000001</v>
      </c>
      <c r="JV30" s="83">
        <v>356.11127099999999</v>
      </c>
      <c r="JW30" s="83">
        <v>363.22666299999997</v>
      </c>
      <c r="JX30" s="83">
        <v>467.01576399999999</v>
      </c>
      <c r="JY30" s="83">
        <v>386.81932899999998</v>
      </c>
      <c r="JZ30" s="83">
        <v>367.06070899999997</v>
      </c>
      <c r="KA30" s="83">
        <v>360.58963399999999</v>
      </c>
      <c r="KB30" s="83">
        <v>362.98809</v>
      </c>
      <c r="KC30" s="83">
        <v>362.98804000000001</v>
      </c>
      <c r="KD30" s="83">
        <v>375.092896</v>
      </c>
      <c r="KE30" s="83">
        <v>484.46492699999999</v>
      </c>
      <c r="KF30" s="83">
        <v>400.283951</v>
      </c>
      <c r="KG30" s="83">
        <v>378.84233799999998</v>
      </c>
      <c r="KH30" s="83">
        <v>372.399451</v>
      </c>
      <c r="KI30" s="83">
        <v>338.20958300000001</v>
      </c>
      <c r="KJ30" s="83">
        <v>338.209541</v>
      </c>
      <c r="KK30" s="83">
        <v>344.69383099999999</v>
      </c>
      <c r="KL30" s="83">
        <v>443.89986499999998</v>
      </c>
      <c r="KM30" s="83">
        <v>367.37025699999998</v>
      </c>
      <c r="KN30" s="83">
        <v>348.19551899999999</v>
      </c>
      <c r="KO30" s="83">
        <v>342.21184599999998</v>
      </c>
      <c r="KP30" s="83">
        <v>345.78965899999997</v>
      </c>
      <c r="KQ30" s="83">
        <v>345.789604</v>
      </c>
      <c r="KR30" s="83">
        <v>355.38160900000003</v>
      </c>
      <c r="KS30" s="83">
        <v>456.20133700000002</v>
      </c>
      <c r="KT30" s="83">
        <v>378.19497799999999</v>
      </c>
      <c r="KU30" s="83">
        <v>359.18875500000001</v>
      </c>
      <c r="KV30" s="83">
        <v>352.79400399999997</v>
      </c>
      <c r="KW30" s="83">
        <v>353.648573</v>
      </c>
      <c r="KX30" s="83">
        <v>353.64851900000002</v>
      </c>
      <c r="KY30" s="83">
        <v>361.794262</v>
      </c>
      <c r="KZ30" s="83">
        <v>466.76885099999998</v>
      </c>
      <c r="LA30" s="83">
        <v>385.905258</v>
      </c>
      <c r="LB30" s="83">
        <v>365.42875600000002</v>
      </c>
      <c r="LC30" s="83">
        <v>359.19443200000001</v>
      </c>
      <c r="LD30" s="83">
        <v>352.81157300000001</v>
      </c>
      <c r="LE30" s="83">
        <v>352.81150700000001</v>
      </c>
      <c r="LF30" s="83">
        <v>363.38147800000002</v>
      </c>
      <c r="LG30" s="83">
        <v>467.65293500000001</v>
      </c>
      <c r="LH30" s="83">
        <v>387.13733200000001</v>
      </c>
      <c r="LI30" s="83">
        <v>367.18279000000001</v>
      </c>
      <c r="LJ30" s="83">
        <v>360.74643700000001</v>
      </c>
      <c r="LK30" s="83">
        <v>343.44611800000001</v>
      </c>
      <c r="LL30" s="83">
        <v>343.446077</v>
      </c>
      <c r="LM30" s="83">
        <v>352.72803299999998</v>
      </c>
      <c r="LN30" s="83">
        <v>453.65426300000001</v>
      </c>
      <c r="LO30" s="83">
        <v>375.68360899999999</v>
      </c>
      <c r="LP30" s="83">
        <v>356.420163</v>
      </c>
      <c r="LQ30" s="83">
        <v>350.17004500000002</v>
      </c>
      <c r="LR30" s="83">
        <v>345.50635999999997</v>
      </c>
      <c r="LS30" s="83">
        <v>345.50631900000002</v>
      </c>
      <c r="LT30" s="83">
        <v>375.12511699999999</v>
      </c>
      <c r="LU30" s="83">
        <v>484.13158399999998</v>
      </c>
      <c r="LV30" s="83">
        <v>400.15707500000002</v>
      </c>
      <c r="LW30" s="83">
        <v>378.93540899999999</v>
      </c>
      <c r="LX30" s="83">
        <v>372.420436</v>
      </c>
      <c r="LY30" s="83">
        <v>367.41857900000002</v>
      </c>
      <c r="LZ30" s="83">
        <v>367.41854799999999</v>
      </c>
      <c r="MA30" s="83">
        <v>355.75961599999999</v>
      </c>
      <c r="MB30" s="83">
        <v>458.94528700000001</v>
      </c>
      <c r="MC30" s="83">
        <v>379.44837899999999</v>
      </c>
      <c r="MD30" s="83">
        <v>359.32998700000002</v>
      </c>
      <c r="ME30" s="83">
        <v>353.20255400000002</v>
      </c>
      <c r="MF30" s="83">
        <v>362.8689</v>
      </c>
      <c r="MG30" s="83">
        <v>362.868855</v>
      </c>
      <c r="MH30" s="83">
        <v>372.21086200000002</v>
      </c>
      <c r="MI30" s="83">
        <v>480.32063799999997</v>
      </c>
      <c r="MJ30" s="83">
        <v>397.10819500000002</v>
      </c>
      <c r="MK30" s="83">
        <v>375.91078900000002</v>
      </c>
      <c r="ML30" s="83">
        <v>369.54880700000001</v>
      </c>
      <c r="MM30" s="83">
        <v>326.93330099999997</v>
      </c>
      <c r="MN30" s="83">
        <v>326.93324699999999</v>
      </c>
      <c r="MO30" s="83">
        <v>361.05775599999998</v>
      </c>
      <c r="MP30" s="83">
        <v>465.78060599999998</v>
      </c>
      <c r="MQ30" s="83">
        <v>385.11358999999999</v>
      </c>
      <c r="MR30" s="83">
        <v>364.67896000000002</v>
      </c>
      <c r="MS30" s="83">
        <v>358.46511199999998</v>
      </c>
      <c r="MT30" s="83">
        <v>359.00190800000001</v>
      </c>
      <c r="MU30" s="83">
        <v>359.001846</v>
      </c>
      <c r="MV30" s="83">
        <v>342.532647</v>
      </c>
      <c r="MW30" s="83">
        <v>439.879167</v>
      </c>
      <c r="MX30" s="83">
        <v>364.58167600000002</v>
      </c>
      <c r="MY30" s="83">
        <v>346.15902299999999</v>
      </c>
      <c r="MZ30" s="83">
        <v>340.04333100000002</v>
      </c>
      <c r="NA30" s="83">
        <v>325.18483099999997</v>
      </c>
      <c r="NB30" s="83">
        <v>325.18478399999998</v>
      </c>
      <c r="NC30" s="83">
        <v>333.17956700000002</v>
      </c>
      <c r="ND30" s="83">
        <v>430.35384299999998</v>
      </c>
      <c r="NE30" s="83">
        <v>355.57900999999998</v>
      </c>
      <c r="NF30" s="83">
        <v>336.40286500000002</v>
      </c>
      <c r="NG30" s="83">
        <v>330.80181900000002</v>
      </c>
      <c r="NH30" s="83">
        <v>378.63539300000002</v>
      </c>
      <c r="NI30" s="83">
        <v>378.63535899999999</v>
      </c>
      <c r="NJ30" s="83">
        <v>381.30242600000003</v>
      </c>
      <c r="NK30" s="83">
        <v>492.71891099999999</v>
      </c>
      <c r="NL30" s="83">
        <v>407.038298</v>
      </c>
      <c r="NM30" s="83">
        <v>385.062049</v>
      </c>
      <c r="NN30" s="83">
        <v>378.57723900000002</v>
      </c>
      <c r="NO30" s="83">
        <v>387.84064000000001</v>
      </c>
      <c r="NP30" s="83">
        <v>387.840598</v>
      </c>
      <c r="NQ30" s="83">
        <v>405.51159899999999</v>
      </c>
      <c r="NR30" s="83">
        <v>522.92129199999999</v>
      </c>
      <c r="NS30" s="83">
        <v>432.49633899999998</v>
      </c>
      <c r="NT30" s="83">
        <v>409.65433400000001</v>
      </c>
      <c r="NU30" s="83">
        <v>402.597579</v>
      </c>
      <c r="NV30" s="83">
        <v>346.97717599999999</v>
      </c>
      <c r="NW30" s="83">
        <v>346.97711199999998</v>
      </c>
      <c r="NX30" s="83">
        <v>356.59281900000002</v>
      </c>
      <c r="NY30" s="83">
        <v>457.78361799999999</v>
      </c>
      <c r="NZ30" s="83">
        <v>379.49899799999997</v>
      </c>
      <c r="OA30" s="83">
        <v>360.40804900000001</v>
      </c>
      <c r="OB30" s="83">
        <v>353.99780099999998</v>
      </c>
      <c r="OC30" s="83">
        <v>346.921155</v>
      </c>
      <c r="OD30" s="83">
        <v>346.921108</v>
      </c>
      <c r="OE30" s="83">
        <v>382.73451499999999</v>
      </c>
      <c r="OF30" s="83">
        <v>493.40589199999999</v>
      </c>
      <c r="OG30" s="83">
        <v>408.12079999999997</v>
      </c>
      <c r="OH30" s="83">
        <v>386.64373999999998</v>
      </c>
      <c r="OI30" s="83">
        <v>379.97939200000002</v>
      </c>
      <c r="OJ30" s="83">
        <v>377.99740700000001</v>
      </c>
      <c r="OK30" s="83">
        <v>377.99735600000002</v>
      </c>
      <c r="OL30" s="83">
        <v>360.35024600000003</v>
      </c>
      <c r="OM30" s="83">
        <v>463.96969999999999</v>
      </c>
      <c r="ON30" s="83">
        <v>384.00857600000001</v>
      </c>
      <c r="OO30" s="83">
        <v>364.07098200000001</v>
      </c>
      <c r="OP30" s="83">
        <v>357.74632500000001</v>
      </c>
      <c r="OQ30" s="83">
        <v>336.22873700000002</v>
      </c>
      <c r="OR30" s="83">
        <v>336.228677</v>
      </c>
      <c r="OS30" s="83">
        <v>345.74452300000002</v>
      </c>
      <c r="OT30" s="83">
        <v>442.54411700000003</v>
      </c>
      <c r="OU30" s="83">
        <v>367.48679900000002</v>
      </c>
      <c r="OV30" s="83">
        <v>349.53159699999998</v>
      </c>
      <c r="OW30" s="83">
        <v>343.21946700000001</v>
      </c>
      <c r="OX30" s="83">
        <v>391.56680599999999</v>
      </c>
      <c r="OY30" s="83">
        <v>391.56674800000002</v>
      </c>
      <c r="OZ30" s="83">
        <v>390.25834600000002</v>
      </c>
      <c r="PA30" s="83">
        <v>503.43372199999999</v>
      </c>
      <c r="PB30" s="83">
        <v>416.26489800000002</v>
      </c>
      <c r="PC30" s="83">
        <v>394.22764799999999</v>
      </c>
      <c r="PD30" s="83">
        <v>387.45140199999997</v>
      </c>
      <c r="PE30" s="83">
        <v>387.64689099999998</v>
      </c>
      <c r="PF30" s="83">
        <v>387.64682699999997</v>
      </c>
      <c r="PG30" s="83">
        <v>409.774136</v>
      </c>
      <c r="PH30" s="83">
        <v>532.00555499999996</v>
      </c>
      <c r="PI30" s="83">
        <v>438.35904499999998</v>
      </c>
      <c r="PJ30" s="83">
        <v>413.62082600000002</v>
      </c>
      <c r="PK30" s="83">
        <v>406.87181099999998</v>
      </c>
      <c r="PL30" s="83">
        <v>368.25509499999998</v>
      </c>
      <c r="PM30" s="83">
        <v>368.255042</v>
      </c>
      <c r="PN30" s="83">
        <v>378.13875200000001</v>
      </c>
      <c r="PO30" s="83">
        <v>487.33365600000002</v>
      </c>
      <c r="PP30" s="83">
        <v>403.13513799999998</v>
      </c>
      <c r="PQ30" s="83">
        <v>382.03706099999999</v>
      </c>
      <c r="PR30" s="83">
        <v>375.40757300000001</v>
      </c>
      <c r="PS30" s="83">
        <v>363.96004900000003</v>
      </c>
      <c r="PT30" s="83">
        <v>363.95997299999999</v>
      </c>
      <c r="PU30" s="83">
        <v>374.22728999999998</v>
      </c>
      <c r="PV30" s="83">
        <v>480.67946999999998</v>
      </c>
      <c r="PW30" s="83">
        <v>398.334023</v>
      </c>
      <c r="PX30" s="83">
        <v>378.273122</v>
      </c>
      <c r="PY30" s="83">
        <v>371.49513000000002</v>
      </c>
      <c r="PZ30" s="83">
        <v>326.90550000000002</v>
      </c>
      <c r="QA30" s="83">
        <v>326.905462</v>
      </c>
      <c r="QB30" s="83">
        <v>335.28753799999998</v>
      </c>
      <c r="QC30" s="83">
        <v>432.089629</v>
      </c>
      <c r="QD30" s="83">
        <v>357.443985</v>
      </c>
      <c r="QE30" s="83">
        <v>338.65492399999999</v>
      </c>
      <c r="QF30" s="83">
        <v>332.87604800000003</v>
      </c>
      <c r="QG30" s="83">
        <v>342.252163</v>
      </c>
      <c r="QH30" s="83">
        <v>342.25212199999999</v>
      </c>
      <c r="QI30" s="83">
        <v>351.58994999999999</v>
      </c>
      <c r="QJ30" s="83">
        <v>451.82888300000002</v>
      </c>
      <c r="QK30" s="83">
        <v>374.33729399999999</v>
      </c>
      <c r="QL30" s="83">
        <v>355.30422399999998</v>
      </c>
      <c r="QM30" s="83">
        <v>349.03579200000001</v>
      </c>
      <c r="QN30" s="83">
        <v>353.312881</v>
      </c>
      <c r="QO30" s="83">
        <v>353.312836</v>
      </c>
      <c r="QP30" s="83">
        <v>362.36638900000003</v>
      </c>
      <c r="QQ30" s="83">
        <v>468.201458</v>
      </c>
      <c r="QR30" s="83">
        <v>386.74714</v>
      </c>
      <c r="QS30" s="83">
        <v>365.96406100000002</v>
      </c>
    </row>
    <row r="31" spans="6:461" x14ac:dyDescent="0.25">
      <c r="F31" s="82" t="str">
        <f xml:space="preserve"> _xll.EPMOlapMemberO("[PRDDESCR].[].[HELGAS GFREE WHOLEM 500G]","","HELGAS GFREE WHOLEM 500G","","000")</f>
        <v>HELGAS GFREE WHOLEM 500G</v>
      </c>
      <c r="G31" s="82" t="str">
        <f xml:space="preserve"> _xll.EPMOlapMemberO("[PRDID].[].[168848]","","168848","","000")</f>
        <v>168848</v>
      </c>
      <c r="H31" s="82" t="str">
        <f xml:space="preserve"> _xll.EPMOlapMemberO("[LOCID].[].[6130]","","6130","","000")</f>
        <v>6130</v>
      </c>
      <c r="I31" s="82" t="str">
        <f xml:space="preserve"> _xll.EPMOlapMemberO("[LOCDESCR].[].[QBA-Canning Vale]","","QBA-Canning Vale","","000")</f>
        <v>QBA-Canning Vale</v>
      </c>
      <c r="J31" s="82" t="str">
        <f xml:space="preserve"> _xll.EPMOlapMemberO("[KEY_FIGURES].[].[ZGFAPPROVEDFCSTQTY]","","Approved Forecast","","000")</f>
        <v>Approved Forecast</v>
      </c>
      <c r="K31" s="83">
        <v>73.345862999999994</v>
      </c>
      <c r="L31" s="83">
        <v>145.282163</v>
      </c>
      <c r="M31" s="83">
        <v>96.260112000000007</v>
      </c>
      <c r="N31" s="83">
        <v>19.539194999999999</v>
      </c>
      <c r="O31" s="83">
        <v>241.45091600000001</v>
      </c>
      <c r="P31" s="83">
        <v>51.244007000000003</v>
      </c>
      <c r="Q31" s="83">
        <v>151.32244499999999</v>
      </c>
      <c r="R31" s="83">
        <v>78.727772000000002</v>
      </c>
      <c r="S31" s="83">
        <v>135.09169399999999</v>
      </c>
      <c r="T31" s="83">
        <v>95.104821999999999</v>
      </c>
      <c r="U31" s="83">
        <v>21.616322</v>
      </c>
      <c r="V31" s="83">
        <v>229.60011600000001</v>
      </c>
      <c r="W31" s="83">
        <v>45.160240000000002</v>
      </c>
      <c r="X31" s="83">
        <v>145.45362399999999</v>
      </c>
      <c r="Y31" s="83">
        <v>73.869361999999995</v>
      </c>
      <c r="Z31" s="83">
        <v>130.74800300000001</v>
      </c>
      <c r="AA31" s="83">
        <v>90.230261999999996</v>
      </c>
      <c r="AB31" s="83">
        <v>21.874419</v>
      </c>
      <c r="AC31" s="83">
        <v>232.25494499999999</v>
      </c>
      <c r="AD31" s="83">
        <v>45.15757</v>
      </c>
      <c r="AE31" s="83">
        <v>148.72372100000001</v>
      </c>
      <c r="AF31" s="83">
        <v>74.451115999999999</v>
      </c>
      <c r="AG31" s="83">
        <v>135.46395899999999</v>
      </c>
      <c r="AH31" s="83">
        <v>90.064166</v>
      </c>
      <c r="AI31" s="83">
        <v>21.265931999999999</v>
      </c>
      <c r="AJ31" s="83">
        <v>233.89390299999999</v>
      </c>
      <c r="AK31" s="83">
        <v>45.192659999999997</v>
      </c>
      <c r="AL31" s="83">
        <v>144.532005</v>
      </c>
      <c r="AM31" s="83">
        <v>72.893270000000001</v>
      </c>
      <c r="AN31" s="83">
        <v>131.656578</v>
      </c>
      <c r="AO31" s="83">
        <v>87.757585000000006</v>
      </c>
      <c r="AP31" s="83">
        <v>20.999673000000001</v>
      </c>
      <c r="AQ31" s="83">
        <v>219.544432</v>
      </c>
      <c r="AR31" s="83">
        <v>42.954107</v>
      </c>
      <c r="AS31" s="83">
        <v>139.36838599999999</v>
      </c>
      <c r="AT31" s="83">
        <v>70.813126999999994</v>
      </c>
      <c r="AU31" s="83">
        <v>126.925387</v>
      </c>
      <c r="AV31" s="83">
        <v>84.955162999999999</v>
      </c>
      <c r="AW31" s="83">
        <v>20.576153999999999</v>
      </c>
      <c r="AX31" s="83">
        <v>228.85111800000001</v>
      </c>
      <c r="AY31" s="83">
        <v>44.862631</v>
      </c>
      <c r="AZ31" s="83">
        <v>141.14368099999999</v>
      </c>
      <c r="BA31" s="83">
        <v>71.111600999999993</v>
      </c>
      <c r="BB31" s="83">
        <v>128.57394199999999</v>
      </c>
      <c r="BC31" s="83">
        <v>85.653999999999996</v>
      </c>
      <c r="BD31" s="83">
        <v>20.461991999999999</v>
      </c>
      <c r="BE31" s="83">
        <v>231.772265</v>
      </c>
      <c r="BF31" s="83">
        <v>45.600259999999999</v>
      </c>
      <c r="BG31" s="83">
        <v>147.26063099999999</v>
      </c>
      <c r="BH31" s="83">
        <v>75.389599000000004</v>
      </c>
      <c r="BI31" s="83">
        <v>134.10408000000001</v>
      </c>
      <c r="BJ31" s="83">
        <v>90.531971999999996</v>
      </c>
      <c r="BK31" s="83">
        <v>21.847085</v>
      </c>
      <c r="BL31" s="83">
        <v>228.10849099999999</v>
      </c>
      <c r="BM31" s="83">
        <v>43.838160000000002</v>
      </c>
      <c r="BN31" s="83">
        <v>149.46532999999999</v>
      </c>
      <c r="BO31" s="83">
        <v>75.574805999999995</v>
      </c>
      <c r="BP31" s="83">
        <v>136.11941200000001</v>
      </c>
      <c r="BQ31" s="83">
        <v>90.470281</v>
      </c>
      <c r="BR31" s="83">
        <v>22.084167999999998</v>
      </c>
      <c r="BS31" s="83">
        <v>224.96026000000001</v>
      </c>
      <c r="BT31" s="83">
        <v>45.189779999999999</v>
      </c>
      <c r="BU31" s="83">
        <v>143.69412700000001</v>
      </c>
      <c r="BV31" s="83">
        <v>75.087254999999999</v>
      </c>
      <c r="BW31" s="83">
        <v>130.77490299999999</v>
      </c>
      <c r="BX31" s="83">
        <v>89.283631</v>
      </c>
      <c r="BY31" s="83">
        <v>22.281998999999999</v>
      </c>
      <c r="BZ31" s="83">
        <v>201.457359</v>
      </c>
      <c r="CA31" s="83">
        <v>39.796889</v>
      </c>
      <c r="CB31" s="83">
        <v>128.53564900000001</v>
      </c>
      <c r="CC31" s="83">
        <v>66.237595999999996</v>
      </c>
      <c r="CD31" s="83">
        <v>116.99399699999999</v>
      </c>
      <c r="CE31" s="83">
        <v>78.610935999999995</v>
      </c>
      <c r="CF31" s="83">
        <v>19.757127000000001</v>
      </c>
      <c r="CG31" s="83">
        <v>293.13858699999997</v>
      </c>
      <c r="CH31" s="83">
        <v>54.259289000000003</v>
      </c>
      <c r="CI31" s="83">
        <v>182.477743</v>
      </c>
      <c r="CJ31" s="83">
        <v>86.356004999999996</v>
      </c>
      <c r="CK31" s="83">
        <v>166.55180799999999</v>
      </c>
      <c r="CL31" s="83">
        <v>107.805204</v>
      </c>
      <c r="CM31" s="83">
        <v>22.602499000000002</v>
      </c>
      <c r="CN31" s="83">
        <v>241.53230500000001</v>
      </c>
      <c r="CO31" s="83">
        <v>46.571508999999999</v>
      </c>
      <c r="CP31" s="83">
        <v>152.976392</v>
      </c>
      <c r="CQ31" s="83">
        <v>76.636554000000004</v>
      </c>
      <c r="CR31" s="83">
        <v>139.35388599999999</v>
      </c>
      <c r="CS31" s="83">
        <v>92.131781000000004</v>
      </c>
      <c r="CT31" s="83">
        <v>22.164377000000002</v>
      </c>
      <c r="CU31" s="83">
        <v>222.12742299999999</v>
      </c>
      <c r="CV31" s="83">
        <v>44.104424000000002</v>
      </c>
      <c r="CW31" s="83">
        <v>149.91776300000001</v>
      </c>
      <c r="CX31" s="83">
        <v>78.782263999999998</v>
      </c>
      <c r="CY31" s="83">
        <v>136.41536600000001</v>
      </c>
      <c r="CZ31" s="83">
        <v>93.425123999999997</v>
      </c>
      <c r="DA31" s="83">
        <v>23.527303</v>
      </c>
      <c r="DB31" s="83">
        <v>248.46711400000001</v>
      </c>
      <c r="DC31" s="83">
        <v>48.503422</v>
      </c>
      <c r="DD31" s="83">
        <v>149.383126</v>
      </c>
      <c r="DE31" s="83">
        <v>74.355158000000003</v>
      </c>
      <c r="DF31" s="83">
        <v>136.10559000000001</v>
      </c>
      <c r="DG31" s="83">
        <v>89.655113</v>
      </c>
      <c r="DH31" s="83">
        <v>21.348098</v>
      </c>
      <c r="DI31" s="83">
        <v>255.16063199999999</v>
      </c>
      <c r="DJ31" s="83">
        <v>49.155721</v>
      </c>
      <c r="DK31" s="83">
        <v>160.820787</v>
      </c>
      <c r="DL31" s="83">
        <v>79.951137000000003</v>
      </c>
      <c r="DM31" s="83">
        <v>146.579858</v>
      </c>
      <c r="DN31" s="83">
        <v>97.392938999999998</v>
      </c>
      <c r="DO31" s="83">
        <v>22.352433999999999</v>
      </c>
      <c r="DP31" s="83">
        <v>236.237694</v>
      </c>
      <c r="DQ31" s="83">
        <v>46.650483999999999</v>
      </c>
      <c r="DR31" s="83">
        <v>145.451774</v>
      </c>
      <c r="DS31" s="83">
        <v>73.995914999999997</v>
      </c>
      <c r="DT31" s="83">
        <v>132.44086899999999</v>
      </c>
      <c r="DU31" s="83">
        <v>88.333579</v>
      </c>
      <c r="DV31" s="83">
        <v>21.767982</v>
      </c>
      <c r="DW31" s="83">
        <v>226.453903</v>
      </c>
      <c r="DX31" s="83">
        <v>44.674385999999998</v>
      </c>
      <c r="DY31" s="83">
        <v>148.94995299999999</v>
      </c>
      <c r="DZ31" s="83">
        <v>77.116219999999998</v>
      </c>
      <c r="EA31" s="83">
        <v>135.59658200000001</v>
      </c>
      <c r="EB31" s="83">
        <v>92.104639000000006</v>
      </c>
      <c r="EC31" s="83">
        <v>22.64303</v>
      </c>
      <c r="ED31" s="83">
        <v>244.28832199999999</v>
      </c>
      <c r="EE31" s="83">
        <v>46.746333999999997</v>
      </c>
      <c r="EF31" s="83">
        <v>154.36964399999999</v>
      </c>
      <c r="EG31" s="83">
        <v>76.643934000000002</v>
      </c>
      <c r="EH31" s="83">
        <v>140.659019</v>
      </c>
      <c r="EI31" s="83">
        <v>92.522350000000003</v>
      </c>
      <c r="EJ31" s="83">
        <v>21.941941</v>
      </c>
      <c r="EK31" s="83">
        <v>239.79574500000001</v>
      </c>
      <c r="EL31" s="83">
        <v>46.409205</v>
      </c>
      <c r="EM31" s="83">
        <v>151.356595</v>
      </c>
      <c r="EN31" s="83">
        <v>75.666850999999994</v>
      </c>
      <c r="EO31" s="83">
        <v>137.93135000000001</v>
      </c>
      <c r="EP31" s="83">
        <v>91.922360999999995</v>
      </c>
      <c r="EQ31" s="83">
        <v>21.303291000000002</v>
      </c>
      <c r="ER31" s="83">
        <v>265.67368499999998</v>
      </c>
      <c r="ES31" s="83">
        <v>50.767797999999999</v>
      </c>
      <c r="ET31" s="83">
        <v>160.502825</v>
      </c>
      <c r="EU31" s="83">
        <v>78.126045000000005</v>
      </c>
      <c r="EV31" s="83">
        <v>146.328374</v>
      </c>
      <c r="EW31" s="83">
        <v>95.182671999999997</v>
      </c>
      <c r="EX31" s="83">
        <v>21.853165000000001</v>
      </c>
      <c r="EY31" s="83">
        <v>252.664636</v>
      </c>
      <c r="EZ31" s="83">
        <v>48.451746</v>
      </c>
      <c r="FA31" s="83">
        <v>166.32086899999999</v>
      </c>
      <c r="FB31" s="83">
        <v>83.664771000000002</v>
      </c>
      <c r="FC31" s="83">
        <v>151.54057800000001</v>
      </c>
      <c r="FD31" s="83">
        <v>101.33089</v>
      </c>
      <c r="FE31" s="83">
        <v>23.736628</v>
      </c>
      <c r="FF31" s="83">
        <v>268.02076599999998</v>
      </c>
      <c r="FG31" s="83">
        <v>51.07441</v>
      </c>
      <c r="FH31" s="83">
        <v>203.66432399999999</v>
      </c>
      <c r="FI31" s="83">
        <v>93.037713999999994</v>
      </c>
      <c r="FJ31" s="83">
        <v>185.99413200000001</v>
      </c>
      <c r="FK31" s="83">
        <v>116.816913</v>
      </c>
      <c r="FL31" s="83">
        <v>23.982748000000001</v>
      </c>
      <c r="FM31" s="83">
        <v>326.39178800000002</v>
      </c>
      <c r="FN31" s="83">
        <v>59.693182</v>
      </c>
      <c r="FO31" s="83">
        <v>168.51737</v>
      </c>
      <c r="FP31" s="83">
        <v>84.648420000000002</v>
      </c>
      <c r="FQ31" s="83">
        <v>153.54825</v>
      </c>
      <c r="FR31" s="83">
        <v>102.59389</v>
      </c>
      <c r="FS31" s="83">
        <v>23.973323000000001</v>
      </c>
      <c r="FT31" s="83">
        <v>255.88615799999999</v>
      </c>
      <c r="FU31" s="83">
        <v>49.825561</v>
      </c>
      <c r="FV31" s="83">
        <v>174.76840000000001</v>
      </c>
      <c r="FW31" s="83">
        <v>90.824198999999993</v>
      </c>
      <c r="FX31" s="83">
        <v>159.03588999999999</v>
      </c>
      <c r="FY31" s="83">
        <v>107.38130200000001</v>
      </c>
      <c r="FZ31" s="83">
        <v>27.331629</v>
      </c>
      <c r="GA31" s="83">
        <v>297.054914</v>
      </c>
      <c r="GB31" s="83">
        <v>59.041680999999997</v>
      </c>
      <c r="GC31" s="83">
        <v>176.349108</v>
      </c>
      <c r="GD31" s="83">
        <v>88.771551000000002</v>
      </c>
      <c r="GE31" s="83">
        <v>160.674376</v>
      </c>
      <c r="GF31" s="83">
        <v>107.479145</v>
      </c>
      <c r="GG31" s="83">
        <v>25.207180000000001</v>
      </c>
      <c r="GH31" s="83">
        <v>277.58428400000003</v>
      </c>
      <c r="GI31" s="83">
        <v>53.010764000000002</v>
      </c>
      <c r="GJ31" s="83">
        <v>175.304205</v>
      </c>
      <c r="GK31" s="83">
        <v>86.830017999999995</v>
      </c>
      <c r="GL31" s="83">
        <v>159.744923</v>
      </c>
      <c r="GM31" s="83">
        <v>104.93444</v>
      </c>
      <c r="GN31" s="83">
        <v>24.789784000000001</v>
      </c>
      <c r="GO31" s="83">
        <v>260.69146699999999</v>
      </c>
      <c r="GP31" s="83">
        <v>50.063853000000002</v>
      </c>
      <c r="GQ31" s="83">
        <v>163.55827600000001</v>
      </c>
      <c r="GR31" s="83">
        <v>80.887906999999998</v>
      </c>
      <c r="GS31" s="83">
        <v>149.09754000000001</v>
      </c>
      <c r="GT31" s="83">
        <v>98.787977999999995</v>
      </c>
      <c r="GU31" s="83">
        <v>22.46453</v>
      </c>
      <c r="GV31" s="83">
        <v>279.61841299999998</v>
      </c>
      <c r="GW31" s="83">
        <v>54.405650999999999</v>
      </c>
      <c r="GX31" s="83">
        <v>178.27206200000001</v>
      </c>
      <c r="GY31" s="83">
        <v>90.390314000000004</v>
      </c>
      <c r="GZ31" s="83">
        <v>162.34100100000001</v>
      </c>
      <c r="HA31" s="83">
        <v>108.069084</v>
      </c>
      <c r="HB31" s="83">
        <v>26.493991999999999</v>
      </c>
      <c r="HC31" s="83">
        <v>285.13143200000002</v>
      </c>
      <c r="HD31" s="83">
        <v>54.463265999999997</v>
      </c>
      <c r="HE31" s="83">
        <v>215.74512799999999</v>
      </c>
      <c r="HF31" s="83">
        <v>98.640631999999997</v>
      </c>
      <c r="HG31" s="83">
        <v>197.100359</v>
      </c>
      <c r="HH31" s="83">
        <v>125.31537299999999</v>
      </c>
      <c r="HI31" s="83">
        <v>24.534443</v>
      </c>
      <c r="HJ31" s="83">
        <v>338.37074899999999</v>
      </c>
      <c r="HK31" s="83">
        <v>58.087594000000003</v>
      </c>
      <c r="HL31" s="83">
        <v>169.81347099999999</v>
      </c>
      <c r="HM31" s="83">
        <v>79.691928000000004</v>
      </c>
      <c r="HN31" s="83">
        <v>154.97055399999999</v>
      </c>
      <c r="HO31" s="83">
        <v>98.776939999999996</v>
      </c>
      <c r="HP31" s="83">
        <v>21.298051000000001</v>
      </c>
      <c r="HQ31" s="83">
        <v>171.218604</v>
      </c>
      <c r="HR31" s="83">
        <v>36.847901</v>
      </c>
      <c r="HS31" s="83">
        <v>110.29916299999999</v>
      </c>
      <c r="HT31" s="83">
        <v>62.139690000000002</v>
      </c>
      <c r="HU31" s="83">
        <v>100.142065</v>
      </c>
      <c r="HV31" s="83">
        <v>71.324606000000003</v>
      </c>
      <c r="HW31" s="83">
        <v>19.952978000000002</v>
      </c>
      <c r="HX31" s="83">
        <v>242.04727600000001</v>
      </c>
      <c r="HY31" s="83">
        <v>45.2639</v>
      </c>
      <c r="HZ31" s="83">
        <v>153.51990499999999</v>
      </c>
      <c r="IA31" s="83">
        <v>74.489756999999997</v>
      </c>
      <c r="IB31" s="83">
        <v>150.250595</v>
      </c>
      <c r="IC31" s="83">
        <v>90.887422999999998</v>
      </c>
      <c r="ID31" s="83">
        <v>20.756564000000001</v>
      </c>
      <c r="IE31" s="83">
        <v>299.96160200000003</v>
      </c>
      <c r="IF31" s="83">
        <v>54.696446000000002</v>
      </c>
      <c r="IG31" s="83">
        <v>217.13908900000001</v>
      </c>
      <c r="IH31" s="83">
        <v>95.268405999999999</v>
      </c>
      <c r="II31" s="83">
        <v>200.91360499999999</v>
      </c>
      <c r="IJ31" s="83">
        <v>123.640066</v>
      </c>
      <c r="IK31" s="83">
        <v>22.155795999999999</v>
      </c>
      <c r="IL31" s="83">
        <v>217.09788599999999</v>
      </c>
      <c r="IM31" s="83">
        <v>43.755859000000001</v>
      </c>
      <c r="IN31" s="83">
        <v>124.47909900000001</v>
      </c>
      <c r="IO31" s="83">
        <v>68.475696999999997</v>
      </c>
      <c r="IP31" s="83">
        <v>115.201864</v>
      </c>
      <c r="IQ31" s="83">
        <v>78.942400000000006</v>
      </c>
      <c r="IR31" s="83">
        <v>21.793610999999999</v>
      </c>
      <c r="IS31" s="83">
        <v>188.76385099999999</v>
      </c>
      <c r="IT31" s="83">
        <v>38.338020999999998</v>
      </c>
      <c r="IU31" s="83">
        <v>122.976767</v>
      </c>
      <c r="IV31" s="83">
        <v>65.409997000000004</v>
      </c>
      <c r="IW31" s="83">
        <v>113.814295</v>
      </c>
      <c r="IX31" s="83">
        <v>77.122846999999993</v>
      </c>
      <c r="IY31" s="83">
        <v>19.796244999999999</v>
      </c>
      <c r="IZ31" s="83">
        <v>210.49766</v>
      </c>
      <c r="JA31" s="83">
        <v>40.834860999999997</v>
      </c>
      <c r="JB31" s="83">
        <v>136.09926200000001</v>
      </c>
      <c r="JC31" s="83">
        <v>69.143750999999995</v>
      </c>
      <c r="JD31" s="83">
        <v>123.92986500000001</v>
      </c>
      <c r="JE31" s="83">
        <v>82.592536999999993</v>
      </c>
      <c r="JF31" s="83">
        <v>20.310379000000001</v>
      </c>
      <c r="JG31" s="83">
        <v>178.102858</v>
      </c>
      <c r="JH31" s="83">
        <v>36.857996999999997</v>
      </c>
      <c r="JI31" s="83">
        <v>134.41179500000001</v>
      </c>
      <c r="JJ31" s="83">
        <v>66.753417999999996</v>
      </c>
      <c r="JK31" s="83">
        <v>122.513042</v>
      </c>
      <c r="JL31" s="83">
        <v>81.357204999999993</v>
      </c>
      <c r="JM31" s="83">
        <v>18.638425000000002</v>
      </c>
      <c r="JN31" s="83">
        <v>131.91351</v>
      </c>
      <c r="JO31" s="83">
        <v>39.473326999999998</v>
      </c>
      <c r="JP31" s="83">
        <v>93.196889999999996</v>
      </c>
      <c r="JQ31" s="83">
        <v>45.308973999999999</v>
      </c>
      <c r="JR31" s="83">
        <v>75.694800000000001</v>
      </c>
      <c r="JS31" s="83">
        <v>109.919673</v>
      </c>
      <c r="JT31" s="83">
        <v>110.832967</v>
      </c>
      <c r="JU31" s="83">
        <v>93.840850000000003</v>
      </c>
      <c r="JV31" s="83">
        <v>94.594853000000001</v>
      </c>
      <c r="JW31" s="83">
        <v>92.965964</v>
      </c>
      <c r="JX31" s="83">
        <v>93.719992000000005</v>
      </c>
      <c r="JY31" s="83">
        <v>92.965914999999995</v>
      </c>
      <c r="JZ31" s="83">
        <v>93.719937999999999</v>
      </c>
      <c r="KA31" s="83">
        <v>92.965884000000003</v>
      </c>
      <c r="KB31" s="83">
        <v>91.374235999999996</v>
      </c>
      <c r="KC31" s="83">
        <v>90.610837000000004</v>
      </c>
      <c r="KD31" s="83">
        <v>92.158049000000005</v>
      </c>
      <c r="KE31" s="83">
        <v>91.394678999999996</v>
      </c>
      <c r="KF31" s="83">
        <v>92.157970000000006</v>
      </c>
      <c r="KG31" s="83">
        <v>91.394633999999996</v>
      </c>
      <c r="KH31" s="83">
        <v>92.157939999999996</v>
      </c>
      <c r="KI31" s="83">
        <v>101.93463199999999</v>
      </c>
      <c r="KJ31" s="83">
        <v>102.774011</v>
      </c>
      <c r="KK31" s="83">
        <v>101.05259599999999</v>
      </c>
      <c r="KL31" s="83">
        <v>101.891992</v>
      </c>
      <c r="KM31" s="83">
        <v>101.052547</v>
      </c>
      <c r="KN31" s="83">
        <v>101.891952</v>
      </c>
      <c r="KO31" s="83">
        <v>101.05251699999999</v>
      </c>
      <c r="KP31" s="83">
        <v>98.700834</v>
      </c>
      <c r="KQ31" s="83">
        <v>97.799513000000005</v>
      </c>
      <c r="KR31" s="83">
        <v>98.700682</v>
      </c>
      <c r="KS31" s="83">
        <v>97.799420999999995</v>
      </c>
      <c r="KT31" s="83">
        <v>98.700643999999997</v>
      </c>
      <c r="KU31" s="83">
        <v>97.799368999999999</v>
      </c>
      <c r="KV31" s="83">
        <v>98.700591000000003</v>
      </c>
      <c r="KW31" s="83">
        <v>95.177299000000005</v>
      </c>
      <c r="KX31" s="83">
        <v>95.966286999999994</v>
      </c>
      <c r="KY31" s="83">
        <v>94.844910999999996</v>
      </c>
      <c r="KZ31" s="83">
        <v>95.633927999999997</v>
      </c>
      <c r="LA31" s="83">
        <v>94.844862000000006</v>
      </c>
      <c r="LB31" s="83">
        <v>95.633863000000005</v>
      </c>
      <c r="LC31" s="83">
        <v>94.844831999999997</v>
      </c>
      <c r="LD31" s="83">
        <v>89.088964000000004</v>
      </c>
      <c r="LE31" s="83">
        <v>88.552374</v>
      </c>
      <c r="LF31" s="83">
        <v>89.451526000000001</v>
      </c>
      <c r="LG31" s="83">
        <v>88.914964999999995</v>
      </c>
      <c r="LH31" s="83">
        <v>89.451476</v>
      </c>
      <c r="LI31" s="83">
        <v>88.914910000000006</v>
      </c>
      <c r="LJ31" s="83">
        <v>89.451421999999994</v>
      </c>
      <c r="LK31" s="83">
        <v>123.782056</v>
      </c>
      <c r="LL31" s="83">
        <v>125.090114</v>
      </c>
      <c r="LM31" s="83">
        <v>123.781892</v>
      </c>
      <c r="LN31" s="83">
        <v>125.090007</v>
      </c>
      <c r="LO31" s="83">
        <v>123.78180500000001</v>
      </c>
      <c r="LP31" s="83">
        <v>125.089945</v>
      </c>
      <c r="LQ31" s="83">
        <v>123.781744</v>
      </c>
      <c r="LR31" s="83">
        <v>109.324343</v>
      </c>
      <c r="LS31" s="83">
        <v>108.33468999999999</v>
      </c>
      <c r="LT31" s="83">
        <v>116.76560000000001</v>
      </c>
      <c r="LU31" s="83">
        <v>115.77598999999999</v>
      </c>
      <c r="LV31" s="83">
        <v>116.765531</v>
      </c>
      <c r="LW31" s="83">
        <v>115.775921</v>
      </c>
      <c r="LX31" s="83">
        <v>116.765489</v>
      </c>
      <c r="LY31" s="83">
        <v>114.48855500000001</v>
      </c>
      <c r="LZ31" s="83">
        <v>115.38022100000001</v>
      </c>
      <c r="MA31" s="83">
        <v>106.62168800000001</v>
      </c>
      <c r="MB31" s="83">
        <v>107.51339</v>
      </c>
      <c r="MC31" s="83">
        <v>106.621612</v>
      </c>
      <c r="MD31" s="83">
        <v>107.513327</v>
      </c>
      <c r="ME31" s="83">
        <v>106.621584</v>
      </c>
      <c r="MF31" s="83">
        <v>102.360968</v>
      </c>
      <c r="MG31" s="83">
        <v>101.47136399999999</v>
      </c>
      <c r="MH31" s="83">
        <v>102.36089200000001</v>
      </c>
      <c r="MI31" s="83">
        <v>101.471306</v>
      </c>
      <c r="MJ31" s="83">
        <v>102.360827</v>
      </c>
      <c r="MK31" s="83">
        <v>101.471244</v>
      </c>
      <c r="ML31" s="83">
        <v>102.360805</v>
      </c>
      <c r="MM31" s="83">
        <v>102.663653</v>
      </c>
      <c r="MN31" s="83">
        <v>103.533675</v>
      </c>
      <c r="MO31" s="83">
        <v>113.044691</v>
      </c>
      <c r="MP31" s="83">
        <v>113.914756</v>
      </c>
      <c r="MQ31" s="83">
        <v>113.044631</v>
      </c>
      <c r="MR31" s="83">
        <v>113.914699</v>
      </c>
      <c r="MS31" s="83">
        <v>113.044601</v>
      </c>
      <c r="MT31" s="83">
        <v>119.635091</v>
      </c>
      <c r="MU31" s="83">
        <v>118.917428</v>
      </c>
      <c r="MV31" s="83">
        <v>107.490313</v>
      </c>
      <c r="MW31" s="83">
        <v>106.77264599999999</v>
      </c>
      <c r="MX31" s="83">
        <v>107.49024199999999</v>
      </c>
      <c r="MY31" s="83">
        <v>106.772589</v>
      </c>
      <c r="MZ31" s="83">
        <v>107.49018599999999</v>
      </c>
      <c r="NA31" s="83">
        <v>106.76536299999999</v>
      </c>
      <c r="NB31" s="83">
        <v>107.78151800000001</v>
      </c>
      <c r="NC31" s="83">
        <v>106.765202</v>
      </c>
      <c r="ND31" s="83">
        <v>107.78142699999999</v>
      </c>
      <c r="NE31" s="83">
        <v>106.765162</v>
      </c>
      <c r="NF31" s="83">
        <v>107.781379</v>
      </c>
      <c r="NG31" s="83">
        <v>106.76511000000001</v>
      </c>
      <c r="NH31" s="83">
        <v>106.09696</v>
      </c>
      <c r="NI31" s="83">
        <v>105.238088</v>
      </c>
      <c r="NJ31" s="83">
        <v>103.85603399999999</v>
      </c>
      <c r="NK31" s="83">
        <v>102.99718</v>
      </c>
      <c r="NL31" s="83">
        <v>103.855981</v>
      </c>
      <c r="NM31" s="83">
        <v>102.99712599999999</v>
      </c>
      <c r="NN31" s="83">
        <v>103.855943</v>
      </c>
      <c r="NO31" s="83">
        <v>101.95989899999999</v>
      </c>
      <c r="NP31" s="83">
        <v>102.85013499999999</v>
      </c>
      <c r="NQ31" s="83">
        <v>104.11269799999999</v>
      </c>
      <c r="NR31" s="83">
        <v>105.00294700000001</v>
      </c>
      <c r="NS31" s="83">
        <v>104.11264199999999</v>
      </c>
      <c r="NT31" s="83">
        <v>105.002898</v>
      </c>
      <c r="NU31" s="83">
        <v>104.112594</v>
      </c>
      <c r="NV31" s="83">
        <v>102.71373199999999</v>
      </c>
      <c r="NW31" s="83">
        <v>101.820148</v>
      </c>
      <c r="NX31" s="83">
        <v>102.71357999999999</v>
      </c>
      <c r="NY31" s="83">
        <v>101.820083</v>
      </c>
      <c r="NZ31" s="83">
        <v>102.71355200000001</v>
      </c>
      <c r="OA31" s="83">
        <v>101.820021</v>
      </c>
      <c r="OB31" s="83">
        <v>102.713526</v>
      </c>
      <c r="OC31" s="83">
        <v>105.81737099999999</v>
      </c>
      <c r="OD31" s="83">
        <v>106.784372</v>
      </c>
      <c r="OE31" s="83">
        <v>115.470135</v>
      </c>
      <c r="OF31" s="83">
        <v>116.437113</v>
      </c>
      <c r="OG31" s="83">
        <v>115.470069</v>
      </c>
      <c r="OH31" s="83">
        <v>116.43707000000001</v>
      </c>
      <c r="OI31" s="83">
        <v>115.470009</v>
      </c>
      <c r="OJ31" s="83">
        <v>115.326341</v>
      </c>
      <c r="OK31" s="83">
        <v>114.364959</v>
      </c>
      <c r="OL31" s="83">
        <v>105.787852</v>
      </c>
      <c r="OM31" s="83">
        <v>104.82653000000001</v>
      </c>
      <c r="ON31" s="83">
        <v>105.78779900000001</v>
      </c>
      <c r="OO31" s="83">
        <v>104.826476</v>
      </c>
      <c r="OP31" s="83">
        <v>105.787761</v>
      </c>
      <c r="OQ31" s="83">
        <v>101.202921</v>
      </c>
      <c r="OR31" s="83">
        <v>102.111197</v>
      </c>
      <c r="OS31" s="83">
        <v>101.202787</v>
      </c>
      <c r="OT31" s="83">
        <v>102.11110100000001</v>
      </c>
      <c r="OU31" s="83">
        <v>101.202716</v>
      </c>
      <c r="OV31" s="83">
        <v>102.11103799999999</v>
      </c>
      <c r="OW31" s="83">
        <v>101.202681</v>
      </c>
      <c r="OX31" s="83">
        <v>106.53795700000001</v>
      </c>
      <c r="OY31" s="83">
        <v>105.59656</v>
      </c>
      <c r="OZ31" s="83">
        <v>103.131643</v>
      </c>
      <c r="PA31" s="83">
        <v>102.190302</v>
      </c>
      <c r="PB31" s="83">
        <v>103.131615</v>
      </c>
      <c r="PC31" s="83">
        <v>102.190242</v>
      </c>
      <c r="PD31" s="83">
        <v>103.131569</v>
      </c>
      <c r="PE31" s="83">
        <v>106.963984</v>
      </c>
      <c r="PF31" s="83">
        <v>107.906933</v>
      </c>
      <c r="PG31" s="83">
        <v>110.64201</v>
      </c>
      <c r="PH31" s="83">
        <v>111.585021</v>
      </c>
      <c r="PI31" s="83">
        <v>110.64196200000001</v>
      </c>
      <c r="PJ31" s="83">
        <v>111.58497199999999</v>
      </c>
      <c r="PK31" s="83">
        <v>110.641914</v>
      </c>
      <c r="PL31" s="83">
        <v>108.03879000000001</v>
      </c>
      <c r="PM31" s="83">
        <v>107.096908</v>
      </c>
      <c r="PN31" s="83">
        <v>108.038645</v>
      </c>
      <c r="PO31" s="83">
        <v>107.096796</v>
      </c>
      <c r="PP31" s="83">
        <v>108.038606</v>
      </c>
      <c r="PQ31" s="83">
        <v>107.096735</v>
      </c>
      <c r="PR31" s="83">
        <v>108.03855</v>
      </c>
      <c r="PS31" s="83">
        <v>104.28684699999999</v>
      </c>
      <c r="PT31" s="83">
        <v>105.15268399999999</v>
      </c>
      <c r="PU31" s="83">
        <v>104.286736</v>
      </c>
      <c r="PV31" s="83">
        <v>105.152593</v>
      </c>
      <c r="PW31" s="83">
        <v>104.286666</v>
      </c>
      <c r="PX31" s="83">
        <v>105.152545</v>
      </c>
      <c r="PY31" s="83">
        <v>104.28662799999999</v>
      </c>
      <c r="PZ31" s="83">
        <v>93.215861000000004</v>
      </c>
      <c r="QA31" s="83">
        <v>92.448097000000004</v>
      </c>
      <c r="QB31" s="83">
        <v>93.215767999999997</v>
      </c>
      <c r="QC31" s="83">
        <v>92.448032999999995</v>
      </c>
      <c r="QD31" s="83">
        <v>93.215692000000004</v>
      </c>
      <c r="QE31" s="83">
        <v>92.447976999999995</v>
      </c>
      <c r="QF31" s="83">
        <v>93.215656999999993</v>
      </c>
      <c r="QG31" s="83">
        <v>130.15965700000001</v>
      </c>
      <c r="QH31" s="83">
        <v>131.58008699999999</v>
      </c>
      <c r="QI31" s="83">
        <v>130.15946199999999</v>
      </c>
      <c r="QJ31" s="83">
        <v>131.579958</v>
      </c>
      <c r="QK31" s="83">
        <v>130.15940900000001</v>
      </c>
      <c r="QL31" s="83">
        <v>131.57990899999999</v>
      </c>
      <c r="QM31" s="83">
        <v>130.15936099999999</v>
      </c>
      <c r="QN31" s="83">
        <v>110.401465</v>
      </c>
      <c r="QO31" s="83">
        <v>109.413265</v>
      </c>
      <c r="QP31" s="83">
        <v>110.401326</v>
      </c>
      <c r="QQ31" s="83">
        <v>109.41316999999999</v>
      </c>
      <c r="QR31" s="83">
        <v>110.40127200000001</v>
      </c>
      <c r="QS31" s="83">
        <v>109.413113</v>
      </c>
    </row>
    <row r="32" spans="6:461" x14ac:dyDescent="0.25">
      <c r="F32" s="82" t="str">
        <f xml:space="preserve"> _xll.EPMOlapMemberO("[PRDDESCR].[].[HELGAS GFREE WHOLEM 500G]","","HELGAS GFREE WHOLEM 500G","","000")</f>
        <v>HELGAS GFREE WHOLEM 500G</v>
      </c>
      <c r="G32" s="82" t="str">
        <f xml:space="preserve"> _xll.EPMOlapMemberO("[PRDID].[].[168848]","","168848","","000")</f>
        <v>168848</v>
      </c>
      <c r="H32" s="82" t="str">
        <f xml:space="preserve"> _xll.EPMOlapMemberO("[LOCID].[].[6134]","","6134","","000")</f>
        <v>6134</v>
      </c>
      <c r="I32" s="82" t="str">
        <f xml:space="preserve"> _xll.EPMOlapMemberO("[LOCDESCR].[].[QBA-West Richmond SA]","","QBA-West Richmond SA","","000")</f>
        <v>QBA-West Richmond SA</v>
      </c>
      <c r="J32" s="82" t="str">
        <f xml:space="preserve"> _xll.EPMOlapMemberO("[KEY_FIGURES].[].[ZGFAPPROVEDFCSTQTY]","","Approved Forecast","","000")</f>
        <v>Approved Forecast</v>
      </c>
      <c r="K32" s="83">
        <v>153.51928799999999</v>
      </c>
      <c r="L32" s="83">
        <v>342.19382000000002</v>
      </c>
      <c r="M32" s="83">
        <v>180.86873700000001</v>
      </c>
      <c r="N32" s="83">
        <v>102.95242399999999</v>
      </c>
      <c r="O32" s="83">
        <v>351.56898200000001</v>
      </c>
      <c r="P32" s="83">
        <v>122.830348</v>
      </c>
      <c r="Q32" s="83">
        <v>335.85271</v>
      </c>
      <c r="R32" s="83">
        <v>169.93215499999999</v>
      </c>
      <c r="S32" s="83">
        <v>338.30476499999997</v>
      </c>
      <c r="T32" s="83">
        <v>183.34885600000001</v>
      </c>
      <c r="U32" s="83">
        <v>98.214663000000002</v>
      </c>
      <c r="V32" s="83">
        <v>349.30203599999999</v>
      </c>
      <c r="W32" s="83">
        <v>116.323707</v>
      </c>
      <c r="X32" s="83">
        <v>324.48543999999998</v>
      </c>
      <c r="Y32" s="83">
        <v>164.139959</v>
      </c>
      <c r="Z32" s="83">
        <v>324.096608</v>
      </c>
      <c r="AA32" s="83">
        <v>180.21141900000001</v>
      </c>
      <c r="AB32" s="83">
        <v>93.983400000000003</v>
      </c>
      <c r="AC32" s="83">
        <v>349.49767700000001</v>
      </c>
      <c r="AD32" s="83">
        <v>116.37248099999999</v>
      </c>
      <c r="AE32" s="83">
        <v>321.94675100000001</v>
      </c>
      <c r="AF32" s="83">
        <v>161.12448900000001</v>
      </c>
      <c r="AG32" s="83">
        <v>325.77484600000003</v>
      </c>
      <c r="AH32" s="83">
        <v>180.43930900000001</v>
      </c>
      <c r="AI32" s="83">
        <v>94.938635000000005</v>
      </c>
      <c r="AJ32" s="83">
        <v>349.948036</v>
      </c>
      <c r="AK32" s="83">
        <v>118.30068799999999</v>
      </c>
      <c r="AL32" s="83">
        <v>368.63745999999998</v>
      </c>
      <c r="AM32" s="83">
        <v>189.35725299999999</v>
      </c>
      <c r="AN32" s="83">
        <v>375.94187599999998</v>
      </c>
      <c r="AO32" s="83">
        <v>205.59224599999999</v>
      </c>
      <c r="AP32" s="83">
        <v>103.678206</v>
      </c>
      <c r="AQ32" s="83">
        <v>409.266616</v>
      </c>
      <c r="AR32" s="83">
        <v>126.44279899999999</v>
      </c>
      <c r="AS32" s="83">
        <v>366.43384200000003</v>
      </c>
      <c r="AT32" s="83">
        <v>192.70143999999999</v>
      </c>
      <c r="AU32" s="83">
        <v>369.94223099999999</v>
      </c>
      <c r="AV32" s="83">
        <v>203.74861000000001</v>
      </c>
      <c r="AW32" s="83">
        <v>101.94536100000001</v>
      </c>
      <c r="AX32" s="83">
        <v>427.74894</v>
      </c>
      <c r="AY32" s="83">
        <v>130.63743099999999</v>
      </c>
      <c r="AZ32" s="83">
        <v>375.51989400000002</v>
      </c>
      <c r="BA32" s="83">
        <v>191.59066100000001</v>
      </c>
      <c r="BB32" s="83">
        <v>383.02475399999997</v>
      </c>
      <c r="BC32" s="83">
        <v>210.393868</v>
      </c>
      <c r="BD32" s="83">
        <v>108.713903</v>
      </c>
      <c r="BE32" s="83">
        <v>439.35400800000002</v>
      </c>
      <c r="BF32" s="83">
        <v>132.651489</v>
      </c>
      <c r="BG32" s="83">
        <v>369.43727699999999</v>
      </c>
      <c r="BH32" s="83">
        <v>182.70742200000001</v>
      </c>
      <c r="BI32" s="83">
        <v>369.59904699999998</v>
      </c>
      <c r="BJ32" s="83">
        <v>206.25711699999999</v>
      </c>
      <c r="BK32" s="83">
        <v>107.614549</v>
      </c>
      <c r="BL32" s="83">
        <v>375.78697099999999</v>
      </c>
      <c r="BM32" s="83">
        <v>118.717653</v>
      </c>
      <c r="BN32" s="83">
        <v>349.770847</v>
      </c>
      <c r="BO32" s="83">
        <v>177.31209999999999</v>
      </c>
      <c r="BP32" s="83">
        <v>347.83845200000002</v>
      </c>
      <c r="BQ32" s="83">
        <v>194.72209599999999</v>
      </c>
      <c r="BR32" s="83">
        <v>100.039056</v>
      </c>
      <c r="BS32" s="83">
        <v>432.27999699999998</v>
      </c>
      <c r="BT32" s="83">
        <v>137.31046499999999</v>
      </c>
      <c r="BU32" s="83">
        <v>397.11397399999998</v>
      </c>
      <c r="BV32" s="83">
        <v>201.550882</v>
      </c>
      <c r="BW32" s="83">
        <v>397.54999800000002</v>
      </c>
      <c r="BX32" s="83">
        <v>221.468571</v>
      </c>
      <c r="BY32" s="83">
        <v>113.06659500000001</v>
      </c>
      <c r="BZ32" s="83">
        <v>337.11911700000002</v>
      </c>
      <c r="CA32" s="83">
        <v>103.78064999999999</v>
      </c>
      <c r="CB32" s="83">
        <v>303.49256300000002</v>
      </c>
      <c r="CC32" s="83">
        <v>153.79299499999999</v>
      </c>
      <c r="CD32" s="83">
        <v>303.96271999999999</v>
      </c>
      <c r="CE32" s="83">
        <v>168.95670699999999</v>
      </c>
      <c r="CF32" s="83">
        <v>85.177888999999993</v>
      </c>
      <c r="CG32" s="83">
        <v>396.33163100000002</v>
      </c>
      <c r="CH32" s="83">
        <v>122.52727299999999</v>
      </c>
      <c r="CI32" s="83">
        <v>359.50429000000003</v>
      </c>
      <c r="CJ32" s="83">
        <v>177.275047</v>
      </c>
      <c r="CK32" s="83">
        <v>361.84803599999998</v>
      </c>
      <c r="CL32" s="83">
        <v>201.412508</v>
      </c>
      <c r="CM32" s="83">
        <v>104.745259</v>
      </c>
      <c r="CN32" s="83">
        <v>397.71864099999999</v>
      </c>
      <c r="CO32" s="83">
        <v>129.035346</v>
      </c>
      <c r="CP32" s="83">
        <v>371.87413600000002</v>
      </c>
      <c r="CQ32" s="83">
        <v>190.62357900000001</v>
      </c>
      <c r="CR32" s="83">
        <v>363.82070099999999</v>
      </c>
      <c r="CS32" s="83">
        <v>204.55763400000001</v>
      </c>
      <c r="CT32" s="83">
        <v>104.252286</v>
      </c>
      <c r="CU32" s="83">
        <v>380.55099999999999</v>
      </c>
      <c r="CV32" s="83">
        <v>114.70469</v>
      </c>
      <c r="CW32" s="83">
        <v>350.32819699999999</v>
      </c>
      <c r="CX32" s="83">
        <v>169.66599199999999</v>
      </c>
      <c r="CY32" s="83">
        <v>354.82122099999998</v>
      </c>
      <c r="CZ32" s="83">
        <v>196.75141500000001</v>
      </c>
      <c r="DA32" s="83">
        <v>103.32600499999999</v>
      </c>
      <c r="DB32" s="83">
        <v>349.38046700000001</v>
      </c>
      <c r="DC32" s="83">
        <v>114.261184</v>
      </c>
      <c r="DD32" s="83">
        <v>316.94651299999998</v>
      </c>
      <c r="DE32" s="83">
        <v>164.84082699999999</v>
      </c>
      <c r="DF32" s="83">
        <v>311.702224</v>
      </c>
      <c r="DG32" s="83">
        <v>175.18024199999999</v>
      </c>
      <c r="DH32" s="83">
        <v>88.450451000000001</v>
      </c>
      <c r="DI32" s="83">
        <v>362.75700899999998</v>
      </c>
      <c r="DJ32" s="83">
        <v>114.234641</v>
      </c>
      <c r="DK32" s="83">
        <v>329.07201400000002</v>
      </c>
      <c r="DL32" s="83">
        <v>168.49960100000001</v>
      </c>
      <c r="DM32" s="83">
        <v>326.97828399999997</v>
      </c>
      <c r="DN32" s="83">
        <v>182.79773800000001</v>
      </c>
      <c r="DO32" s="83">
        <v>92.999098000000004</v>
      </c>
      <c r="DP32" s="83">
        <v>376.01028600000001</v>
      </c>
      <c r="DQ32" s="83">
        <v>119.527815</v>
      </c>
      <c r="DR32" s="83">
        <v>339.30921499999999</v>
      </c>
      <c r="DS32" s="83">
        <v>170.81318099999999</v>
      </c>
      <c r="DT32" s="83">
        <v>338.25880100000001</v>
      </c>
      <c r="DU32" s="83">
        <v>189.10785200000001</v>
      </c>
      <c r="DV32" s="83">
        <v>97.973457999999994</v>
      </c>
      <c r="DW32" s="83">
        <v>356.15841999999998</v>
      </c>
      <c r="DX32" s="83">
        <v>116.11781000000001</v>
      </c>
      <c r="DY32" s="83">
        <v>336.30416300000002</v>
      </c>
      <c r="DZ32" s="83">
        <v>173.84761599999999</v>
      </c>
      <c r="EA32" s="83">
        <v>331.16796499999998</v>
      </c>
      <c r="EB32" s="83">
        <v>188.046774</v>
      </c>
      <c r="EC32" s="83">
        <v>95.812697</v>
      </c>
      <c r="ED32" s="83">
        <v>359.265131</v>
      </c>
      <c r="EE32" s="83">
        <v>112.031704</v>
      </c>
      <c r="EF32" s="83">
        <v>326.722554</v>
      </c>
      <c r="EG32" s="83">
        <v>158.468219</v>
      </c>
      <c r="EH32" s="83">
        <v>329.05896200000001</v>
      </c>
      <c r="EI32" s="83">
        <v>182.95990599999999</v>
      </c>
      <c r="EJ32" s="83">
        <v>96.585274999999996</v>
      </c>
      <c r="EK32" s="83">
        <v>361.05232899999999</v>
      </c>
      <c r="EL32" s="83">
        <v>108.547127</v>
      </c>
      <c r="EM32" s="83">
        <v>322.57647700000001</v>
      </c>
      <c r="EN32" s="83">
        <v>157.14853600000001</v>
      </c>
      <c r="EO32" s="83">
        <v>327.24923699999999</v>
      </c>
      <c r="EP32" s="83">
        <v>180.95721800000001</v>
      </c>
      <c r="EQ32" s="83">
        <v>93.938933000000006</v>
      </c>
      <c r="ER32" s="83">
        <v>398.15031499999998</v>
      </c>
      <c r="ES32" s="83">
        <v>130.37428800000001</v>
      </c>
      <c r="ET32" s="83">
        <v>362.23735599999998</v>
      </c>
      <c r="EU32" s="83">
        <v>182.10503700000001</v>
      </c>
      <c r="EV32" s="83">
        <v>360.978724</v>
      </c>
      <c r="EW32" s="83">
        <v>201.858801</v>
      </c>
      <c r="EX32" s="83">
        <v>105.906584</v>
      </c>
      <c r="EY32" s="83">
        <v>363.664334</v>
      </c>
      <c r="EZ32" s="83">
        <v>114.78484400000001</v>
      </c>
      <c r="FA32" s="83">
        <v>343.02542099999999</v>
      </c>
      <c r="FB32" s="83">
        <v>168.96399299999999</v>
      </c>
      <c r="FC32" s="83">
        <v>343.56569400000001</v>
      </c>
      <c r="FD32" s="83">
        <v>192.219706</v>
      </c>
      <c r="FE32" s="83">
        <v>101.52113799999999</v>
      </c>
      <c r="FF32" s="83">
        <v>371.61631199999999</v>
      </c>
      <c r="FG32" s="83">
        <v>118.69557</v>
      </c>
      <c r="FH32" s="83">
        <v>392.43619000000001</v>
      </c>
      <c r="FI32" s="83">
        <v>203.54149200000001</v>
      </c>
      <c r="FJ32" s="83">
        <v>394.62209000000001</v>
      </c>
      <c r="FK32" s="83">
        <v>216.73172</v>
      </c>
      <c r="FL32" s="83">
        <v>106.400847</v>
      </c>
      <c r="FM32" s="83">
        <v>399.67964999999998</v>
      </c>
      <c r="FN32" s="83">
        <v>114.515553</v>
      </c>
      <c r="FO32" s="83">
        <v>300.22610700000001</v>
      </c>
      <c r="FP32" s="83">
        <v>146.82080500000001</v>
      </c>
      <c r="FQ32" s="83">
        <v>302.48545000000001</v>
      </c>
      <c r="FR32" s="83">
        <v>167.04408599999999</v>
      </c>
      <c r="FS32" s="83">
        <v>86.153683999999998</v>
      </c>
      <c r="FT32" s="83">
        <v>370.239262</v>
      </c>
      <c r="FU32" s="83">
        <v>117.938215</v>
      </c>
      <c r="FV32" s="83">
        <v>351.91121600000002</v>
      </c>
      <c r="FW32" s="83">
        <v>180.10943700000001</v>
      </c>
      <c r="FX32" s="83">
        <v>347.85458399999999</v>
      </c>
      <c r="FY32" s="83">
        <v>194.684597</v>
      </c>
      <c r="FZ32" s="83">
        <v>99.317532</v>
      </c>
      <c r="GA32" s="83">
        <v>352.347936</v>
      </c>
      <c r="GB32" s="83">
        <v>109.712778</v>
      </c>
      <c r="GC32" s="83">
        <v>309.932433</v>
      </c>
      <c r="GD32" s="83">
        <v>152.76117199999999</v>
      </c>
      <c r="GE32" s="83">
        <v>311.33424400000001</v>
      </c>
      <c r="GF32" s="83">
        <v>172.84033700000001</v>
      </c>
      <c r="GG32" s="83">
        <v>90.522363999999996</v>
      </c>
      <c r="GH32" s="83">
        <v>349.25663400000002</v>
      </c>
      <c r="GI32" s="83">
        <v>110.107901</v>
      </c>
      <c r="GJ32" s="83">
        <v>319.04061200000001</v>
      </c>
      <c r="GK32" s="83">
        <v>158.254727</v>
      </c>
      <c r="GL32" s="83">
        <v>317.94658500000003</v>
      </c>
      <c r="GM32" s="83">
        <v>177.44769199999999</v>
      </c>
      <c r="GN32" s="83">
        <v>92.091707999999997</v>
      </c>
      <c r="GO32" s="83">
        <v>332.68631800000003</v>
      </c>
      <c r="GP32" s="83">
        <v>107.95968999999999</v>
      </c>
      <c r="GQ32" s="83">
        <v>308.11438399999997</v>
      </c>
      <c r="GR32" s="83">
        <v>153.63409200000001</v>
      </c>
      <c r="GS32" s="83">
        <v>305.75647700000002</v>
      </c>
      <c r="GT32" s="83">
        <v>171.928144</v>
      </c>
      <c r="GU32" s="83">
        <v>90.187106</v>
      </c>
      <c r="GV32" s="83">
        <v>370.638214</v>
      </c>
      <c r="GW32" s="83">
        <v>122.508427</v>
      </c>
      <c r="GX32" s="83">
        <v>348.91987499999999</v>
      </c>
      <c r="GY32" s="83">
        <v>174.917979</v>
      </c>
      <c r="GZ32" s="83">
        <v>346.96375</v>
      </c>
      <c r="HA32" s="83">
        <v>195.076526</v>
      </c>
      <c r="HB32" s="83">
        <v>102.011231</v>
      </c>
      <c r="HC32" s="83">
        <v>367.56814900000001</v>
      </c>
      <c r="HD32" s="83">
        <v>117.896309</v>
      </c>
      <c r="HE32" s="83">
        <v>380.25427200000001</v>
      </c>
      <c r="HF32" s="83">
        <v>194.92811900000001</v>
      </c>
      <c r="HG32" s="83">
        <v>381.87843099999998</v>
      </c>
      <c r="HH32" s="83">
        <v>211.62107900000001</v>
      </c>
      <c r="HI32" s="83">
        <v>105.395972</v>
      </c>
      <c r="HJ32" s="83">
        <v>460.832494</v>
      </c>
      <c r="HK32" s="83">
        <v>136.518146</v>
      </c>
      <c r="HL32" s="83">
        <v>358.04145799999998</v>
      </c>
      <c r="HM32" s="83">
        <v>177.970834</v>
      </c>
      <c r="HN32" s="83">
        <v>358.623492</v>
      </c>
      <c r="HO32" s="83">
        <v>200.044927</v>
      </c>
      <c r="HP32" s="83">
        <v>103.7256</v>
      </c>
      <c r="HQ32" s="83">
        <v>380.58977900000002</v>
      </c>
      <c r="HR32" s="83">
        <v>120.225358</v>
      </c>
      <c r="HS32" s="83">
        <v>353.42874899999998</v>
      </c>
      <c r="HT32" s="83">
        <v>179.241229</v>
      </c>
      <c r="HU32" s="83">
        <v>348.48913499999998</v>
      </c>
      <c r="HV32" s="83">
        <v>195.076911</v>
      </c>
      <c r="HW32" s="83">
        <v>99.607928999999999</v>
      </c>
      <c r="HX32" s="83">
        <v>438.11115799999999</v>
      </c>
      <c r="HY32" s="83">
        <v>138.742807</v>
      </c>
      <c r="HZ32" s="83">
        <v>405.59554200000002</v>
      </c>
      <c r="IA32" s="83">
        <v>205.817668</v>
      </c>
      <c r="IB32" s="83">
        <v>403.69353100000001</v>
      </c>
      <c r="IC32" s="83">
        <v>225.98976400000001</v>
      </c>
      <c r="ID32" s="83">
        <v>116.923404</v>
      </c>
      <c r="IE32" s="83">
        <v>422.27572500000002</v>
      </c>
      <c r="IF32" s="83">
        <v>135.95050000000001</v>
      </c>
      <c r="IG32" s="83">
        <v>429.00017200000002</v>
      </c>
      <c r="IH32" s="83">
        <v>217.80354399999999</v>
      </c>
      <c r="II32" s="83">
        <v>429.44579700000003</v>
      </c>
      <c r="IJ32" s="83">
        <v>238.93591799999999</v>
      </c>
      <c r="IK32" s="83">
        <v>121.700762</v>
      </c>
      <c r="IL32" s="83">
        <v>463.46432800000002</v>
      </c>
      <c r="IM32" s="83">
        <v>140.443828</v>
      </c>
      <c r="IN32" s="83">
        <v>373.39720499999999</v>
      </c>
      <c r="IO32" s="83">
        <v>186.444243</v>
      </c>
      <c r="IP32" s="83">
        <v>372.48916200000002</v>
      </c>
      <c r="IQ32" s="83">
        <v>208.22275400000001</v>
      </c>
      <c r="IR32" s="83">
        <v>108.23894900000001</v>
      </c>
      <c r="IS32" s="83">
        <v>404.05189999999999</v>
      </c>
      <c r="IT32" s="83">
        <v>129.86693600000001</v>
      </c>
      <c r="IU32" s="83">
        <v>375.64718199999999</v>
      </c>
      <c r="IV32" s="83">
        <v>188.59096</v>
      </c>
      <c r="IW32" s="83">
        <v>373.254345</v>
      </c>
      <c r="IX32" s="83">
        <v>209.26140699999999</v>
      </c>
      <c r="IY32" s="83">
        <v>108.80348600000001</v>
      </c>
      <c r="IZ32" s="83">
        <v>400.587715</v>
      </c>
      <c r="JA32" s="83">
        <v>123.383548</v>
      </c>
      <c r="JB32" s="83">
        <v>365.37421999999998</v>
      </c>
      <c r="JC32" s="83">
        <v>174.14132599999999</v>
      </c>
      <c r="JD32" s="83">
        <v>370.06045999999998</v>
      </c>
      <c r="JE32" s="83">
        <v>207.12323000000001</v>
      </c>
      <c r="JF32" s="83">
        <v>109.680971</v>
      </c>
      <c r="JG32" s="83">
        <v>377.67459600000001</v>
      </c>
      <c r="JH32" s="83">
        <v>116.750451</v>
      </c>
      <c r="JI32" s="83">
        <v>399.60327599999999</v>
      </c>
      <c r="JJ32" s="83">
        <v>200.092162</v>
      </c>
      <c r="JK32" s="83">
        <v>407.73712999999998</v>
      </c>
      <c r="JL32" s="83">
        <v>222.69800000000001</v>
      </c>
      <c r="JM32" s="83">
        <v>111.175781</v>
      </c>
      <c r="JN32" s="83">
        <v>322.29682700000001</v>
      </c>
      <c r="JO32" s="83">
        <v>125.38777</v>
      </c>
      <c r="JP32" s="83">
        <v>274.600842</v>
      </c>
      <c r="JQ32" s="83">
        <v>153.413434</v>
      </c>
      <c r="JR32" s="83">
        <v>258.57092699999998</v>
      </c>
      <c r="JS32" s="83">
        <v>270.02395999999999</v>
      </c>
      <c r="JT32" s="83">
        <v>268.24674099999999</v>
      </c>
      <c r="JU32" s="83">
        <v>244.23940300000001</v>
      </c>
      <c r="JV32" s="83">
        <v>244.58350300000001</v>
      </c>
      <c r="JW32" s="83">
        <v>245.55538200000001</v>
      </c>
      <c r="JX32" s="83">
        <v>244.79948099999999</v>
      </c>
      <c r="JY32" s="83">
        <v>243.822755</v>
      </c>
      <c r="JZ32" s="83">
        <v>243.87573399999999</v>
      </c>
      <c r="KA32" s="83">
        <v>242.88171700000001</v>
      </c>
      <c r="KB32" s="83">
        <v>243.91064600000001</v>
      </c>
      <c r="KC32" s="83">
        <v>243.92478700000001</v>
      </c>
      <c r="KD32" s="83">
        <v>247.11795000000001</v>
      </c>
      <c r="KE32" s="83">
        <v>244.11981</v>
      </c>
      <c r="KF32" s="83">
        <v>244.80545799999999</v>
      </c>
      <c r="KG32" s="83">
        <v>245.462954</v>
      </c>
      <c r="KH32" s="83">
        <v>244.009502</v>
      </c>
      <c r="KI32" s="83">
        <v>247.34158099999999</v>
      </c>
      <c r="KJ32" s="83">
        <v>247.356403</v>
      </c>
      <c r="KK32" s="83">
        <v>249.13699800000001</v>
      </c>
      <c r="KL32" s="83">
        <v>245.97798800000001</v>
      </c>
      <c r="KM32" s="83">
        <v>246.163703</v>
      </c>
      <c r="KN32" s="83">
        <v>247.120341</v>
      </c>
      <c r="KO32" s="83">
        <v>245.905404</v>
      </c>
      <c r="KP32" s="83">
        <v>254.58733699999999</v>
      </c>
      <c r="KQ32" s="83">
        <v>256.89991900000001</v>
      </c>
      <c r="KR32" s="83">
        <v>258.37517500000001</v>
      </c>
      <c r="KS32" s="83">
        <v>253.72693000000001</v>
      </c>
      <c r="KT32" s="83">
        <v>254.27236600000001</v>
      </c>
      <c r="KU32" s="83">
        <v>255.24504099999999</v>
      </c>
      <c r="KV32" s="83">
        <v>253.602273</v>
      </c>
      <c r="KW32" s="83">
        <v>259.28905600000002</v>
      </c>
      <c r="KX32" s="83">
        <v>259.304529</v>
      </c>
      <c r="KY32" s="83">
        <v>261.83686</v>
      </c>
      <c r="KZ32" s="83">
        <v>257.93046399999997</v>
      </c>
      <c r="LA32" s="83">
        <v>257.99087900000001</v>
      </c>
      <c r="LB32" s="83">
        <v>259.40237500000001</v>
      </c>
      <c r="LC32" s="83">
        <v>257.80956300000003</v>
      </c>
      <c r="LD32" s="83">
        <v>230.99015399999999</v>
      </c>
      <c r="LE32" s="83">
        <v>231.00044700000001</v>
      </c>
      <c r="LF32" s="83">
        <v>233.84701799999999</v>
      </c>
      <c r="LG32" s="83">
        <v>230.37444400000001</v>
      </c>
      <c r="LH32" s="83">
        <v>230.72927899999999</v>
      </c>
      <c r="LI32" s="83">
        <v>231.76086000000001</v>
      </c>
      <c r="LJ32" s="83">
        <v>232.326819</v>
      </c>
      <c r="LK32" s="83">
        <v>235.705635</v>
      </c>
      <c r="LL32" s="83">
        <v>234.55507</v>
      </c>
      <c r="LM32" s="83">
        <v>237.35755399999999</v>
      </c>
      <c r="LN32" s="83">
        <v>233.73342</v>
      </c>
      <c r="LO32" s="83">
        <v>233.791763</v>
      </c>
      <c r="LP32" s="83">
        <v>235.156723</v>
      </c>
      <c r="LQ32" s="83">
        <v>233.61652900000001</v>
      </c>
      <c r="LR32" s="83">
        <v>233.35646499999999</v>
      </c>
      <c r="LS32" s="83">
        <v>232.78301099999999</v>
      </c>
      <c r="LT32" s="83">
        <v>242.141572</v>
      </c>
      <c r="LU32" s="83">
        <v>238.99319800000001</v>
      </c>
      <c r="LV32" s="83">
        <v>239.05105599999999</v>
      </c>
      <c r="LW32" s="83">
        <v>240.66126399999999</v>
      </c>
      <c r="LX32" s="83">
        <v>239.130775</v>
      </c>
      <c r="LY32" s="83">
        <v>249.52049700000001</v>
      </c>
      <c r="LZ32" s="83">
        <v>249.16127299999999</v>
      </c>
      <c r="MA32" s="83">
        <v>244.52115499999999</v>
      </c>
      <c r="MB32" s="83">
        <v>240.749258</v>
      </c>
      <c r="MC32" s="83">
        <v>242.86775499999999</v>
      </c>
      <c r="MD32" s="83">
        <v>243.433166</v>
      </c>
      <c r="ME32" s="83">
        <v>240.62139400000001</v>
      </c>
      <c r="MF32" s="83">
        <v>248.271804</v>
      </c>
      <c r="MG32" s="83">
        <v>247.84215699999999</v>
      </c>
      <c r="MH32" s="83">
        <v>250.26742999999999</v>
      </c>
      <c r="MI32" s="83">
        <v>246.996163</v>
      </c>
      <c r="MJ32" s="83">
        <v>247.05630199999999</v>
      </c>
      <c r="MK32" s="83">
        <v>249.07186799999999</v>
      </c>
      <c r="ML32" s="83">
        <v>246.87578199999999</v>
      </c>
      <c r="MM32" s="83">
        <v>237.142763</v>
      </c>
      <c r="MN32" s="83">
        <v>237.157703</v>
      </c>
      <c r="MO32" s="83">
        <v>249.62427500000001</v>
      </c>
      <c r="MP32" s="83">
        <v>246.72207700000001</v>
      </c>
      <c r="MQ32" s="83">
        <v>246.77597499999999</v>
      </c>
      <c r="MR32" s="83">
        <v>248.262959</v>
      </c>
      <c r="MS32" s="83">
        <v>246.33661900000001</v>
      </c>
      <c r="MT32" s="83">
        <v>248.65620200000001</v>
      </c>
      <c r="MU32" s="83">
        <v>248.370589</v>
      </c>
      <c r="MV32" s="83">
        <v>242.883533</v>
      </c>
      <c r="MW32" s="83">
        <v>238.73817199999999</v>
      </c>
      <c r="MX32" s="83">
        <v>237.65331</v>
      </c>
      <c r="MY32" s="83">
        <v>239.468311</v>
      </c>
      <c r="MZ32" s="83">
        <v>237.47654900000001</v>
      </c>
      <c r="NA32" s="83">
        <v>236.874796</v>
      </c>
      <c r="NB32" s="83">
        <v>236.88980900000001</v>
      </c>
      <c r="NC32" s="83">
        <v>239.25217699999999</v>
      </c>
      <c r="ND32" s="83">
        <v>236.62720200000001</v>
      </c>
      <c r="NE32" s="83">
        <v>236.124304</v>
      </c>
      <c r="NF32" s="83">
        <v>237.49321800000001</v>
      </c>
      <c r="NG32" s="83">
        <v>235.94850500000001</v>
      </c>
      <c r="NH32" s="83">
        <v>234.491894</v>
      </c>
      <c r="NI32" s="83">
        <v>234.76110800000001</v>
      </c>
      <c r="NJ32" s="83">
        <v>234.75744499999999</v>
      </c>
      <c r="NK32" s="83">
        <v>231.79978700000001</v>
      </c>
      <c r="NL32" s="83">
        <v>231.48761099999999</v>
      </c>
      <c r="NM32" s="83">
        <v>233.099805</v>
      </c>
      <c r="NN32" s="83">
        <v>231.31788800000001</v>
      </c>
      <c r="NO32" s="83">
        <v>244.68751</v>
      </c>
      <c r="NP32" s="83">
        <v>243.82232400000001</v>
      </c>
      <c r="NQ32" s="83">
        <v>247.76231200000001</v>
      </c>
      <c r="NR32" s="83">
        <v>244.90827100000001</v>
      </c>
      <c r="NS32" s="83">
        <v>244.55807799999999</v>
      </c>
      <c r="NT32" s="83">
        <v>245.96042600000001</v>
      </c>
      <c r="NU32" s="83">
        <v>244.37796900000001</v>
      </c>
      <c r="NV32" s="83">
        <v>226.776782</v>
      </c>
      <c r="NW32" s="83">
        <v>227.37231199999999</v>
      </c>
      <c r="NX32" s="83">
        <v>228.97129200000001</v>
      </c>
      <c r="NY32" s="83">
        <v>226.02998400000001</v>
      </c>
      <c r="NZ32" s="83">
        <v>226.084035</v>
      </c>
      <c r="OA32" s="83">
        <v>227.34766200000001</v>
      </c>
      <c r="OB32" s="83">
        <v>226.17647400000001</v>
      </c>
      <c r="OC32" s="83">
        <v>235.41531800000001</v>
      </c>
      <c r="OD32" s="83">
        <v>235.55193399999999</v>
      </c>
      <c r="OE32" s="83">
        <v>247.14876799999999</v>
      </c>
      <c r="OF32" s="83">
        <v>244.12404000000001</v>
      </c>
      <c r="OG32" s="83">
        <v>243.88747000000001</v>
      </c>
      <c r="OH32" s="83">
        <v>247.37885399999999</v>
      </c>
      <c r="OI32" s="83">
        <v>244.83616799999999</v>
      </c>
      <c r="OJ32" s="83">
        <v>246.52793</v>
      </c>
      <c r="OK32" s="83">
        <v>246.97860399999999</v>
      </c>
      <c r="OL32" s="83">
        <v>240.05007499999999</v>
      </c>
      <c r="OM32" s="83">
        <v>236.58936</v>
      </c>
      <c r="ON32" s="83">
        <v>236.65298300000001</v>
      </c>
      <c r="OO32" s="83">
        <v>238.13975300000001</v>
      </c>
      <c r="OP32" s="83">
        <v>237.05756700000001</v>
      </c>
      <c r="OQ32" s="83">
        <v>236.29174499999999</v>
      </c>
      <c r="OR32" s="83">
        <v>236.307367</v>
      </c>
      <c r="OS32" s="83">
        <v>238.76870099999999</v>
      </c>
      <c r="OT32" s="83">
        <v>235.44881000000001</v>
      </c>
      <c r="OU32" s="83">
        <v>235.76507699999999</v>
      </c>
      <c r="OV32" s="83">
        <v>237.187141</v>
      </c>
      <c r="OW32" s="83">
        <v>235.69609800000001</v>
      </c>
      <c r="OX32" s="83">
        <v>247.13971699999999</v>
      </c>
      <c r="OY32" s="83">
        <v>247.453181</v>
      </c>
      <c r="OZ32" s="83">
        <v>245.63645099999999</v>
      </c>
      <c r="PA32" s="83">
        <v>244.38110499999999</v>
      </c>
      <c r="PB32" s="83">
        <v>243.50947300000001</v>
      </c>
      <c r="PC32" s="83">
        <v>243.803369</v>
      </c>
      <c r="PD32" s="83">
        <v>242.62794400000001</v>
      </c>
      <c r="PE32" s="83">
        <v>252.78632300000001</v>
      </c>
      <c r="PF32" s="83">
        <v>252.80227099999999</v>
      </c>
      <c r="PG32" s="83">
        <v>259.75148200000001</v>
      </c>
      <c r="PH32" s="83">
        <v>256.36725899999999</v>
      </c>
      <c r="PI32" s="83">
        <v>257.03574400000002</v>
      </c>
      <c r="PJ32" s="83">
        <v>257.883351</v>
      </c>
      <c r="PK32" s="83">
        <v>256.24275499999999</v>
      </c>
      <c r="PL32" s="83">
        <v>238.51828399999999</v>
      </c>
      <c r="PM32" s="83">
        <v>238.533456</v>
      </c>
      <c r="PN32" s="83">
        <v>241.170817</v>
      </c>
      <c r="PO32" s="83">
        <v>237.960161</v>
      </c>
      <c r="PP32" s="83">
        <v>238.13979900000001</v>
      </c>
      <c r="PQ32" s="83">
        <v>239.140648</v>
      </c>
      <c r="PR32" s="83">
        <v>237.883284</v>
      </c>
      <c r="PS32" s="83">
        <v>270.41733099999999</v>
      </c>
      <c r="PT32" s="83">
        <v>272.74687299999999</v>
      </c>
      <c r="PU32" s="83">
        <v>274.40428200000002</v>
      </c>
      <c r="PV32" s="83">
        <v>269.49212799999998</v>
      </c>
      <c r="PW32" s="83">
        <v>270.04556400000001</v>
      </c>
      <c r="PX32" s="83">
        <v>271.12459100000001</v>
      </c>
      <c r="PY32" s="83">
        <v>269.35804200000001</v>
      </c>
      <c r="PZ32" s="83">
        <v>207.66646399999999</v>
      </c>
      <c r="QA32" s="83">
        <v>207.68101799999999</v>
      </c>
      <c r="QB32" s="83">
        <v>210.50116600000001</v>
      </c>
      <c r="QC32" s="83">
        <v>206.883781</v>
      </c>
      <c r="QD32" s="83">
        <v>206.94043199999999</v>
      </c>
      <c r="QE32" s="83">
        <v>208.26482300000001</v>
      </c>
      <c r="QF32" s="83">
        <v>206.77035799999999</v>
      </c>
      <c r="QG32" s="83">
        <v>246.13053199999999</v>
      </c>
      <c r="QH32" s="83">
        <v>246.14199199999999</v>
      </c>
      <c r="QI32" s="83">
        <v>248.765173</v>
      </c>
      <c r="QJ32" s="83">
        <v>245.00680299999999</v>
      </c>
      <c r="QK32" s="83">
        <v>245.374641</v>
      </c>
      <c r="QL32" s="83">
        <v>246.51677000000001</v>
      </c>
      <c r="QM32" s="83">
        <v>247.004097</v>
      </c>
      <c r="QN32" s="83">
        <v>251.95527999999999</v>
      </c>
      <c r="QO32" s="83">
        <v>250.774596</v>
      </c>
      <c r="QP32" s="83">
        <v>253.653007</v>
      </c>
      <c r="QQ32" s="83">
        <v>249.93061700000001</v>
      </c>
      <c r="QR32" s="83">
        <v>249.99059700000001</v>
      </c>
      <c r="QS32" s="83">
        <v>251.392696</v>
      </c>
    </row>
    <row r="33" spans="6:461" x14ac:dyDescent="0.25">
      <c r="F33" s="82" t="str">
        <f xml:space="preserve"> _xll.EPMOlapMemberO("[PRDDESCR].[].[WONDER GFREE WHITE 470G]","","WONDER GFREE WHITE 470G","","000")</f>
        <v>WONDER GFREE WHITE 470G</v>
      </c>
      <c r="G33" s="82" t="str">
        <f xml:space="preserve"> _xll.EPMOlapMemberO("[PRDID].[].[179649]","","179649","","000")</f>
        <v>179649</v>
      </c>
      <c r="H33" s="82" t="str">
        <f xml:space="preserve"> _xll.EPMOlapMemberO("[LOCID].[].[6103]","","6103","","000")</f>
        <v>6103</v>
      </c>
      <c r="I33" s="82" t="str">
        <f xml:space="preserve"> _xll.EPMOlapMemberO("[LOCDESCR].[].[QBA-Canberra]","","QBA-Canberra","","000")</f>
        <v>QBA-Canberra</v>
      </c>
      <c r="J33" s="82" t="str">
        <f xml:space="preserve"> _xll.EPMOlapMemberO("[KEY_FIGURES].[].[ZGFAPPROVEDFCSTQTY]","","Approved Forecast","","000")</f>
        <v>Approved Forecast</v>
      </c>
      <c r="K33" s="83">
        <v>66.654216000000005</v>
      </c>
      <c r="L33" s="83">
        <v>76.849333000000001</v>
      </c>
      <c r="M33" s="83">
        <v>101.432575</v>
      </c>
      <c r="N33" s="83">
        <v>62.685298000000003</v>
      </c>
      <c r="O33" s="83">
        <v>125.421999</v>
      </c>
      <c r="P33" s="83">
        <v>68.504733999999999</v>
      </c>
      <c r="Q33" s="83">
        <v>76.159706</v>
      </c>
      <c r="R33" s="83">
        <v>67.311825999999996</v>
      </c>
      <c r="S33" s="83">
        <v>76.535365999999996</v>
      </c>
      <c r="T33" s="83">
        <v>102.557242</v>
      </c>
      <c r="U33" s="83">
        <v>63.919744000000001</v>
      </c>
      <c r="V33" s="83">
        <v>126.126445</v>
      </c>
      <c r="W33" s="83">
        <v>68.884361999999996</v>
      </c>
      <c r="X33" s="83">
        <v>78.445505999999995</v>
      </c>
      <c r="Y33" s="83">
        <v>71.295743000000002</v>
      </c>
      <c r="Z33" s="83">
        <v>76.944439000000003</v>
      </c>
      <c r="AA33" s="83">
        <v>107.043282</v>
      </c>
      <c r="AB33" s="83">
        <v>62.388810999999997</v>
      </c>
      <c r="AC33" s="83">
        <v>127.898825</v>
      </c>
      <c r="AD33" s="83">
        <v>74.730946000000003</v>
      </c>
      <c r="AE33" s="83">
        <v>76.671456000000006</v>
      </c>
      <c r="AF33" s="83">
        <v>67.194066000000007</v>
      </c>
      <c r="AG33" s="83">
        <v>73.077016999999998</v>
      </c>
      <c r="AH33" s="83">
        <v>101.62769299999999</v>
      </c>
      <c r="AI33" s="83">
        <v>61.244396000000002</v>
      </c>
      <c r="AJ33" s="83">
        <v>121.33134099999999</v>
      </c>
      <c r="AK33" s="83">
        <v>68.606414999999998</v>
      </c>
      <c r="AL33" s="83">
        <v>73.49051</v>
      </c>
      <c r="AM33" s="83">
        <v>66.089208999999997</v>
      </c>
      <c r="AN33" s="83">
        <v>69.160224999999997</v>
      </c>
      <c r="AO33" s="83">
        <v>102.31793999999999</v>
      </c>
      <c r="AP33" s="83">
        <v>58.912610999999998</v>
      </c>
      <c r="AQ33" s="83">
        <v>117.871188</v>
      </c>
      <c r="AR33" s="83">
        <v>65.986626000000001</v>
      </c>
      <c r="AS33" s="83">
        <v>73.926749000000001</v>
      </c>
      <c r="AT33" s="83">
        <v>66.797515000000004</v>
      </c>
      <c r="AU33" s="83">
        <v>70.546161999999995</v>
      </c>
      <c r="AV33" s="83">
        <v>99.638334</v>
      </c>
      <c r="AW33" s="83">
        <v>60.836328000000002</v>
      </c>
      <c r="AX33" s="83">
        <v>132.06362200000001</v>
      </c>
      <c r="AY33" s="83">
        <v>75.120694</v>
      </c>
      <c r="AZ33" s="83">
        <v>75.447563000000002</v>
      </c>
      <c r="BA33" s="83">
        <v>67.546735999999996</v>
      </c>
      <c r="BB33" s="83">
        <v>72.694723999999994</v>
      </c>
      <c r="BC33" s="83">
        <v>104.571291</v>
      </c>
      <c r="BD33" s="83">
        <v>61.478285999999997</v>
      </c>
      <c r="BE33" s="83">
        <v>118.066383</v>
      </c>
      <c r="BF33" s="83">
        <v>65.493382999999994</v>
      </c>
      <c r="BG33" s="83">
        <v>70.400479000000004</v>
      </c>
      <c r="BH33" s="83">
        <v>62.203676999999999</v>
      </c>
      <c r="BI33" s="83">
        <v>66.329820999999995</v>
      </c>
      <c r="BJ33" s="83">
        <v>94.05368</v>
      </c>
      <c r="BK33" s="83">
        <v>55.484043999999997</v>
      </c>
      <c r="BL33" s="83">
        <v>126.056183</v>
      </c>
      <c r="BM33" s="83">
        <v>72.518099000000007</v>
      </c>
      <c r="BN33" s="83">
        <v>77.436282000000006</v>
      </c>
      <c r="BO33" s="83">
        <v>70.324751000000006</v>
      </c>
      <c r="BP33" s="83">
        <v>73.127871999999996</v>
      </c>
      <c r="BQ33" s="83">
        <v>106.314886</v>
      </c>
      <c r="BR33" s="83">
        <v>64.093293000000003</v>
      </c>
      <c r="BS33" s="83">
        <v>128.04770099999999</v>
      </c>
      <c r="BT33" s="83">
        <v>71.919464000000005</v>
      </c>
      <c r="BU33" s="83">
        <v>76.284032999999994</v>
      </c>
      <c r="BV33" s="83">
        <v>66.152485999999996</v>
      </c>
      <c r="BW33" s="83">
        <v>71.380454</v>
      </c>
      <c r="BX33" s="83">
        <v>98.804553999999996</v>
      </c>
      <c r="BY33" s="83">
        <v>58.722341999999998</v>
      </c>
      <c r="BZ33" s="83">
        <v>131.87202400000001</v>
      </c>
      <c r="CA33" s="83">
        <v>74.338257999999996</v>
      </c>
      <c r="CB33" s="83">
        <v>78.014880000000005</v>
      </c>
      <c r="CC33" s="83">
        <v>71.563032000000007</v>
      </c>
      <c r="CD33" s="83">
        <v>73.90437</v>
      </c>
      <c r="CE33" s="83">
        <v>107.778447</v>
      </c>
      <c r="CF33" s="83">
        <v>63.007074000000003</v>
      </c>
      <c r="CG33" s="83">
        <v>124.668243</v>
      </c>
      <c r="CH33" s="83">
        <v>71.355548999999996</v>
      </c>
      <c r="CI33" s="83">
        <v>76.581063</v>
      </c>
      <c r="CJ33" s="83">
        <v>67.577478999999997</v>
      </c>
      <c r="CK33" s="83">
        <v>73.133713999999998</v>
      </c>
      <c r="CL33" s="83">
        <v>101.450523</v>
      </c>
      <c r="CM33" s="83">
        <v>60.919167999999999</v>
      </c>
      <c r="CN33" s="83">
        <v>127.449139</v>
      </c>
      <c r="CO33" s="83">
        <v>72.105529000000004</v>
      </c>
      <c r="CP33" s="83">
        <v>76.420546000000002</v>
      </c>
      <c r="CQ33" s="83">
        <v>68.289796999999993</v>
      </c>
      <c r="CR33" s="83">
        <v>72.297137000000006</v>
      </c>
      <c r="CS33" s="83">
        <v>105.34812700000001</v>
      </c>
      <c r="CT33" s="83">
        <v>60.826501</v>
      </c>
      <c r="CU33" s="83">
        <v>129.642909</v>
      </c>
      <c r="CV33" s="83">
        <v>72.612952000000007</v>
      </c>
      <c r="CW33" s="83">
        <v>77.647672</v>
      </c>
      <c r="CX33" s="83">
        <v>69.706052999999997</v>
      </c>
      <c r="CY33" s="83">
        <v>74.253352000000007</v>
      </c>
      <c r="CZ33" s="83">
        <v>103.763909</v>
      </c>
      <c r="DA33" s="83">
        <v>63.164982999999999</v>
      </c>
      <c r="DB33" s="83">
        <v>128.428259</v>
      </c>
      <c r="DC33" s="83">
        <v>73.135265000000004</v>
      </c>
      <c r="DD33" s="83">
        <v>78.369181999999995</v>
      </c>
      <c r="DE33" s="83">
        <v>71.047717000000006</v>
      </c>
      <c r="DF33" s="83">
        <v>75.609465999999998</v>
      </c>
      <c r="DG33" s="83">
        <v>109.22931699999999</v>
      </c>
      <c r="DH33" s="83">
        <v>63.825327999999999</v>
      </c>
      <c r="DI33" s="83">
        <v>139.85933199999999</v>
      </c>
      <c r="DJ33" s="83">
        <v>77.383628999999999</v>
      </c>
      <c r="DK33" s="83">
        <v>83.137625999999997</v>
      </c>
      <c r="DL33" s="83">
        <v>74.189745000000002</v>
      </c>
      <c r="DM33" s="83">
        <v>78.306129999999996</v>
      </c>
      <c r="DN33" s="83">
        <v>110.811837</v>
      </c>
      <c r="DO33" s="83">
        <v>64.943171000000007</v>
      </c>
      <c r="DP33" s="83">
        <v>135.15750499999999</v>
      </c>
      <c r="DQ33" s="83">
        <v>77.849069</v>
      </c>
      <c r="DR33" s="83">
        <v>77.570262999999997</v>
      </c>
      <c r="DS33" s="83">
        <v>70.678299999999993</v>
      </c>
      <c r="DT33" s="83">
        <v>73.696065000000004</v>
      </c>
      <c r="DU33" s="83">
        <v>106.017539</v>
      </c>
      <c r="DV33" s="83">
        <v>63.544967999999997</v>
      </c>
      <c r="DW33" s="83">
        <v>124.015334</v>
      </c>
      <c r="DX33" s="83">
        <v>69.641452000000001</v>
      </c>
      <c r="DY33" s="83">
        <v>76.253710999999996</v>
      </c>
      <c r="DZ33" s="83">
        <v>66.482457999999994</v>
      </c>
      <c r="EA33" s="83">
        <v>71.069676000000001</v>
      </c>
      <c r="EB33" s="83">
        <v>99.116749999999996</v>
      </c>
      <c r="EC33" s="83">
        <v>58.817819999999998</v>
      </c>
      <c r="ED33" s="83">
        <v>127.54438</v>
      </c>
      <c r="EE33" s="83">
        <v>71.877615000000006</v>
      </c>
      <c r="EF33" s="83">
        <v>75.629986000000002</v>
      </c>
      <c r="EG33" s="83">
        <v>69.911077000000006</v>
      </c>
      <c r="EH33" s="83">
        <v>71.585036000000002</v>
      </c>
      <c r="EI33" s="83">
        <v>104.993517</v>
      </c>
      <c r="EJ33" s="83">
        <v>61.223821000000001</v>
      </c>
      <c r="EK33" s="83">
        <v>129.87418099999999</v>
      </c>
      <c r="EL33" s="83">
        <v>74.317205999999999</v>
      </c>
      <c r="EM33" s="83">
        <v>83.757767999999999</v>
      </c>
      <c r="EN33" s="83">
        <v>73.941272999999995</v>
      </c>
      <c r="EO33" s="83">
        <v>79.727187999999998</v>
      </c>
      <c r="EP33" s="83">
        <v>111.218974</v>
      </c>
      <c r="EQ33" s="83">
        <v>66.850669999999994</v>
      </c>
      <c r="ER33" s="83">
        <v>123.363361</v>
      </c>
      <c r="ES33" s="83">
        <v>69.725965000000002</v>
      </c>
      <c r="ET33" s="83">
        <v>71.048876000000007</v>
      </c>
      <c r="EU33" s="83">
        <v>63.708638000000001</v>
      </c>
      <c r="EV33" s="83">
        <v>67.102977999999993</v>
      </c>
      <c r="EW33" s="83">
        <v>98.478375999999997</v>
      </c>
      <c r="EX33" s="83">
        <v>56.769368999999998</v>
      </c>
      <c r="EY33" s="83">
        <v>132.86960400000001</v>
      </c>
      <c r="EZ33" s="83">
        <v>74.444997999999998</v>
      </c>
      <c r="FA33" s="83">
        <v>85.349442999999994</v>
      </c>
      <c r="FB33" s="83">
        <v>76.684882000000002</v>
      </c>
      <c r="FC33" s="83">
        <v>81.058153000000004</v>
      </c>
      <c r="FD33" s="83">
        <v>115.066052</v>
      </c>
      <c r="FE33" s="83">
        <v>70.417258000000004</v>
      </c>
      <c r="FF33" s="83">
        <v>126.50120200000001</v>
      </c>
      <c r="FG33" s="83">
        <v>71.961723000000006</v>
      </c>
      <c r="FH33" s="83">
        <v>72.221397999999994</v>
      </c>
      <c r="FI33" s="83">
        <v>65.797497000000007</v>
      </c>
      <c r="FJ33" s="83">
        <v>70.440248999999994</v>
      </c>
      <c r="FK33" s="83">
        <v>99.543036000000001</v>
      </c>
      <c r="FL33" s="83">
        <v>57.720677000000002</v>
      </c>
      <c r="FM33" s="83">
        <v>132.52852999999999</v>
      </c>
      <c r="FN33" s="83">
        <v>73.787493999999995</v>
      </c>
      <c r="FO33" s="83">
        <v>79.871583000000001</v>
      </c>
      <c r="FP33" s="83">
        <v>70.092509000000007</v>
      </c>
      <c r="FQ33" s="83">
        <v>74.697781000000006</v>
      </c>
      <c r="FR33" s="83">
        <v>107.187235</v>
      </c>
      <c r="FS33" s="83">
        <v>63.582673999999997</v>
      </c>
      <c r="FT33" s="83">
        <v>138.00558000000001</v>
      </c>
      <c r="FU33" s="83">
        <v>79.511021</v>
      </c>
      <c r="FV33" s="83">
        <v>78.667295999999993</v>
      </c>
      <c r="FW33" s="83">
        <v>71.409508000000002</v>
      </c>
      <c r="FX33" s="83">
        <v>74.168926999999996</v>
      </c>
      <c r="FY33" s="83">
        <v>108.118585</v>
      </c>
      <c r="FZ33" s="83">
        <v>65.255363000000003</v>
      </c>
      <c r="GA33" s="83">
        <v>123.597526</v>
      </c>
      <c r="GB33" s="83">
        <v>69.414062000000001</v>
      </c>
      <c r="GC33" s="83">
        <v>75.878484</v>
      </c>
      <c r="GD33" s="83">
        <v>65.910053000000005</v>
      </c>
      <c r="GE33" s="83">
        <v>70.770786999999999</v>
      </c>
      <c r="GF33" s="83">
        <v>98.579132000000001</v>
      </c>
      <c r="GG33" s="83">
        <v>58.606425000000002</v>
      </c>
      <c r="GH33" s="83">
        <v>124.870964</v>
      </c>
      <c r="GI33" s="83">
        <v>70.460087000000001</v>
      </c>
      <c r="GJ33" s="83">
        <v>80.605767</v>
      </c>
      <c r="GK33" s="83">
        <v>74.079779000000002</v>
      </c>
      <c r="GL33" s="83">
        <v>76.057400999999999</v>
      </c>
      <c r="GM33" s="83">
        <v>111.81671900000001</v>
      </c>
      <c r="GN33" s="83">
        <v>65.427952000000005</v>
      </c>
      <c r="GO33" s="83">
        <v>132.680024</v>
      </c>
      <c r="GP33" s="83">
        <v>75.902197999999999</v>
      </c>
      <c r="GQ33" s="83">
        <v>74.623064999999997</v>
      </c>
      <c r="GR33" s="83">
        <v>65.248512000000005</v>
      </c>
      <c r="GS33" s="83">
        <v>71.401086000000006</v>
      </c>
      <c r="GT33" s="83">
        <v>98.279278000000005</v>
      </c>
      <c r="GU33" s="83">
        <v>59.100358999999997</v>
      </c>
      <c r="GV33" s="83">
        <v>126.92852499999999</v>
      </c>
      <c r="GW33" s="83">
        <v>71.748616999999996</v>
      </c>
      <c r="GX33" s="83">
        <v>80.345105000000004</v>
      </c>
      <c r="GY33" s="83">
        <v>71.778060999999994</v>
      </c>
      <c r="GZ33" s="83">
        <v>75.043265000000005</v>
      </c>
      <c r="HA33" s="83">
        <v>112.193532</v>
      </c>
      <c r="HB33" s="83">
        <v>64.935287000000002</v>
      </c>
      <c r="HC33" s="83">
        <v>132.86105599999999</v>
      </c>
      <c r="HD33" s="83">
        <v>74.261555999999999</v>
      </c>
      <c r="HE33" s="83">
        <v>76.762730000000005</v>
      </c>
      <c r="HF33" s="83">
        <v>69.500273000000007</v>
      </c>
      <c r="HG33" s="83">
        <v>73.357763000000006</v>
      </c>
      <c r="HH33" s="83">
        <v>103.134753</v>
      </c>
      <c r="HI33" s="83">
        <v>62.789979000000002</v>
      </c>
      <c r="HJ33" s="83">
        <v>122.96765000000001</v>
      </c>
      <c r="HK33" s="83">
        <v>69.942969000000005</v>
      </c>
      <c r="HL33" s="83">
        <v>77.388446999999999</v>
      </c>
      <c r="HM33" s="83">
        <v>70.093297000000007</v>
      </c>
      <c r="HN33" s="83">
        <v>74.676524999999998</v>
      </c>
      <c r="HO33" s="83">
        <v>107.807844</v>
      </c>
      <c r="HP33" s="83">
        <v>63.020761</v>
      </c>
      <c r="HQ33" s="83">
        <v>138.278266</v>
      </c>
      <c r="HR33" s="83">
        <v>76.685108999999997</v>
      </c>
      <c r="HS33" s="83">
        <v>81.191479999999999</v>
      </c>
      <c r="HT33" s="83">
        <v>70.760182999999998</v>
      </c>
      <c r="HU33" s="83">
        <v>75.942794000000006</v>
      </c>
      <c r="HV33" s="83">
        <v>108.694946</v>
      </c>
      <c r="HW33" s="83">
        <v>64.690607</v>
      </c>
      <c r="HX33" s="83">
        <v>137.29466400000001</v>
      </c>
      <c r="HY33" s="83">
        <v>78.876317999999998</v>
      </c>
      <c r="HZ33" s="83">
        <v>81.588083999999995</v>
      </c>
      <c r="IA33" s="83">
        <v>73.303641999999996</v>
      </c>
      <c r="IB33" s="83">
        <v>77.106295000000003</v>
      </c>
      <c r="IC33" s="83">
        <v>111.346862</v>
      </c>
      <c r="ID33" s="83">
        <v>67.212717999999995</v>
      </c>
      <c r="IE33" s="83">
        <v>131.69162900000001</v>
      </c>
      <c r="IF33" s="83">
        <v>73.960414</v>
      </c>
      <c r="IG33" s="83">
        <v>77.940363000000005</v>
      </c>
      <c r="IH33" s="83">
        <v>67.390234000000007</v>
      </c>
      <c r="II33" s="83">
        <v>72.614405000000005</v>
      </c>
      <c r="IJ33" s="83">
        <v>101.313248</v>
      </c>
      <c r="IK33" s="83">
        <v>60.397606000000003</v>
      </c>
      <c r="IL33" s="83">
        <v>134.21153699999999</v>
      </c>
      <c r="IM33" s="83">
        <v>75.520078999999996</v>
      </c>
      <c r="IN33" s="83">
        <v>84.710655000000003</v>
      </c>
      <c r="IO33" s="83">
        <v>77.694018</v>
      </c>
      <c r="IP33" s="83">
        <v>79.687342000000001</v>
      </c>
      <c r="IQ33" s="83">
        <v>117.64779299999999</v>
      </c>
      <c r="IR33" s="83">
        <v>68.974772000000002</v>
      </c>
      <c r="IS33" s="83">
        <v>133.48912300000001</v>
      </c>
      <c r="IT33" s="83">
        <v>76.434420000000003</v>
      </c>
      <c r="IU33" s="83">
        <v>76.868251000000001</v>
      </c>
      <c r="IV33" s="83">
        <v>67.436286999999993</v>
      </c>
      <c r="IW33" s="83">
        <v>73.548473000000001</v>
      </c>
      <c r="IX33" s="83">
        <v>101.25282</v>
      </c>
      <c r="IY33" s="83">
        <v>60.795780999999998</v>
      </c>
      <c r="IZ33" s="83">
        <v>126.604968</v>
      </c>
      <c r="JA33" s="83">
        <v>71.573487</v>
      </c>
      <c r="JB33" s="83">
        <v>76.515946999999997</v>
      </c>
      <c r="JC33" s="83">
        <v>68.191581999999997</v>
      </c>
      <c r="JD33" s="83">
        <v>71.983614000000003</v>
      </c>
      <c r="JE33" s="83">
        <v>106.005543</v>
      </c>
      <c r="JF33" s="83">
        <v>61.370857000000001</v>
      </c>
      <c r="JG33" s="83">
        <v>130.63153800000001</v>
      </c>
      <c r="JH33" s="83">
        <v>73.221850000000003</v>
      </c>
      <c r="JI33" s="83">
        <v>77.986005000000006</v>
      </c>
      <c r="JJ33" s="83">
        <v>70.326902000000004</v>
      </c>
      <c r="JK33" s="83">
        <v>74.800152999999995</v>
      </c>
      <c r="JL33" s="83">
        <v>103.85638400000001</v>
      </c>
      <c r="JM33" s="83">
        <v>62.964084999999997</v>
      </c>
      <c r="JN33" s="83">
        <v>99.954616999999999</v>
      </c>
      <c r="JO33" s="83">
        <v>106.371993</v>
      </c>
      <c r="JP33" s="83">
        <v>66.102526999999995</v>
      </c>
      <c r="JQ33" s="83">
        <v>66.542603</v>
      </c>
      <c r="JR33" s="83">
        <v>61.903734999999998</v>
      </c>
      <c r="JS33" s="83">
        <v>102.24241499999999</v>
      </c>
      <c r="JT33" s="83">
        <v>109.700318</v>
      </c>
      <c r="JU33" s="83">
        <v>74.757334999999998</v>
      </c>
      <c r="JV33" s="83">
        <v>78.124887000000001</v>
      </c>
      <c r="JW33" s="83">
        <v>81.290361000000004</v>
      </c>
      <c r="JX33" s="83">
        <v>81.581866000000005</v>
      </c>
      <c r="JY33" s="83">
        <v>76.676778999999996</v>
      </c>
      <c r="JZ33" s="83">
        <v>78.001439000000005</v>
      </c>
      <c r="KA33" s="83">
        <v>80.839271999999994</v>
      </c>
      <c r="KB33" s="83">
        <v>89.486757999999995</v>
      </c>
      <c r="KC33" s="83">
        <v>96.880589000000001</v>
      </c>
      <c r="KD33" s="83">
        <v>85.959040000000002</v>
      </c>
      <c r="KE33" s="83">
        <v>88.665617999999995</v>
      </c>
      <c r="KF33" s="83">
        <v>81.960825</v>
      </c>
      <c r="KG33" s="83">
        <v>85.403743000000006</v>
      </c>
      <c r="KH33" s="83">
        <v>94.872604999999993</v>
      </c>
      <c r="KI33" s="83">
        <v>83.158602000000002</v>
      </c>
      <c r="KJ33" s="83">
        <v>88.014927999999998</v>
      </c>
      <c r="KK33" s="83">
        <v>93.037194</v>
      </c>
      <c r="KL33" s="83">
        <v>92.327898000000005</v>
      </c>
      <c r="KM33" s="83">
        <v>87.653383000000005</v>
      </c>
      <c r="KN33" s="83">
        <v>86.724315000000004</v>
      </c>
      <c r="KO33" s="83">
        <v>90.043379999999999</v>
      </c>
      <c r="KP33" s="83">
        <v>83.348367999999994</v>
      </c>
      <c r="KQ33" s="83">
        <v>88.174244999999999</v>
      </c>
      <c r="KR33" s="83">
        <v>79.431595000000002</v>
      </c>
      <c r="KS33" s="83">
        <v>82.970944000000003</v>
      </c>
      <c r="KT33" s="83">
        <v>75.860758000000004</v>
      </c>
      <c r="KU33" s="83">
        <v>79.505691999999996</v>
      </c>
      <c r="KV33" s="83">
        <v>86.180153000000004</v>
      </c>
      <c r="KW33" s="83">
        <v>78.174959999999999</v>
      </c>
      <c r="KX33" s="83">
        <v>84.599323999999996</v>
      </c>
      <c r="KY33" s="83">
        <v>82.385017000000005</v>
      </c>
      <c r="KZ33" s="83">
        <v>83.001140000000007</v>
      </c>
      <c r="LA33" s="83">
        <v>79.094030000000004</v>
      </c>
      <c r="LB33" s="83">
        <v>77.647030999999998</v>
      </c>
      <c r="LC33" s="83">
        <v>81.656357</v>
      </c>
      <c r="LD33" s="83">
        <v>74.873411000000004</v>
      </c>
      <c r="LE33" s="83">
        <v>79.649214999999998</v>
      </c>
      <c r="LF33" s="83">
        <v>81.248345</v>
      </c>
      <c r="LG33" s="83">
        <v>82.698046000000005</v>
      </c>
      <c r="LH33" s="83">
        <v>76.963019000000003</v>
      </c>
      <c r="LI33" s="83">
        <v>81.912566999999996</v>
      </c>
      <c r="LJ33" s="83">
        <v>87.670574000000002</v>
      </c>
      <c r="LK33" s="83">
        <v>76.617283999999998</v>
      </c>
      <c r="LL33" s="83">
        <v>80.605273999999994</v>
      </c>
      <c r="LM33" s="83">
        <v>75.780480999999995</v>
      </c>
      <c r="LN33" s="83">
        <v>77.844336999999996</v>
      </c>
      <c r="LO33" s="83">
        <v>72.779302000000001</v>
      </c>
      <c r="LP33" s="83">
        <v>72.432569999999998</v>
      </c>
      <c r="LQ33" s="83">
        <v>76.986144999999993</v>
      </c>
      <c r="LR33" s="83">
        <v>72.752891000000005</v>
      </c>
      <c r="LS33" s="83">
        <v>78.089596999999998</v>
      </c>
      <c r="LT33" s="83">
        <v>74.365854999999996</v>
      </c>
      <c r="LU33" s="83">
        <v>76.180075000000002</v>
      </c>
      <c r="LV33" s="83">
        <v>72.042686000000003</v>
      </c>
      <c r="LW33" s="83">
        <v>74.944141999999999</v>
      </c>
      <c r="LX33" s="83">
        <v>81.892035000000007</v>
      </c>
      <c r="LY33" s="83">
        <v>76.570018000000005</v>
      </c>
      <c r="LZ33" s="83">
        <v>80.043649000000002</v>
      </c>
      <c r="MA33" s="83">
        <v>83.782548000000006</v>
      </c>
      <c r="MB33" s="83">
        <v>84.047134999999997</v>
      </c>
      <c r="MC33" s="83">
        <v>79.003961000000004</v>
      </c>
      <c r="MD33" s="83">
        <v>80.379232000000002</v>
      </c>
      <c r="ME33" s="83">
        <v>83.314490000000006</v>
      </c>
      <c r="MF33" s="83">
        <v>85.881574000000001</v>
      </c>
      <c r="MG33" s="83">
        <v>92.851068999999995</v>
      </c>
      <c r="MH33" s="83">
        <v>81.531492</v>
      </c>
      <c r="MI33" s="83">
        <v>84.094009</v>
      </c>
      <c r="MJ33" s="83">
        <v>77.898319999999998</v>
      </c>
      <c r="MK33" s="83">
        <v>80.978724999999997</v>
      </c>
      <c r="ML33" s="83">
        <v>89.630553000000006</v>
      </c>
      <c r="MM33" s="83">
        <v>78.489761000000001</v>
      </c>
      <c r="MN33" s="83">
        <v>83.341902000000005</v>
      </c>
      <c r="MO33" s="83">
        <v>82.733453999999995</v>
      </c>
      <c r="MP33" s="83">
        <v>82.335751999999999</v>
      </c>
      <c r="MQ33" s="83">
        <v>77.519443999999993</v>
      </c>
      <c r="MR33" s="83">
        <v>76.901910000000001</v>
      </c>
      <c r="MS33" s="83">
        <v>80.321984</v>
      </c>
      <c r="MT33" s="83">
        <v>75.782625999999993</v>
      </c>
      <c r="MU33" s="83">
        <v>80.652877000000004</v>
      </c>
      <c r="MV33" s="83">
        <v>82.183847999999998</v>
      </c>
      <c r="MW33" s="83">
        <v>85.522835999999998</v>
      </c>
      <c r="MX33" s="83">
        <v>78.209485000000001</v>
      </c>
      <c r="MY33" s="83">
        <v>82.501140000000007</v>
      </c>
      <c r="MZ33" s="83">
        <v>90.174822000000006</v>
      </c>
      <c r="NA33" s="83">
        <v>85.818562999999997</v>
      </c>
      <c r="NB33" s="83">
        <v>92.339558999999994</v>
      </c>
      <c r="NC33" s="83">
        <v>83.564764999999994</v>
      </c>
      <c r="ND33" s="83">
        <v>84.194343000000003</v>
      </c>
      <c r="NE33" s="83">
        <v>80.871061999999995</v>
      </c>
      <c r="NF33" s="83">
        <v>79.110439999999997</v>
      </c>
      <c r="NG33" s="83">
        <v>82.887045999999998</v>
      </c>
      <c r="NH33" s="83">
        <v>80.611687000000003</v>
      </c>
      <c r="NI33" s="83">
        <v>85.785348999999997</v>
      </c>
      <c r="NJ33" s="83">
        <v>83.757891000000001</v>
      </c>
      <c r="NK33" s="83">
        <v>85.527002999999993</v>
      </c>
      <c r="NL33" s="83">
        <v>79.454407000000003</v>
      </c>
      <c r="NM33" s="83">
        <v>84.255544999999998</v>
      </c>
      <c r="NN33" s="83">
        <v>90.010417000000004</v>
      </c>
      <c r="NO33" s="83">
        <v>82.617828000000003</v>
      </c>
      <c r="NP33" s="83">
        <v>86.910611000000003</v>
      </c>
      <c r="NQ33" s="83">
        <v>89.040688000000003</v>
      </c>
      <c r="NR33" s="83">
        <v>91.709419999999994</v>
      </c>
      <c r="NS33" s="83">
        <v>86.209520999999995</v>
      </c>
      <c r="NT33" s="83">
        <v>85.660301000000004</v>
      </c>
      <c r="NU33" s="83">
        <v>90.865921999999998</v>
      </c>
      <c r="NV33" s="83">
        <v>83.777660999999995</v>
      </c>
      <c r="NW33" s="83">
        <v>89.790505999999993</v>
      </c>
      <c r="NX33" s="83">
        <v>81.622073</v>
      </c>
      <c r="NY33" s="83">
        <v>83.880735999999999</v>
      </c>
      <c r="NZ33" s="83">
        <v>79.389778000000007</v>
      </c>
      <c r="OA33" s="83">
        <v>82.077579999999998</v>
      </c>
      <c r="OB33" s="83">
        <v>88.883690999999999</v>
      </c>
      <c r="OC33" s="83">
        <v>82.330360999999996</v>
      </c>
      <c r="OD33" s="83">
        <v>85.846722999999997</v>
      </c>
      <c r="OE33" s="83">
        <v>84.157004999999998</v>
      </c>
      <c r="OF33" s="83">
        <v>84.768775000000005</v>
      </c>
      <c r="OG33" s="83">
        <v>79.510869</v>
      </c>
      <c r="OH33" s="83">
        <v>80.782829000000007</v>
      </c>
      <c r="OI33" s="83">
        <v>83.701582999999999</v>
      </c>
      <c r="OJ33" s="83">
        <v>78.321517</v>
      </c>
      <c r="OK33" s="83">
        <v>84.875799000000001</v>
      </c>
      <c r="OL33" s="83">
        <v>83.931876000000003</v>
      </c>
      <c r="OM33" s="83">
        <v>86.498885999999999</v>
      </c>
      <c r="ON33" s="83">
        <v>80.265868999999995</v>
      </c>
      <c r="OO33" s="83">
        <v>83.386285999999998</v>
      </c>
      <c r="OP33" s="83">
        <v>92.184634000000003</v>
      </c>
      <c r="OQ33" s="83">
        <v>79.572806</v>
      </c>
      <c r="OR33" s="83">
        <v>83.900593999999998</v>
      </c>
      <c r="OS33" s="83">
        <v>79.832527999999996</v>
      </c>
      <c r="OT33" s="83">
        <v>79.304239999999993</v>
      </c>
      <c r="OU33" s="83">
        <v>74.959417000000002</v>
      </c>
      <c r="OV33" s="83">
        <v>74.280051999999998</v>
      </c>
      <c r="OW33" s="83">
        <v>77.389791000000002</v>
      </c>
      <c r="OX33" s="83">
        <v>82.286066000000005</v>
      </c>
      <c r="OY33" s="83">
        <v>87.467723000000007</v>
      </c>
      <c r="OZ33" s="83">
        <v>83.438659999999999</v>
      </c>
      <c r="PA33" s="83">
        <v>87.254833000000005</v>
      </c>
      <c r="PB33" s="83">
        <v>79.765136999999996</v>
      </c>
      <c r="PC33" s="83">
        <v>83.441720000000004</v>
      </c>
      <c r="PD33" s="83">
        <v>90.239221000000001</v>
      </c>
      <c r="PE33" s="83">
        <v>73.995703000000006</v>
      </c>
      <c r="PF33" s="83">
        <v>79.909932999999995</v>
      </c>
      <c r="PG33" s="83">
        <v>82.819889000000003</v>
      </c>
      <c r="PH33" s="83">
        <v>83.167344</v>
      </c>
      <c r="PI33" s="83">
        <v>80.053212000000002</v>
      </c>
      <c r="PJ33" s="83">
        <v>78.308103000000003</v>
      </c>
      <c r="PK33" s="83">
        <v>82.124491000000006</v>
      </c>
      <c r="PL33" s="83">
        <v>85.788610000000006</v>
      </c>
      <c r="PM33" s="83">
        <v>90.966480000000004</v>
      </c>
      <c r="PN33" s="83">
        <v>83.660796000000005</v>
      </c>
      <c r="PO33" s="83">
        <v>85.413156999999998</v>
      </c>
      <c r="PP33" s="83">
        <v>79.334016000000005</v>
      </c>
      <c r="PQ33" s="83">
        <v>84.168187000000003</v>
      </c>
      <c r="PR33" s="83">
        <v>90.006788</v>
      </c>
      <c r="PS33" s="83">
        <v>79.793733000000003</v>
      </c>
      <c r="PT33" s="83">
        <v>84.427138999999997</v>
      </c>
      <c r="PU33" s="83">
        <v>82.227303000000006</v>
      </c>
      <c r="PV33" s="83">
        <v>84.681832</v>
      </c>
      <c r="PW33" s="83">
        <v>79.042794000000001</v>
      </c>
      <c r="PX33" s="83">
        <v>78.637817999999996</v>
      </c>
      <c r="PY33" s="83">
        <v>83.484358999999998</v>
      </c>
      <c r="PZ33" s="83">
        <v>83.745517000000007</v>
      </c>
      <c r="QA33" s="83">
        <v>89.789491999999996</v>
      </c>
      <c r="QB33" s="83">
        <v>85.461282999999995</v>
      </c>
      <c r="QC33" s="83">
        <v>87.626670000000004</v>
      </c>
      <c r="QD33" s="83">
        <v>83.136177000000004</v>
      </c>
      <c r="QE33" s="83">
        <v>86.090142</v>
      </c>
      <c r="QF33" s="83">
        <v>93.360753000000003</v>
      </c>
      <c r="QG33" s="83">
        <v>82.362167999999997</v>
      </c>
      <c r="QH33" s="83">
        <v>85.647321000000005</v>
      </c>
      <c r="QI33" s="83">
        <v>84.255207999999996</v>
      </c>
      <c r="QJ33" s="83">
        <v>84.567753999999994</v>
      </c>
      <c r="QK33" s="83">
        <v>79.445898</v>
      </c>
      <c r="QL33" s="83">
        <v>80.808425</v>
      </c>
      <c r="QM33" s="83">
        <v>83.780946999999998</v>
      </c>
      <c r="QN33" s="83">
        <v>81.450564</v>
      </c>
      <c r="QO33" s="83">
        <v>88.562396000000007</v>
      </c>
      <c r="QP33" s="83">
        <v>83.333416</v>
      </c>
      <c r="QQ33" s="83">
        <v>86.166258999999997</v>
      </c>
      <c r="QR33" s="83">
        <v>79.421871999999993</v>
      </c>
      <c r="QS33" s="83">
        <v>82.693365999999997</v>
      </c>
    </row>
    <row r="34" spans="6:461" x14ac:dyDescent="0.25">
      <c r="F34" s="82" t="str">
        <f xml:space="preserve"> _xll.EPMOlapMemberO("[PRDDESCR].[].[WONDER GFREE WHITE 470G]","","WONDER GFREE WHITE 470G","","000")</f>
        <v>WONDER GFREE WHITE 470G</v>
      </c>
      <c r="G34" s="82" t="str">
        <f xml:space="preserve"> _xll.EPMOlapMemberO("[PRDID].[].[179649]","","179649","","000")</f>
        <v>179649</v>
      </c>
      <c r="H34" s="82" t="str">
        <f xml:space="preserve"> _xll.EPMOlapMemberO("[LOCID].[].[6104]","","6104","","000")</f>
        <v>6104</v>
      </c>
      <c r="I34" s="82" t="str">
        <f xml:space="preserve"> _xll.EPMOlapMemberO("[LOCDESCR].[].[QBA-Moorebank]","","QBA-Moorebank","","000")</f>
        <v>QBA-Moorebank</v>
      </c>
      <c r="J34" s="82" t="str">
        <f xml:space="preserve"> _xll.EPMOlapMemberO("[KEY_FIGURES].[].[ZGFAPPROVEDFCSTQTY]","","Approved Forecast","","000")</f>
        <v>Approved Forecast</v>
      </c>
      <c r="K34" s="83">
        <v>310.56298299999997</v>
      </c>
      <c r="L34" s="83">
        <v>515.93346699999995</v>
      </c>
      <c r="M34" s="83">
        <v>252.21751599999999</v>
      </c>
      <c r="N34" s="83">
        <v>283.60954199999998</v>
      </c>
      <c r="O34" s="83">
        <v>627.75147200000004</v>
      </c>
      <c r="P34" s="83">
        <v>261.94967800000001</v>
      </c>
      <c r="Q34" s="83">
        <v>440.93151699999999</v>
      </c>
      <c r="R34" s="83">
        <v>325.68509799999998</v>
      </c>
      <c r="S34" s="83">
        <v>548.42578000000003</v>
      </c>
      <c r="T34" s="83">
        <v>259.68433499999998</v>
      </c>
      <c r="U34" s="83">
        <v>281.95807000000002</v>
      </c>
      <c r="V34" s="83">
        <v>652.11756100000002</v>
      </c>
      <c r="W34" s="83">
        <v>264.688941</v>
      </c>
      <c r="X34" s="83">
        <v>469.11730499999999</v>
      </c>
      <c r="Y34" s="83">
        <v>341.467536</v>
      </c>
      <c r="Z34" s="83">
        <v>568.716905</v>
      </c>
      <c r="AA34" s="83">
        <v>272.47424699999999</v>
      </c>
      <c r="AB34" s="83">
        <v>294.5609</v>
      </c>
      <c r="AC34" s="83">
        <v>656.447993</v>
      </c>
      <c r="AD34" s="83">
        <v>267.94111199999998</v>
      </c>
      <c r="AE34" s="83">
        <v>423.27993300000003</v>
      </c>
      <c r="AF34" s="83">
        <v>316.104062</v>
      </c>
      <c r="AG34" s="83">
        <v>535.64074800000003</v>
      </c>
      <c r="AH34" s="83">
        <v>249.384602</v>
      </c>
      <c r="AI34" s="83">
        <v>277.85216000000003</v>
      </c>
      <c r="AJ34" s="83">
        <v>640.04478600000004</v>
      </c>
      <c r="AK34" s="83">
        <v>276.66514699999999</v>
      </c>
      <c r="AL34" s="83">
        <v>437.648258</v>
      </c>
      <c r="AM34" s="83">
        <v>323.58773400000001</v>
      </c>
      <c r="AN34" s="83">
        <v>544.29040899999995</v>
      </c>
      <c r="AO34" s="83">
        <v>251.22471999999999</v>
      </c>
      <c r="AP34" s="83">
        <v>277.746531</v>
      </c>
      <c r="AQ34" s="83">
        <v>630.70738900000003</v>
      </c>
      <c r="AR34" s="83">
        <v>250.260109</v>
      </c>
      <c r="AS34" s="83">
        <v>452.076909</v>
      </c>
      <c r="AT34" s="83">
        <v>338.32969200000002</v>
      </c>
      <c r="AU34" s="83">
        <v>566.24312299999997</v>
      </c>
      <c r="AV34" s="83">
        <v>273.00699600000002</v>
      </c>
      <c r="AW34" s="83">
        <v>308.32935600000002</v>
      </c>
      <c r="AX34" s="83">
        <v>654.54058399999997</v>
      </c>
      <c r="AY34" s="83">
        <v>261.20963899999998</v>
      </c>
      <c r="AZ34" s="83">
        <v>417.79287199999999</v>
      </c>
      <c r="BA34" s="83">
        <v>310.22810199999998</v>
      </c>
      <c r="BB34" s="83">
        <v>521.599199</v>
      </c>
      <c r="BC34" s="83">
        <v>247.51387299999999</v>
      </c>
      <c r="BD34" s="83">
        <v>268.08161000000001</v>
      </c>
      <c r="BE34" s="83">
        <v>596.93243299999995</v>
      </c>
      <c r="BF34" s="83">
        <v>240.549396</v>
      </c>
      <c r="BG34" s="83">
        <v>400.24297799999999</v>
      </c>
      <c r="BH34" s="83">
        <v>298.61694699999998</v>
      </c>
      <c r="BI34" s="83">
        <v>507.16519899999997</v>
      </c>
      <c r="BJ34" s="83">
        <v>235.13786999999999</v>
      </c>
      <c r="BK34" s="83">
        <v>261.54094199999997</v>
      </c>
      <c r="BL34" s="83">
        <v>666.47335099999998</v>
      </c>
      <c r="BM34" s="83">
        <v>289.01178800000002</v>
      </c>
      <c r="BN34" s="83">
        <v>475.77344099999999</v>
      </c>
      <c r="BO34" s="83">
        <v>351.85167999999999</v>
      </c>
      <c r="BP34" s="83">
        <v>589.44277899999997</v>
      </c>
      <c r="BQ34" s="83">
        <v>274.03779700000001</v>
      </c>
      <c r="BR34" s="83">
        <v>303.96247299999999</v>
      </c>
      <c r="BS34" s="83">
        <v>732.38959499999999</v>
      </c>
      <c r="BT34" s="83">
        <v>290.31096200000002</v>
      </c>
      <c r="BU34" s="83">
        <v>473.89996200000002</v>
      </c>
      <c r="BV34" s="83">
        <v>356.23389100000003</v>
      </c>
      <c r="BW34" s="83">
        <v>597.97425199999998</v>
      </c>
      <c r="BX34" s="83">
        <v>283.93424800000003</v>
      </c>
      <c r="BY34" s="83">
        <v>317.29716400000001</v>
      </c>
      <c r="BZ34" s="83">
        <v>633.82583299999999</v>
      </c>
      <c r="CA34" s="83">
        <v>251.874718</v>
      </c>
      <c r="CB34" s="83">
        <v>420.688446</v>
      </c>
      <c r="CC34" s="83">
        <v>314.203778</v>
      </c>
      <c r="CD34" s="83">
        <v>527.61837800000001</v>
      </c>
      <c r="CE34" s="83">
        <v>248.94562500000001</v>
      </c>
      <c r="CF34" s="83">
        <v>268.237708</v>
      </c>
      <c r="CG34" s="83">
        <v>669.47360100000003</v>
      </c>
      <c r="CH34" s="83">
        <v>269.89590500000003</v>
      </c>
      <c r="CI34" s="83">
        <v>447.33556199999998</v>
      </c>
      <c r="CJ34" s="83">
        <v>335.05596200000002</v>
      </c>
      <c r="CK34" s="83">
        <v>567.21632599999998</v>
      </c>
      <c r="CL34" s="83">
        <v>263.43899900000002</v>
      </c>
      <c r="CM34" s="83">
        <v>292.54742099999999</v>
      </c>
      <c r="CN34" s="83">
        <v>676.69718</v>
      </c>
      <c r="CO34" s="83">
        <v>290.616196</v>
      </c>
      <c r="CP34" s="83">
        <v>458.31200200000001</v>
      </c>
      <c r="CQ34" s="83">
        <v>339.961727</v>
      </c>
      <c r="CR34" s="83">
        <v>572.23528199999998</v>
      </c>
      <c r="CS34" s="83">
        <v>262.79473300000001</v>
      </c>
      <c r="CT34" s="83">
        <v>289.21882900000003</v>
      </c>
      <c r="CU34" s="83">
        <v>652.63595899999996</v>
      </c>
      <c r="CV34" s="83">
        <v>258.374144</v>
      </c>
      <c r="CW34" s="83">
        <v>439.12116500000002</v>
      </c>
      <c r="CX34" s="83">
        <v>328.408477</v>
      </c>
      <c r="CY34" s="83">
        <v>553.04811700000005</v>
      </c>
      <c r="CZ34" s="83">
        <v>262.64921199999998</v>
      </c>
      <c r="DA34" s="83">
        <v>294.49237499999998</v>
      </c>
      <c r="DB34" s="83">
        <v>689.23778400000003</v>
      </c>
      <c r="DC34" s="83">
        <v>275.18514499999998</v>
      </c>
      <c r="DD34" s="83">
        <v>484.34972099999999</v>
      </c>
      <c r="DE34" s="83">
        <v>360.56320499999998</v>
      </c>
      <c r="DF34" s="83">
        <v>601.513057</v>
      </c>
      <c r="DG34" s="83">
        <v>289.57053300000001</v>
      </c>
      <c r="DH34" s="83">
        <v>314.380539</v>
      </c>
      <c r="DI34" s="83">
        <v>684.70760900000005</v>
      </c>
      <c r="DJ34" s="83">
        <v>277.09997499999997</v>
      </c>
      <c r="DK34" s="83">
        <v>452.66205000000002</v>
      </c>
      <c r="DL34" s="83">
        <v>342.09274399999998</v>
      </c>
      <c r="DM34" s="83">
        <v>575.27451699999995</v>
      </c>
      <c r="DN34" s="83">
        <v>267.88581799999997</v>
      </c>
      <c r="DO34" s="83">
        <v>296.19606199999998</v>
      </c>
      <c r="DP34" s="83">
        <v>670.13147700000002</v>
      </c>
      <c r="DQ34" s="83">
        <v>286.984374</v>
      </c>
      <c r="DR34" s="83">
        <v>441.86839099999997</v>
      </c>
      <c r="DS34" s="83">
        <v>325.48192599999999</v>
      </c>
      <c r="DT34" s="83">
        <v>550.62687800000003</v>
      </c>
      <c r="DU34" s="83">
        <v>252.53280100000001</v>
      </c>
      <c r="DV34" s="83">
        <v>279.02121599999998</v>
      </c>
      <c r="DW34" s="83">
        <v>622.55120599999998</v>
      </c>
      <c r="DX34" s="83">
        <v>246.76174599999999</v>
      </c>
      <c r="DY34" s="83">
        <v>415.77762000000001</v>
      </c>
      <c r="DZ34" s="83">
        <v>313.43998499999998</v>
      </c>
      <c r="EA34" s="83">
        <v>524.52073800000005</v>
      </c>
      <c r="EB34" s="83">
        <v>249.96319299999999</v>
      </c>
      <c r="EC34" s="83">
        <v>279.37190099999998</v>
      </c>
      <c r="ED34" s="83">
        <v>669.67704000000003</v>
      </c>
      <c r="EE34" s="83">
        <v>266.830602</v>
      </c>
      <c r="EF34" s="83">
        <v>455.25064500000002</v>
      </c>
      <c r="EG34" s="83">
        <v>335.41918099999998</v>
      </c>
      <c r="EH34" s="83">
        <v>565.99738300000001</v>
      </c>
      <c r="EI34" s="83">
        <v>269.36920199999997</v>
      </c>
      <c r="EJ34" s="83">
        <v>293.39447799999999</v>
      </c>
      <c r="EK34" s="83">
        <v>639.74985200000003</v>
      </c>
      <c r="EL34" s="83">
        <v>257.45233400000001</v>
      </c>
      <c r="EM34" s="83">
        <v>459.00393000000003</v>
      </c>
      <c r="EN34" s="83">
        <v>340.92048199999999</v>
      </c>
      <c r="EO34" s="83">
        <v>579.45229500000005</v>
      </c>
      <c r="EP34" s="83">
        <v>270.02061700000002</v>
      </c>
      <c r="EQ34" s="83">
        <v>302.02992599999999</v>
      </c>
      <c r="ER34" s="83">
        <v>639.79613700000004</v>
      </c>
      <c r="ES34" s="83">
        <v>274.78904399999999</v>
      </c>
      <c r="ET34" s="83">
        <v>406.92731500000002</v>
      </c>
      <c r="EU34" s="83">
        <v>302.13066600000002</v>
      </c>
      <c r="EV34" s="83">
        <v>510.29838799999999</v>
      </c>
      <c r="EW34" s="83">
        <v>232.62285399999999</v>
      </c>
      <c r="EX34" s="83">
        <v>254.94309799999999</v>
      </c>
      <c r="EY34" s="83">
        <v>640.65554699999996</v>
      </c>
      <c r="EZ34" s="83">
        <v>252.339778</v>
      </c>
      <c r="FA34" s="83">
        <v>459.40235799999999</v>
      </c>
      <c r="FB34" s="83">
        <v>343.99198899999999</v>
      </c>
      <c r="FC34" s="83">
        <v>580.07370800000001</v>
      </c>
      <c r="FD34" s="83">
        <v>273.91551099999998</v>
      </c>
      <c r="FE34" s="83">
        <v>305.98063999999999</v>
      </c>
      <c r="FF34" s="83">
        <v>694.50937999999996</v>
      </c>
      <c r="FG34" s="83">
        <v>276.56008800000001</v>
      </c>
      <c r="FH34" s="83">
        <v>441.031657</v>
      </c>
      <c r="FI34" s="83">
        <v>329.76551599999999</v>
      </c>
      <c r="FJ34" s="83">
        <v>554.62510199999997</v>
      </c>
      <c r="FK34" s="83">
        <v>260.25567599999999</v>
      </c>
      <c r="FL34" s="83">
        <v>279.80421100000001</v>
      </c>
      <c r="FM34" s="83">
        <v>666.39912900000002</v>
      </c>
      <c r="FN34" s="83">
        <v>267.24829899999997</v>
      </c>
      <c r="FO34" s="83">
        <v>455.82651900000002</v>
      </c>
      <c r="FP34" s="83">
        <v>336.51465100000001</v>
      </c>
      <c r="FQ34" s="83">
        <v>575.61361899999997</v>
      </c>
      <c r="FR34" s="83">
        <v>266.510671</v>
      </c>
      <c r="FS34" s="83">
        <v>298.21350799999999</v>
      </c>
      <c r="FT34" s="83">
        <v>707.25793199999998</v>
      </c>
      <c r="FU34" s="83">
        <v>306.43662999999998</v>
      </c>
      <c r="FV34" s="83">
        <v>456.57089999999999</v>
      </c>
      <c r="FW34" s="83">
        <v>336.36968999999999</v>
      </c>
      <c r="FX34" s="83">
        <v>568.62448099999995</v>
      </c>
      <c r="FY34" s="83">
        <v>261.09090600000002</v>
      </c>
      <c r="FZ34" s="83">
        <v>288.60333000000003</v>
      </c>
      <c r="GA34" s="83">
        <v>661.56355799999994</v>
      </c>
      <c r="GB34" s="83">
        <v>261.47337700000003</v>
      </c>
      <c r="GC34" s="83">
        <v>445.66046</v>
      </c>
      <c r="GD34" s="83">
        <v>331.816058</v>
      </c>
      <c r="GE34" s="83">
        <v>561.51628700000003</v>
      </c>
      <c r="GF34" s="83">
        <v>265.22084000000001</v>
      </c>
      <c r="GG34" s="83">
        <v>297.37206300000003</v>
      </c>
      <c r="GH34" s="83">
        <v>633.38116300000002</v>
      </c>
      <c r="GI34" s="83">
        <v>250.878638</v>
      </c>
      <c r="GJ34" s="83">
        <v>470.60171700000001</v>
      </c>
      <c r="GK34" s="83">
        <v>348.92561599999999</v>
      </c>
      <c r="GL34" s="83">
        <v>587.09456999999998</v>
      </c>
      <c r="GM34" s="83">
        <v>278.66910000000001</v>
      </c>
      <c r="GN34" s="83">
        <v>302.13510400000001</v>
      </c>
      <c r="GO34" s="83">
        <v>691.54081900000006</v>
      </c>
      <c r="GP34" s="83">
        <v>279.286339</v>
      </c>
      <c r="GQ34" s="83">
        <v>419.76078899999999</v>
      </c>
      <c r="GR34" s="83">
        <v>310.49969700000003</v>
      </c>
      <c r="GS34" s="83">
        <v>532.12510799999995</v>
      </c>
      <c r="GT34" s="83">
        <v>244.42542900000001</v>
      </c>
      <c r="GU34" s="83">
        <v>271.97356600000001</v>
      </c>
      <c r="GV34" s="83">
        <v>693.72314400000005</v>
      </c>
      <c r="GW34" s="83">
        <v>296.97797000000003</v>
      </c>
      <c r="GX34" s="83">
        <v>499.474177</v>
      </c>
      <c r="GY34" s="83">
        <v>366.35363899999999</v>
      </c>
      <c r="GZ34" s="83">
        <v>620.41965800000003</v>
      </c>
      <c r="HA34" s="83">
        <v>285.36078300000003</v>
      </c>
      <c r="HB34" s="83">
        <v>316.59003999999999</v>
      </c>
      <c r="HC34" s="83">
        <v>696.740859</v>
      </c>
      <c r="HD34" s="83">
        <v>275.744461</v>
      </c>
      <c r="HE34" s="83">
        <v>446.20647100000002</v>
      </c>
      <c r="HF34" s="83">
        <v>333.784582</v>
      </c>
      <c r="HG34" s="83">
        <v>563.66214600000001</v>
      </c>
      <c r="HH34" s="83">
        <v>265.61380200000002</v>
      </c>
      <c r="HI34" s="83">
        <v>296.574343</v>
      </c>
      <c r="HJ34" s="83">
        <v>710.556467</v>
      </c>
      <c r="HK34" s="83">
        <v>282.336905</v>
      </c>
      <c r="HL34" s="83">
        <v>507.13561099999998</v>
      </c>
      <c r="HM34" s="83">
        <v>379.41942299999999</v>
      </c>
      <c r="HN34" s="83">
        <v>634.61653899999999</v>
      </c>
      <c r="HO34" s="83">
        <v>301.38835599999999</v>
      </c>
      <c r="HP34" s="83">
        <v>325.00279499999999</v>
      </c>
      <c r="HQ34" s="83">
        <v>728.88891899999999</v>
      </c>
      <c r="HR34" s="83">
        <v>293.34840200000002</v>
      </c>
      <c r="HS34" s="83">
        <v>472.622997</v>
      </c>
      <c r="HT34" s="83">
        <v>348.45568700000001</v>
      </c>
      <c r="HU34" s="83">
        <v>598.64567299999999</v>
      </c>
      <c r="HV34" s="83">
        <v>274.650575</v>
      </c>
      <c r="HW34" s="83">
        <v>306.032939</v>
      </c>
      <c r="HX34" s="83">
        <v>675.87210400000004</v>
      </c>
      <c r="HY34" s="83">
        <v>286.67672099999999</v>
      </c>
      <c r="HZ34" s="83">
        <v>455.28711800000002</v>
      </c>
      <c r="IA34" s="83">
        <v>335.492234</v>
      </c>
      <c r="IB34" s="83">
        <v>570.58236899999997</v>
      </c>
      <c r="IC34" s="83">
        <v>258.981447</v>
      </c>
      <c r="ID34" s="83">
        <v>284.63671099999999</v>
      </c>
      <c r="IE34" s="83">
        <v>721.00486999999998</v>
      </c>
      <c r="IF34" s="83">
        <v>284.01928299999997</v>
      </c>
      <c r="IG34" s="83">
        <v>472.14132699999999</v>
      </c>
      <c r="IH34" s="83">
        <v>349.811914</v>
      </c>
      <c r="II34" s="83">
        <v>595.04205200000001</v>
      </c>
      <c r="IJ34" s="83">
        <v>279.48703799999998</v>
      </c>
      <c r="IK34" s="83">
        <v>313.42305699999997</v>
      </c>
      <c r="IL34" s="83">
        <v>776.57347900000002</v>
      </c>
      <c r="IM34" s="83">
        <v>308.01670899999999</v>
      </c>
      <c r="IN34" s="83">
        <v>558.06409299999996</v>
      </c>
      <c r="IO34" s="83">
        <v>413.63176700000002</v>
      </c>
      <c r="IP34" s="83">
        <v>697.47853199999997</v>
      </c>
      <c r="IQ34" s="83">
        <v>329.46336400000001</v>
      </c>
      <c r="IR34" s="83">
        <v>356.82866799999999</v>
      </c>
      <c r="IS34" s="83">
        <v>785.90567399999998</v>
      </c>
      <c r="IT34" s="83">
        <v>315.988877</v>
      </c>
      <c r="IU34" s="83">
        <v>496.41822100000002</v>
      </c>
      <c r="IV34" s="83">
        <v>365.31803200000002</v>
      </c>
      <c r="IW34" s="83">
        <v>627.58969400000001</v>
      </c>
      <c r="IX34" s="83">
        <v>288.81569500000001</v>
      </c>
      <c r="IY34" s="83">
        <v>322.74248699999998</v>
      </c>
      <c r="IZ34" s="83">
        <v>722.37637600000005</v>
      </c>
      <c r="JA34" s="83">
        <v>309.513533</v>
      </c>
      <c r="JB34" s="83">
        <v>495.28824700000001</v>
      </c>
      <c r="JC34" s="83">
        <v>362.98515400000002</v>
      </c>
      <c r="JD34" s="83">
        <v>616.68645100000003</v>
      </c>
      <c r="JE34" s="83">
        <v>282.22216400000002</v>
      </c>
      <c r="JF34" s="83">
        <v>312.52452799999998</v>
      </c>
      <c r="JG34" s="83">
        <v>687.30976899999996</v>
      </c>
      <c r="JH34" s="83">
        <v>270.86326100000002</v>
      </c>
      <c r="JI34" s="83">
        <v>457.08031899999997</v>
      </c>
      <c r="JJ34" s="83">
        <v>341.50976000000003</v>
      </c>
      <c r="JK34" s="83">
        <v>578.81279099999995</v>
      </c>
      <c r="JL34" s="83">
        <v>270.64829600000002</v>
      </c>
      <c r="JM34" s="83">
        <v>301.19968599999999</v>
      </c>
      <c r="JN34" s="83">
        <v>534.68884100000002</v>
      </c>
      <c r="JO34" s="83">
        <v>293.59603800000002</v>
      </c>
      <c r="JP34" s="83">
        <v>421.05523099999999</v>
      </c>
      <c r="JQ34" s="83">
        <v>322.04138899999998</v>
      </c>
      <c r="JR34" s="83">
        <v>526.71804999999995</v>
      </c>
      <c r="JS34" s="83">
        <v>559.78901699999994</v>
      </c>
      <c r="JT34" s="83">
        <v>566.51818600000001</v>
      </c>
      <c r="JU34" s="83">
        <v>371.83307100000002</v>
      </c>
      <c r="JV34" s="83">
        <v>423.71304199999997</v>
      </c>
      <c r="JW34" s="83">
        <v>419.39106299999997</v>
      </c>
      <c r="JX34" s="83">
        <v>411.65422599999999</v>
      </c>
      <c r="JY34" s="83">
        <v>384.39741700000002</v>
      </c>
      <c r="JZ34" s="83">
        <v>417.07875300000001</v>
      </c>
      <c r="KA34" s="83">
        <v>431.83512999999999</v>
      </c>
      <c r="KB34" s="83">
        <v>446.4194</v>
      </c>
      <c r="KC34" s="83">
        <v>540.09363800000006</v>
      </c>
      <c r="KD34" s="83">
        <v>438.86943000000002</v>
      </c>
      <c r="KE34" s="83">
        <v>430.41254600000002</v>
      </c>
      <c r="KF34" s="83">
        <v>397.16716600000001</v>
      </c>
      <c r="KG34" s="83">
        <v>427.67995999999999</v>
      </c>
      <c r="KH34" s="83">
        <v>439.98958299999998</v>
      </c>
      <c r="KI34" s="83">
        <v>376.139546</v>
      </c>
      <c r="KJ34" s="83">
        <v>420.94086700000003</v>
      </c>
      <c r="KK34" s="83">
        <v>423.80918000000003</v>
      </c>
      <c r="KL34" s="83">
        <v>419.80565000000001</v>
      </c>
      <c r="KM34" s="83">
        <v>387.490139</v>
      </c>
      <c r="KN34" s="83">
        <v>429.63599099999999</v>
      </c>
      <c r="KO34" s="83">
        <v>447.081681</v>
      </c>
      <c r="KP34" s="83">
        <v>444.05865699999998</v>
      </c>
      <c r="KQ34" s="83">
        <v>495.11151799999999</v>
      </c>
      <c r="KR34" s="83">
        <v>430.69284199999998</v>
      </c>
      <c r="KS34" s="83">
        <v>422.49293299999999</v>
      </c>
      <c r="KT34" s="83">
        <v>389.55953899999997</v>
      </c>
      <c r="KU34" s="83">
        <v>431.229713</v>
      </c>
      <c r="KV34" s="83">
        <v>436.240343</v>
      </c>
      <c r="KW34" s="83">
        <v>367.51468199999999</v>
      </c>
      <c r="KX34" s="83">
        <v>418.20048600000001</v>
      </c>
      <c r="KY34" s="83">
        <v>386.723252</v>
      </c>
      <c r="KZ34" s="83">
        <v>379.59242</v>
      </c>
      <c r="LA34" s="83">
        <v>353.46727399999997</v>
      </c>
      <c r="LB34" s="83">
        <v>384.66885600000001</v>
      </c>
      <c r="LC34" s="83">
        <v>398.055272</v>
      </c>
      <c r="LD34" s="83">
        <v>389.09729499999997</v>
      </c>
      <c r="LE34" s="83">
        <v>470.95070800000002</v>
      </c>
      <c r="LF34" s="83">
        <v>433.96750600000001</v>
      </c>
      <c r="LG34" s="83">
        <v>424.04109</v>
      </c>
      <c r="LH34" s="83">
        <v>393.32056599999999</v>
      </c>
      <c r="LI34" s="83">
        <v>421.674261</v>
      </c>
      <c r="LJ34" s="83">
        <v>433.22117300000002</v>
      </c>
      <c r="LK34" s="83">
        <v>385.20850200000001</v>
      </c>
      <c r="LL34" s="83">
        <v>428.97255999999999</v>
      </c>
      <c r="LM34" s="83">
        <v>384.90886</v>
      </c>
      <c r="LN34" s="83">
        <v>380.19335799999999</v>
      </c>
      <c r="LO34" s="83">
        <v>350.15664800000002</v>
      </c>
      <c r="LP34" s="83">
        <v>389.80828600000001</v>
      </c>
      <c r="LQ34" s="83">
        <v>404.806219</v>
      </c>
      <c r="LR34" s="83">
        <v>367.31371200000001</v>
      </c>
      <c r="LS34" s="83">
        <v>411.67800999999997</v>
      </c>
      <c r="LT34" s="83">
        <v>384.12591400000002</v>
      </c>
      <c r="LU34" s="83">
        <v>376.63176299999998</v>
      </c>
      <c r="LV34" s="83">
        <v>347.400261</v>
      </c>
      <c r="LW34" s="83">
        <v>384.60961300000002</v>
      </c>
      <c r="LX34" s="83">
        <v>388.94726400000002</v>
      </c>
      <c r="LY34" s="83">
        <v>361.84245299999998</v>
      </c>
      <c r="LZ34" s="83">
        <v>412.17953</v>
      </c>
      <c r="MA34" s="83">
        <v>410.595282</v>
      </c>
      <c r="MB34" s="83">
        <v>403.60554500000001</v>
      </c>
      <c r="MC34" s="83">
        <v>377.00335100000001</v>
      </c>
      <c r="MD34" s="83">
        <v>408.32759499999997</v>
      </c>
      <c r="ME34" s="83">
        <v>423.12179200000003</v>
      </c>
      <c r="MF34" s="83">
        <v>430.92402800000002</v>
      </c>
      <c r="MG34" s="83">
        <v>521.92792899999995</v>
      </c>
      <c r="MH34" s="83">
        <v>417.32775700000002</v>
      </c>
      <c r="MI34" s="83">
        <v>408.08830899999998</v>
      </c>
      <c r="MJ34" s="83">
        <v>378.19066400000003</v>
      </c>
      <c r="MK34" s="83">
        <v>405.70541500000002</v>
      </c>
      <c r="ML34" s="83">
        <v>416.93749700000001</v>
      </c>
      <c r="MM34" s="83">
        <v>378.44187399999998</v>
      </c>
      <c r="MN34" s="83">
        <v>422.62723199999999</v>
      </c>
      <c r="MO34" s="83">
        <v>396.922979</v>
      </c>
      <c r="MP34" s="83">
        <v>392.90023500000001</v>
      </c>
      <c r="MQ34" s="83">
        <v>361.95373699999999</v>
      </c>
      <c r="MR34" s="83">
        <v>402.072563</v>
      </c>
      <c r="MS34" s="83">
        <v>418.03774499999997</v>
      </c>
      <c r="MT34" s="83">
        <v>367.13592199999999</v>
      </c>
      <c r="MU34" s="83">
        <v>412.10616099999999</v>
      </c>
      <c r="MV34" s="83">
        <v>418.29802999999998</v>
      </c>
      <c r="MW34" s="83">
        <v>408.98256800000001</v>
      </c>
      <c r="MX34" s="83">
        <v>378.53156200000001</v>
      </c>
      <c r="MY34" s="83">
        <v>418.90256699999998</v>
      </c>
      <c r="MZ34" s="83">
        <v>422.61151899999999</v>
      </c>
      <c r="NA34" s="83">
        <v>439.16819800000002</v>
      </c>
      <c r="NB34" s="83">
        <v>494.57513499999999</v>
      </c>
      <c r="NC34" s="83">
        <v>420.61224700000002</v>
      </c>
      <c r="ND34" s="83">
        <v>412.84257300000002</v>
      </c>
      <c r="NE34" s="83">
        <v>386.20236699999998</v>
      </c>
      <c r="NF34" s="83">
        <v>418.238991</v>
      </c>
      <c r="NG34" s="83">
        <v>433.18632600000001</v>
      </c>
      <c r="NH34" s="83">
        <v>378.01128399999999</v>
      </c>
      <c r="NI34" s="83">
        <v>457.608273</v>
      </c>
      <c r="NJ34" s="83">
        <v>400.40838500000001</v>
      </c>
      <c r="NK34" s="83">
        <v>391.107707</v>
      </c>
      <c r="NL34" s="83">
        <v>362.21203000000003</v>
      </c>
      <c r="NM34" s="83">
        <v>389.44436899999999</v>
      </c>
      <c r="NN34" s="83">
        <v>399.96260999999998</v>
      </c>
      <c r="NO34" s="83">
        <v>389.96175499999998</v>
      </c>
      <c r="NP34" s="83">
        <v>433.61168700000002</v>
      </c>
      <c r="NQ34" s="83">
        <v>432.97141299999998</v>
      </c>
      <c r="NR34" s="83">
        <v>429.25012400000003</v>
      </c>
      <c r="NS34" s="83">
        <v>397.23024400000003</v>
      </c>
      <c r="NT34" s="83">
        <v>439.36778600000002</v>
      </c>
      <c r="NU34" s="83">
        <v>457.71506199999999</v>
      </c>
      <c r="NV34" s="83">
        <v>415.3888</v>
      </c>
      <c r="NW34" s="83">
        <v>460.55016499999999</v>
      </c>
      <c r="NX34" s="83">
        <v>406.762315</v>
      </c>
      <c r="NY34" s="83">
        <v>398.50686400000001</v>
      </c>
      <c r="NZ34" s="83">
        <v>368.97961700000002</v>
      </c>
      <c r="OA34" s="83">
        <v>407.38699400000002</v>
      </c>
      <c r="OB34" s="83">
        <v>411.32371799999999</v>
      </c>
      <c r="OC34" s="83">
        <v>375.59877899999998</v>
      </c>
      <c r="OD34" s="83">
        <v>425.21445499999999</v>
      </c>
      <c r="OE34" s="83">
        <v>394.43996499999997</v>
      </c>
      <c r="OF34" s="83">
        <v>386.87622699999997</v>
      </c>
      <c r="OG34" s="83">
        <v>361.97938399999998</v>
      </c>
      <c r="OH34" s="83">
        <v>392.20701100000002</v>
      </c>
      <c r="OI34" s="83">
        <v>406.08384100000001</v>
      </c>
      <c r="OJ34" s="83">
        <v>383.52945099999999</v>
      </c>
      <c r="OK34" s="83">
        <v>464.327831</v>
      </c>
      <c r="OL34" s="83">
        <v>430.88961499999999</v>
      </c>
      <c r="OM34" s="83">
        <v>421.035031</v>
      </c>
      <c r="ON34" s="83">
        <v>391.322427</v>
      </c>
      <c r="OO34" s="83">
        <v>418.16957200000002</v>
      </c>
      <c r="OP34" s="83">
        <v>429.71596599999998</v>
      </c>
      <c r="OQ34" s="83">
        <v>400.88460300000003</v>
      </c>
      <c r="OR34" s="83">
        <v>443.57326399999999</v>
      </c>
      <c r="OS34" s="83">
        <v>395.34367300000002</v>
      </c>
      <c r="OT34" s="83">
        <v>391.04639700000001</v>
      </c>
      <c r="OU34" s="83">
        <v>361.21053799999999</v>
      </c>
      <c r="OV34" s="83">
        <v>400.84609</v>
      </c>
      <c r="OW34" s="83">
        <v>416.88503300000002</v>
      </c>
      <c r="OX34" s="83">
        <v>371.82613199999997</v>
      </c>
      <c r="OY34" s="83">
        <v>415.27004499999998</v>
      </c>
      <c r="OZ34" s="83">
        <v>388.32638100000003</v>
      </c>
      <c r="PA34" s="83">
        <v>380.55438700000002</v>
      </c>
      <c r="PB34" s="83">
        <v>351.75799499999999</v>
      </c>
      <c r="PC34" s="83">
        <v>388.87374599999998</v>
      </c>
      <c r="PD34" s="83">
        <v>392.89964199999997</v>
      </c>
      <c r="PE34" s="83">
        <v>355.13153499999999</v>
      </c>
      <c r="PF34" s="83">
        <v>402.79578600000002</v>
      </c>
      <c r="PG34" s="83">
        <v>402.06784699999997</v>
      </c>
      <c r="PH34" s="83">
        <v>394.70203600000002</v>
      </c>
      <c r="PI34" s="83">
        <v>370.111985</v>
      </c>
      <c r="PJ34" s="83">
        <v>399.731694</v>
      </c>
      <c r="PK34" s="83">
        <v>414.24596500000001</v>
      </c>
      <c r="PL34" s="83">
        <v>434.374458</v>
      </c>
      <c r="PM34" s="83">
        <v>526.342671</v>
      </c>
      <c r="PN34" s="83">
        <v>423.206727</v>
      </c>
      <c r="PO34" s="83">
        <v>413.12771199999997</v>
      </c>
      <c r="PP34" s="83">
        <v>383.48110700000001</v>
      </c>
      <c r="PQ34" s="83">
        <v>411.06048399999997</v>
      </c>
      <c r="PR34" s="83">
        <v>422.13663600000001</v>
      </c>
      <c r="PS34" s="83">
        <v>421.08562499999999</v>
      </c>
      <c r="PT34" s="83">
        <v>470.25347399999998</v>
      </c>
      <c r="PU34" s="83">
        <v>442.11080099999998</v>
      </c>
      <c r="PV34" s="83">
        <v>437.05111699999998</v>
      </c>
      <c r="PW34" s="83">
        <v>402.73123900000002</v>
      </c>
      <c r="PX34" s="83">
        <v>447.85311999999999</v>
      </c>
      <c r="PY34" s="83">
        <v>465.35136799999998</v>
      </c>
      <c r="PZ34" s="83">
        <v>375.72933899999998</v>
      </c>
      <c r="QA34" s="83">
        <v>421.22264899999999</v>
      </c>
      <c r="QB34" s="83">
        <v>393.447631</v>
      </c>
      <c r="QC34" s="83">
        <v>385.16063500000001</v>
      </c>
      <c r="QD34" s="83">
        <v>355.32971199999997</v>
      </c>
      <c r="QE34" s="83">
        <v>393.93020200000001</v>
      </c>
      <c r="QF34" s="83">
        <v>398.05952000000002</v>
      </c>
      <c r="QG34" s="83">
        <v>397.700647</v>
      </c>
      <c r="QH34" s="83">
        <v>450.99604299999999</v>
      </c>
      <c r="QI34" s="83">
        <v>418.17753399999998</v>
      </c>
      <c r="QJ34" s="83">
        <v>409.92956199999998</v>
      </c>
      <c r="QK34" s="83">
        <v>383.03067099999998</v>
      </c>
      <c r="QL34" s="83">
        <v>415.848028</v>
      </c>
      <c r="QM34" s="83">
        <v>430.32222400000001</v>
      </c>
      <c r="QN34" s="83">
        <v>402.72274499999997</v>
      </c>
      <c r="QO34" s="83">
        <v>487.41806200000002</v>
      </c>
      <c r="QP34" s="83">
        <v>426.73461700000001</v>
      </c>
      <c r="QQ34" s="83">
        <v>416.97912700000001</v>
      </c>
      <c r="QR34" s="83">
        <v>385.706929</v>
      </c>
      <c r="QS34" s="83">
        <v>415.33899200000002</v>
      </c>
    </row>
    <row r="35" spans="6:461" x14ac:dyDescent="0.25">
      <c r="F35" s="82" t="str">
        <f xml:space="preserve"> _xll.EPMOlapMemberO("[PRDDESCR].[].[WONDER GFREE WHITE 470G]","","WONDER GFREE WHITE 470G","","000")</f>
        <v>WONDER GFREE WHITE 470G</v>
      </c>
      <c r="G35" s="82" t="str">
        <f xml:space="preserve"> _xll.EPMOlapMemberO("[PRDID].[].[179649]","","179649","","000")</f>
        <v>179649</v>
      </c>
      <c r="H35" s="82" t="str">
        <f xml:space="preserve"> _xll.EPMOlapMemberO("[LOCID].[].[6105]","","6105","","000")</f>
        <v>6105</v>
      </c>
      <c r="I35" s="82" t="str">
        <f xml:space="preserve"> _xll.EPMOlapMemberO("[LOCDESCR].[].[QBA-Rydalmere]","","QBA-Rydalmere","","000")</f>
        <v>QBA-Rydalmere</v>
      </c>
      <c r="J35" s="82" t="str">
        <f xml:space="preserve"> _xll.EPMOlapMemberO("[KEY_FIGURES].[].[ZGFAPPROVEDFCSTQTY]","","Approved Forecast","","000")</f>
        <v>Approved Forecast</v>
      </c>
      <c r="K35" s="83">
        <v>199.48562200000001</v>
      </c>
      <c r="L35" s="83">
        <v>209.310374</v>
      </c>
      <c r="M35" s="83">
        <v>239.29710299999999</v>
      </c>
      <c r="N35" s="83">
        <v>184.09235699999999</v>
      </c>
      <c r="O35" s="83">
        <v>314.61903899999999</v>
      </c>
      <c r="P35" s="83">
        <v>233.935112</v>
      </c>
      <c r="Q35" s="83">
        <v>182.41831199999999</v>
      </c>
      <c r="R35" s="83">
        <v>195.65361999999999</v>
      </c>
      <c r="S35" s="83">
        <v>205.20898299999999</v>
      </c>
      <c r="T35" s="83">
        <v>236.04503700000001</v>
      </c>
      <c r="U35" s="83">
        <v>177.29153199999999</v>
      </c>
      <c r="V35" s="83">
        <v>273.67789800000003</v>
      </c>
      <c r="W35" s="83">
        <v>214.88611599999999</v>
      </c>
      <c r="X35" s="83">
        <v>175.40124499999999</v>
      </c>
      <c r="Y35" s="83">
        <v>185.574332</v>
      </c>
      <c r="Z35" s="83">
        <v>190.99572599999999</v>
      </c>
      <c r="AA35" s="83">
        <v>221.946291</v>
      </c>
      <c r="AB35" s="83">
        <v>177.626307</v>
      </c>
      <c r="AC35" s="83">
        <v>301.63855699999999</v>
      </c>
      <c r="AD35" s="83">
        <v>233.84041099999999</v>
      </c>
      <c r="AE35" s="83">
        <v>171.93404200000001</v>
      </c>
      <c r="AF35" s="83">
        <v>184.63320400000001</v>
      </c>
      <c r="AG35" s="83">
        <v>187.21615399999999</v>
      </c>
      <c r="AH35" s="83">
        <v>224.39226099999999</v>
      </c>
      <c r="AI35" s="83">
        <v>178.509974</v>
      </c>
      <c r="AJ35" s="83">
        <v>292.38026400000001</v>
      </c>
      <c r="AK35" s="83">
        <v>228.359556</v>
      </c>
      <c r="AL35" s="83">
        <v>174.49952400000001</v>
      </c>
      <c r="AM35" s="83">
        <v>187.553426</v>
      </c>
      <c r="AN35" s="83">
        <v>189.56841499999999</v>
      </c>
      <c r="AO35" s="83">
        <v>227.09401199999999</v>
      </c>
      <c r="AP35" s="83">
        <v>181.00190499999999</v>
      </c>
      <c r="AQ35" s="83">
        <v>295.24130500000001</v>
      </c>
      <c r="AR35" s="83">
        <v>229.72680500000001</v>
      </c>
      <c r="AS35" s="83">
        <v>186.96707499999999</v>
      </c>
      <c r="AT35" s="83">
        <v>199.28235900000001</v>
      </c>
      <c r="AU35" s="83">
        <v>202.401442</v>
      </c>
      <c r="AV35" s="83">
        <v>241.68515400000001</v>
      </c>
      <c r="AW35" s="83">
        <v>194.63256100000001</v>
      </c>
      <c r="AX35" s="83">
        <v>301.22983900000003</v>
      </c>
      <c r="AY35" s="83">
        <v>232.615148</v>
      </c>
      <c r="AZ35" s="83">
        <v>170.32646800000001</v>
      </c>
      <c r="BA35" s="83">
        <v>183.01136600000001</v>
      </c>
      <c r="BB35" s="83">
        <v>184.75938500000001</v>
      </c>
      <c r="BC35" s="83">
        <v>221.18350100000001</v>
      </c>
      <c r="BD35" s="83">
        <v>176.68951899999999</v>
      </c>
      <c r="BE35" s="83">
        <v>289.192431</v>
      </c>
      <c r="BF35" s="83">
        <v>226.12175400000001</v>
      </c>
      <c r="BG35" s="83">
        <v>173.372322</v>
      </c>
      <c r="BH35" s="83">
        <v>186.87068500000001</v>
      </c>
      <c r="BI35" s="83">
        <v>187.85635400000001</v>
      </c>
      <c r="BJ35" s="83">
        <v>225.00803500000001</v>
      </c>
      <c r="BK35" s="83">
        <v>179.48547300000001</v>
      </c>
      <c r="BL35" s="83">
        <v>302.120452</v>
      </c>
      <c r="BM35" s="83">
        <v>235.55625599999999</v>
      </c>
      <c r="BN35" s="83">
        <v>188.084431</v>
      </c>
      <c r="BO35" s="83">
        <v>201.37593000000001</v>
      </c>
      <c r="BP35" s="83">
        <v>203.47339500000001</v>
      </c>
      <c r="BQ35" s="83">
        <v>243.20401100000001</v>
      </c>
      <c r="BR35" s="83">
        <v>195.28816699999999</v>
      </c>
      <c r="BS35" s="83">
        <v>319.416338</v>
      </c>
      <c r="BT35" s="83">
        <v>248.95984100000001</v>
      </c>
      <c r="BU35" s="83">
        <v>184.834146</v>
      </c>
      <c r="BV35" s="83">
        <v>199.484647</v>
      </c>
      <c r="BW35" s="83">
        <v>200.39546000000001</v>
      </c>
      <c r="BX35" s="83">
        <v>240.208406</v>
      </c>
      <c r="BY35" s="83">
        <v>191.154989</v>
      </c>
      <c r="BZ35" s="83">
        <v>294.03800000000001</v>
      </c>
      <c r="CA35" s="83">
        <v>229.94423900000001</v>
      </c>
      <c r="CB35" s="83">
        <v>175.48660799999999</v>
      </c>
      <c r="CC35" s="83">
        <v>188.764081</v>
      </c>
      <c r="CD35" s="83">
        <v>190.68101999999999</v>
      </c>
      <c r="CE35" s="83">
        <v>228.496028</v>
      </c>
      <c r="CF35" s="83">
        <v>181.945716</v>
      </c>
      <c r="CG35" s="83">
        <v>283.13839400000001</v>
      </c>
      <c r="CH35" s="83">
        <v>221.97574399999999</v>
      </c>
      <c r="CI35" s="83">
        <v>168.112033</v>
      </c>
      <c r="CJ35" s="83">
        <v>180.824803</v>
      </c>
      <c r="CK35" s="83">
        <v>183.28100900000001</v>
      </c>
      <c r="CL35" s="83">
        <v>219.848592</v>
      </c>
      <c r="CM35" s="83">
        <v>174.44412399999999</v>
      </c>
      <c r="CN35" s="83">
        <v>296.32731200000001</v>
      </c>
      <c r="CO35" s="83">
        <v>231.29481699999999</v>
      </c>
      <c r="CP35" s="83">
        <v>176.57966400000001</v>
      </c>
      <c r="CQ35" s="83">
        <v>189.54638700000001</v>
      </c>
      <c r="CR35" s="83">
        <v>192.00134600000001</v>
      </c>
      <c r="CS35" s="83">
        <v>230.010188</v>
      </c>
      <c r="CT35" s="83">
        <v>183.30099100000001</v>
      </c>
      <c r="CU35" s="83">
        <v>289.013778</v>
      </c>
      <c r="CV35" s="83">
        <v>226.34920600000001</v>
      </c>
      <c r="CW35" s="83">
        <v>172.00735900000001</v>
      </c>
      <c r="CX35" s="83">
        <v>185.02553700000001</v>
      </c>
      <c r="CY35" s="83">
        <v>187.24501900000001</v>
      </c>
      <c r="CZ35" s="83">
        <v>224.50757999999999</v>
      </c>
      <c r="DA35" s="83">
        <v>178.41123300000001</v>
      </c>
      <c r="DB35" s="83">
        <v>288.85295200000002</v>
      </c>
      <c r="DC35" s="83">
        <v>225.83542499999999</v>
      </c>
      <c r="DD35" s="83">
        <v>178.623617</v>
      </c>
      <c r="DE35" s="83">
        <v>190.82441700000001</v>
      </c>
      <c r="DF35" s="83">
        <v>194.39133000000001</v>
      </c>
      <c r="DG35" s="83">
        <v>232.654608</v>
      </c>
      <c r="DH35" s="83">
        <v>185.92156</v>
      </c>
      <c r="DI35" s="83">
        <v>292.40014600000001</v>
      </c>
      <c r="DJ35" s="83">
        <v>228.36540299999999</v>
      </c>
      <c r="DK35" s="83">
        <v>169.609126</v>
      </c>
      <c r="DL35" s="83">
        <v>183.70090500000001</v>
      </c>
      <c r="DM35" s="83">
        <v>186.279832</v>
      </c>
      <c r="DN35" s="83">
        <v>224.423823</v>
      </c>
      <c r="DO35" s="83">
        <v>175.520646</v>
      </c>
      <c r="DP35" s="83">
        <v>296.55969099999999</v>
      </c>
      <c r="DQ35" s="83">
        <v>235.273663</v>
      </c>
      <c r="DR35" s="83">
        <v>173.499989</v>
      </c>
      <c r="DS35" s="83">
        <v>187.09096</v>
      </c>
      <c r="DT35" s="83">
        <v>188.36975000000001</v>
      </c>
      <c r="DU35" s="83">
        <v>225.80502899999999</v>
      </c>
      <c r="DV35" s="83">
        <v>179.62949599999999</v>
      </c>
      <c r="DW35" s="83">
        <v>294.21624400000002</v>
      </c>
      <c r="DX35" s="83">
        <v>230.274539</v>
      </c>
      <c r="DY35" s="83">
        <v>176.46653900000001</v>
      </c>
      <c r="DZ35" s="83">
        <v>190.33143699999999</v>
      </c>
      <c r="EA35" s="83">
        <v>191.19406499999999</v>
      </c>
      <c r="EB35" s="83">
        <v>229.053112</v>
      </c>
      <c r="EC35" s="83">
        <v>182.599051</v>
      </c>
      <c r="ED35" s="83">
        <v>295.112188</v>
      </c>
      <c r="EE35" s="83">
        <v>232.81686199999999</v>
      </c>
      <c r="EF35" s="83">
        <v>176.411261</v>
      </c>
      <c r="EG35" s="83">
        <v>191.03122999999999</v>
      </c>
      <c r="EH35" s="83">
        <v>191.744912</v>
      </c>
      <c r="EI35" s="83">
        <v>230.210598</v>
      </c>
      <c r="EJ35" s="83">
        <v>182.230739</v>
      </c>
      <c r="EK35" s="83">
        <v>308.92304300000001</v>
      </c>
      <c r="EL35" s="83">
        <v>241.26438999999999</v>
      </c>
      <c r="EM35" s="83">
        <v>197.055913</v>
      </c>
      <c r="EN35" s="83">
        <v>209.976212</v>
      </c>
      <c r="EO35" s="83">
        <v>213.71834799999999</v>
      </c>
      <c r="EP35" s="83">
        <v>255.38313299999999</v>
      </c>
      <c r="EQ35" s="83">
        <v>205.163916</v>
      </c>
      <c r="ER35" s="83">
        <v>292.11090300000001</v>
      </c>
      <c r="ES35" s="83">
        <v>229.62667300000001</v>
      </c>
      <c r="ET35" s="83">
        <v>164.32644400000001</v>
      </c>
      <c r="EU35" s="83">
        <v>178.81869499999999</v>
      </c>
      <c r="EV35" s="83">
        <v>178.96729400000001</v>
      </c>
      <c r="EW35" s="83">
        <v>215.249246</v>
      </c>
      <c r="EX35" s="83">
        <v>169.415888</v>
      </c>
      <c r="EY35" s="83">
        <v>324.65032200000002</v>
      </c>
      <c r="EZ35" s="83">
        <v>253.06641500000001</v>
      </c>
      <c r="FA35" s="83">
        <v>213.579384</v>
      </c>
      <c r="FB35" s="83">
        <v>226.94784999999999</v>
      </c>
      <c r="FC35" s="83">
        <v>230.848185</v>
      </c>
      <c r="FD35" s="83">
        <v>275.379031</v>
      </c>
      <c r="FE35" s="83">
        <v>222.48863600000001</v>
      </c>
      <c r="FF35" s="83">
        <v>320.52254299999998</v>
      </c>
      <c r="FG35" s="83">
        <v>250.81405599999999</v>
      </c>
      <c r="FH35" s="83">
        <v>180.194997</v>
      </c>
      <c r="FI35" s="83">
        <v>197.215193</v>
      </c>
      <c r="FJ35" s="83">
        <v>197.64094399999999</v>
      </c>
      <c r="FK35" s="83">
        <v>238.71121400000001</v>
      </c>
      <c r="FL35" s="83">
        <v>185.27427</v>
      </c>
      <c r="FM35" s="83">
        <v>292.84096</v>
      </c>
      <c r="FN35" s="83">
        <v>233.259039</v>
      </c>
      <c r="FO35" s="83">
        <v>181.839291</v>
      </c>
      <c r="FP35" s="83">
        <v>195.242031</v>
      </c>
      <c r="FQ35" s="83">
        <v>196.58693299999999</v>
      </c>
      <c r="FR35" s="83">
        <v>235.07333399999999</v>
      </c>
      <c r="FS35" s="83">
        <v>188.52866</v>
      </c>
      <c r="FT35" s="83">
        <v>341.10638699999998</v>
      </c>
      <c r="FU35" s="83">
        <v>263.09756399999998</v>
      </c>
      <c r="FV35" s="83">
        <v>192.450256</v>
      </c>
      <c r="FW35" s="83">
        <v>206.864847</v>
      </c>
      <c r="FX35" s="83">
        <v>208.298134</v>
      </c>
      <c r="FY35" s="83">
        <v>249.29347100000001</v>
      </c>
      <c r="FZ35" s="83">
        <v>199.376498</v>
      </c>
      <c r="GA35" s="83">
        <v>297.34069499999998</v>
      </c>
      <c r="GB35" s="83">
        <v>234.78556499999999</v>
      </c>
      <c r="GC35" s="83">
        <v>176.63748699999999</v>
      </c>
      <c r="GD35" s="83">
        <v>190.87082599999999</v>
      </c>
      <c r="GE35" s="83">
        <v>192.74984000000001</v>
      </c>
      <c r="GF35" s="83">
        <v>231.59825699999999</v>
      </c>
      <c r="GG35" s="83">
        <v>182.79282499999999</v>
      </c>
      <c r="GH35" s="83">
        <v>277.12710299999998</v>
      </c>
      <c r="GI35" s="83">
        <v>220.39809199999999</v>
      </c>
      <c r="GJ35" s="83">
        <v>184.37555800000001</v>
      </c>
      <c r="GK35" s="83">
        <v>197.3288</v>
      </c>
      <c r="GL35" s="83">
        <v>200.852206</v>
      </c>
      <c r="GM35" s="83">
        <v>240.61011500000001</v>
      </c>
      <c r="GN35" s="83">
        <v>191.71039400000001</v>
      </c>
      <c r="GO35" s="83">
        <v>300.57302199999998</v>
      </c>
      <c r="GP35" s="83">
        <v>232.62730300000001</v>
      </c>
      <c r="GQ35" s="83">
        <v>159.75121999999999</v>
      </c>
      <c r="GR35" s="83">
        <v>173.131798</v>
      </c>
      <c r="GS35" s="83">
        <v>173.82119</v>
      </c>
      <c r="GT35" s="83">
        <v>208.743979</v>
      </c>
      <c r="GU35" s="83">
        <v>165.082874</v>
      </c>
      <c r="GV35" s="83">
        <v>335.75648100000001</v>
      </c>
      <c r="GW35" s="83">
        <v>261.46858300000002</v>
      </c>
      <c r="GX35" s="83">
        <v>212.55797000000001</v>
      </c>
      <c r="GY35" s="83">
        <v>227.079487</v>
      </c>
      <c r="GZ35" s="83">
        <v>229.492966</v>
      </c>
      <c r="HA35" s="83">
        <v>274.047439</v>
      </c>
      <c r="HB35" s="83">
        <v>220.74520100000001</v>
      </c>
      <c r="HC35" s="83">
        <v>338.94060300000001</v>
      </c>
      <c r="HD35" s="83">
        <v>265.50447200000002</v>
      </c>
      <c r="HE35" s="83">
        <v>194.12329399999999</v>
      </c>
      <c r="HF35" s="83">
        <v>210.49535399999999</v>
      </c>
      <c r="HG35" s="83">
        <v>210.62220600000001</v>
      </c>
      <c r="HH35" s="83">
        <v>252.885986</v>
      </c>
      <c r="HI35" s="83">
        <v>200.203228</v>
      </c>
      <c r="HJ35" s="83">
        <v>330.33497999999997</v>
      </c>
      <c r="HK35" s="83">
        <v>258.72897499999999</v>
      </c>
      <c r="HL35" s="83">
        <v>209.14754099999999</v>
      </c>
      <c r="HM35" s="83">
        <v>225.085714</v>
      </c>
      <c r="HN35" s="83">
        <v>227.74598499999999</v>
      </c>
      <c r="HO35" s="83">
        <v>273.28937300000001</v>
      </c>
      <c r="HP35" s="83">
        <v>216.63701699999999</v>
      </c>
      <c r="HQ35" s="83">
        <v>343.44275099999999</v>
      </c>
      <c r="HR35" s="83">
        <v>271.09815800000001</v>
      </c>
      <c r="HS35" s="83">
        <v>201.07547600000001</v>
      </c>
      <c r="HT35" s="83">
        <v>217.79146</v>
      </c>
      <c r="HU35" s="83">
        <v>217.60839899999999</v>
      </c>
      <c r="HV35" s="83">
        <v>260.99317400000001</v>
      </c>
      <c r="HW35" s="83">
        <v>207.37659300000001</v>
      </c>
      <c r="HX35" s="83">
        <v>331.11324200000001</v>
      </c>
      <c r="HY35" s="83">
        <v>262.161315</v>
      </c>
      <c r="HZ35" s="83">
        <v>198.40527900000001</v>
      </c>
      <c r="IA35" s="83">
        <v>215.51480599999999</v>
      </c>
      <c r="IB35" s="83">
        <v>215.25513699999999</v>
      </c>
      <c r="IC35" s="83">
        <v>258.58100999999999</v>
      </c>
      <c r="ID35" s="83">
        <v>204.391828</v>
      </c>
      <c r="IE35" s="83">
        <v>320.79586</v>
      </c>
      <c r="IF35" s="83">
        <v>251.68598900000001</v>
      </c>
      <c r="IG35" s="83">
        <v>186.91683699999999</v>
      </c>
      <c r="IH35" s="83">
        <v>201.89459099999999</v>
      </c>
      <c r="II35" s="83">
        <v>202.35641899999999</v>
      </c>
      <c r="IJ35" s="83">
        <v>242.49704800000001</v>
      </c>
      <c r="IK35" s="83">
        <v>193.16466399999999</v>
      </c>
      <c r="IL35" s="83">
        <v>355.101474</v>
      </c>
      <c r="IM35" s="83">
        <v>276.53147000000001</v>
      </c>
      <c r="IN35" s="83">
        <v>225.25740500000001</v>
      </c>
      <c r="IO35" s="83">
        <v>242.30538200000001</v>
      </c>
      <c r="IP35" s="83">
        <v>244.54548299999999</v>
      </c>
      <c r="IQ35" s="83">
        <v>293.16088500000001</v>
      </c>
      <c r="IR35" s="83">
        <v>233.18525199999999</v>
      </c>
      <c r="IS35" s="83">
        <v>374.00860999999998</v>
      </c>
      <c r="IT35" s="83">
        <v>294.23758199999997</v>
      </c>
      <c r="IU35" s="83">
        <v>212.66466600000001</v>
      </c>
      <c r="IV35" s="83">
        <v>229.250069</v>
      </c>
      <c r="IW35" s="83">
        <v>229.74124499999999</v>
      </c>
      <c r="IX35" s="83">
        <v>275.064728</v>
      </c>
      <c r="IY35" s="83">
        <v>219.78214</v>
      </c>
      <c r="IZ35" s="83">
        <v>343.99193200000002</v>
      </c>
      <c r="JA35" s="83">
        <v>271.11524700000001</v>
      </c>
      <c r="JB35" s="83">
        <v>207.81003000000001</v>
      </c>
      <c r="JC35" s="83">
        <v>225.50545099999999</v>
      </c>
      <c r="JD35" s="83">
        <v>224.520802</v>
      </c>
      <c r="JE35" s="83">
        <v>269.28908100000001</v>
      </c>
      <c r="JF35" s="83">
        <v>214.00368900000001</v>
      </c>
      <c r="JG35" s="83">
        <v>305.93750999999997</v>
      </c>
      <c r="JH35" s="83">
        <v>244.23180400000001</v>
      </c>
      <c r="JI35" s="83">
        <v>181.94396800000001</v>
      </c>
      <c r="JJ35" s="83">
        <v>198.133298</v>
      </c>
      <c r="JK35" s="83">
        <v>198.74643399999999</v>
      </c>
      <c r="JL35" s="83">
        <v>239.403784</v>
      </c>
      <c r="JM35" s="83">
        <v>187.468073</v>
      </c>
      <c r="JN35" s="83">
        <v>260.861535</v>
      </c>
      <c r="JO35" s="83">
        <v>335.67850299999998</v>
      </c>
      <c r="JP35" s="83">
        <v>181.53024199999999</v>
      </c>
      <c r="JQ35" s="83">
        <v>215.36962600000001</v>
      </c>
      <c r="JR35" s="83">
        <v>189.672067</v>
      </c>
      <c r="JS35" s="83">
        <v>263.00005599999997</v>
      </c>
      <c r="JT35" s="83">
        <v>276.75060100000002</v>
      </c>
      <c r="JU35" s="83">
        <v>210.374717</v>
      </c>
      <c r="JV35" s="83">
        <v>215.536687</v>
      </c>
      <c r="JW35" s="83">
        <v>228.20565300000001</v>
      </c>
      <c r="JX35" s="83">
        <v>228.58233899999999</v>
      </c>
      <c r="JY35" s="83">
        <v>221.997649</v>
      </c>
      <c r="JZ35" s="83">
        <v>226.17725200000001</v>
      </c>
      <c r="KA35" s="83">
        <v>238.37842499999999</v>
      </c>
      <c r="KB35" s="83">
        <v>259.26414499999998</v>
      </c>
      <c r="KC35" s="83">
        <v>266.49031100000002</v>
      </c>
      <c r="KD35" s="83">
        <v>246.582143</v>
      </c>
      <c r="KE35" s="83">
        <v>246.972723</v>
      </c>
      <c r="KF35" s="83">
        <v>240.144937</v>
      </c>
      <c r="KG35" s="83">
        <v>244.47884500000001</v>
      </c>
      <c r="KH35" s="83">
        <v>257.13048300000003</v>
      </c>
      <c r="KI35" s="83">
        <v>215.272764</v>
      </c>
      <c r="KJ35" s="83">
        <v>220.535729</v>
      </c>
      <c r="KK35" s="83">
        <v>233.55228199999999</v>
      </c>
      <c r="KL35" s="83">
        <v>233.93669600000001</v>
      </c>
      <c r="KM35" s="83">
        <v>227.21685099999999</v>
      </c>
      <c r="KN35" s="83">
        <v>231.48224200000001</v>
      </c>
      <c r="KO35" s="83">
        <v>243.93385799999999</v>
      </c>
      <c r="KP35" s="83">
        <v>241.37874299999999</v>
      </c>
      <c r="KQ35" s="83">
        <v>248.44594499999999</v>
      </c>
      <c r="KR35" s="83">
        <v>228.876588</v>
      </c>
      <c r="KS35" s="83">
        <v>229.258228</v>
      </c>
      <c r="KT35" s="83">
        <v>222.58691899999999</v>
      </c>
      <c r="KU35" s="83">
        <v>226.82150899999999</v>
      </c>
      <c r="KV35" s="83">
        <v>239.183199</v>
      </c>
      <c r="KW35" s="83">
        <v>212.86956799999999</v>
      </c>
      <c r="KX35" s="83">
        <v>218.383363</v>
      </c>
      <c r="KY35" s="83">
        <v>216.47869800000001</v>
      </c>
      <c r="KZ35" s="83">
        <v>216.82498699999999</v>
      </c>
      <c r="LA35" s="83">
        <v>210.771615</v>
      </c>
      <c r="LB35" s="83">
        <v>214.61396300000001</v>
      </c>
      <c r="LC35" s="83">
        <v>225.83065400000001</v>
      </c>
      <c r="LD35" s="83">
        <v>229.12996200000001</v>
      </c>
      <c r="LE35" s="83">
        <v>235.263542</v>
      </c>
      <c r="LF35" s="83">
        <v>244.714563</v>
      </c>
      <c r="LG35" s="83">
        <v>245.141795</v>
      </c>
      <c r="LH35" s="83">
        <v>237.67345499999999</v>
      </c>
      <c r="LI35" s="83">
        <v>242.41395299999999</v>
      </c>
      <c r="LJ35" s="83">
        <v>256.25252399999999</v>
      </c>
      <c r="LK35" s="83">
        <v>209.07641699999999</v>
      </c>
      <c r="LL35" s="83">
        <v>214.75265899999999</v>
      </c>
      <c r="LM35" s="83">
        <v>203.138002</v>
      </c>
      <c r="LN35" s="83">
        <v>203.45942299999999</v>
      </c>
      <c r="LO35" s="83">
        <v>197.84069099999999</v>
      </c>
      <c r="LP35" s="83">
        <v>201.407149</v>
      </c>
      <c r="LQ35" s="83">
        <v>211.81846300000001</v>
      </c>
      <c r="LR35" s="83">
        <v>200.46253400000001</v>
      </c>
      <c r="LS35" s="83">
        <v>205.69273699999999</v>
      </c>
      <c r="LT35" s="83">
        <v>203.886031</v>
      </c>
      <c r="LU35" s="83">
        <v>204.21451400000001</v>
      </c>
      <c r="LV35" s="83">
        <v>198.472498</v>
      </c>
      <c r="LW35" s="83">
        <v>202.11721499999999</v>
      </c>
      <c r="LX35" s="83">
        <v>212.75694799999999</v>
      </c>
      <c r="LY35" s="83">
        <v>192.098601</v>
      </c>
      <c r="LZ35" s="83">
        <v>197.02763100000001</v>
      </c>
      <c r="MA35" s="83">
        <v>210.63073900000001</v>
      </c>
      <c r="MB35" s="83">
        <v>210.99589399999999</v>
      </c>
      <c r="MC35" s="83">
        <v>204.61275900000001</v>
      </c>
      <c r="MD35" s="83">
        <v>208.664433</v>
      </c>
      <c r="ME35" s="83">
        <v>220.49213399999999</v>
      </c>
      <c r="MF35" s="83">
        <v>229.80100300000001</v>
      </c>
      <c r="MG35" s="83">
        <v>236.62545600000001</v>
      </c>
      <c r="MH35" s="83">
        <v>216.30282</v>
      </c>
      <c r="MI35" s="83">
        <v>216.66616999999999</v>
      </c>
      <c r="MJ35" s="83">
        <v>210.314538</v>
      </c>
      <c r="MK35" s="83">
        <v>214.346214</v>
      </c>
      <c r="ML35" s="83">
        <v>226.11555000000001</v>
      </c>
      <c r="MM35" s="83">
        <v>211.91127900000001</v>
      </c>
      <c r="MN35" s="83">
        <v>217.637631</v>
      </c>
      <c r="MO35" s="83">
        <v>215.65955500000001</v>
      </c>
      <c r="MP35" s="83">
        <v>216.019195</v>
      </c>
      <c r="MQ35" s="83">
        <v>209.732518</v>
      </c>
      <c r="MR35" s="83">
        <v>213.72295700000001</v>
      </c>
      <c r="MS35" s="83">
        <v>225.37194299999999</v>
      </c>
      <c r="MT35" s="83">
        <v>190.727824</v>
      </c>
      <c r="MU35" s="83">
        <v>195.53833399999999</v>
      </c>
      <c r="MV35" s="83">
        <v>209.568881</v>
      </c>
      <c r="MW35" s="83">
        <v>209.927998</v>
      </c>
      <c r="MX35" s="83">
        <v>203.65043299999999</v>
      </c>
      <c r="MY35" s="83">
        <v>207.635097</v>
      </c>
      <c r="MZ35" s="83">
        <v>219.26718700000001</v>
      </c>
      <c r="NA35" s="83">
        <v>228.75025099999999</v>
      </c>
      <c r="NB35" s="83">
        <v>235.521692</v>
      </c>
      <c r="NC35" s="83">
        <v>214.5994</v>
      </c>
      <c r="ND35" s="83">
        <v>214.95717999999999</v>
      </c>
      <c r="NE35" s="83">
        <v>208.70297400000001</v>
      </c>
      <c r="NF35" s="83">
        <v>212.67280099999999</v>
      </c>
      <c r="NG35" s="83">
        <v>224.26161400000001</v>
      </c>
      <c r="NH35" s="83">
        <v>220.03904299999999</v>
      </c>
      <c r="NI35" s="83">
        <v>225.83311499999999</v>
      </c>
      <c r="NJ35" s="83">
        <v>223.831636</v>
      </c>
      <c r="NK35" s="83">
        <v>224.19552899999999</v>
      </c>
      <c r="NL35" s="83">
        <v>217.83446799999999</v>
      </c>
      <c r="NM35" s="83">
        <v>221.87212700000001</v>
      </c>
      <c r="NN35" s="83">
        <v>233.65893399999999</v>
      </c>
      <c r="NO35" s="83">
        <v>217.03737899999999</v>
      </c>
      <c r="NP35" s="83">
        <v>222.791753</v>
      </c>
      <c r="NQ35" s="83">
        <v>233.140839</v>
      </c>
      <c r="NR35" s="83">
        <v>233.547055</v>
      </c>
      <c r="NS35" s="83">
        <v>226.44632899999999</v>
      </c>
      <c r="NT35" s="83">
        <v>230.95348999999999</v>
      </c>
      <c r="NU35" s="83">
        <v>244.110883</v>
      </c>
      <c r="NV35" s="83">
        <v>208.236819</v>
      </c>
      <c r="NW35" s="83">
        <v>214.380967</v>
      </c>
      <c r="NX35" s="83">
        <v>200.53914</v>
      </c>
      <c r="NY35" s="83">
        <v>200.88244700000001</v>
      </c>
      <c r="NZ35" s="83">
        <v>194.88114899999999</v>
      </c>
      <c r="OA35" s="83">
        <v>198.69044500000001</v>
      </c>
      <c r="OB35" s="83">
        <v>209.81064900000001</v>
      </c>
      <c r="OC35" s="83">
        <v>205.508816</v>
      </c>
      <c r="OD35" s="83">
        <v>211.23770999999999</v>
      </c>
      <c r="OE35" s="83">
        <v>209.25874099999999</v>
      </c>
      <c r="OF35" s="83">
        <v>209.61854</v>
      </c>
      <c r="OG35" s="83">
        <v>203.32903200000001</v>
      </c>
      <c r="OH35" s="83">
        <v>207.321279</v>
      </c>
      <c r="OI35" s="83">
        <v>218.97551300000001</v>
      </c>
      <c r="OJ35" s="83">
        <v>208.174374</v>
      </c>
      <c r="OK35" s="83">
        <v>213.88684799999999</v>
      </c>
      <c r="OL35" s="83">
        <v>223.98027200000001</v>
      </c>
      <c r="OM35" s="83">
        <v>224.382868</v>
      </c>
      <c r="ON35" s="83">
        <v>217.345281</v>
      </c>
      <c r="OO35" s="83">
        <v>221.812355</v>
      </c>
      <c r="OP35" s="83">
        <v>234.85275300000001</v>
      </c>
      <c r="OQ35" s="83">
        <v>222.072023</v>
      </c>
      <c r="OR35" s="83">
        <v>228.61327900000001</v>
      </c>
      <c r="OS35" s="83">
        <v>214.04058599999999</v>
      </c>
      <c r="OT35" s="83">
        <v>214.40668199999999</v>
      </c>
      <c r="OU35" s="83">
        <v>208.00712799999999</v>
      </c>
      <c r="OV35" s="83">
        <v>212.069221</v>
      </c>
      <c r="OW35" s="83">
        <v>223.92736099999999</v>
      </c>
      <c r="OX35" s="83">
        <v>202.87757400000001</v>
      </c>
      <c r="OY35" s="83">
        <v>208.466643</v>
      </c>
      <c r="OZ35" s="83">
        <v>206.535991</v>
      </c>
      <c r="PA35" s="83">
        <v>206.88700700000001</v>
      </c>
      <c r="PB35" s="83">
        <v>200.75105300000001</v>
      </c>
      <c r="PC35" s="83">
        <v>204.645827</v>
      </c>
      <c r="PD35" s="83">
        <v>216.015534</v>
      </c>
      <c r="PE35" s="83">
        <v>206.51941600000001</v>
      </c>
      <c r="PF35" s="83">
        <v>211.99441200000001</v>
      </c>
      <c r="PG35" s="83">
        <v>225.52483799999999</v>
      </c>
      <c r="PH35" s="83">
        <v>225.92470599999999</v>
      </c>
      <c r="PI35" s="83">
        <v>218.93484100000001</v>
      </c>
      <c r="PJ35" s="83">
        <v>223.37162900000001</v>
      </c>
      <c r="PK35" s="83">
        <v>236.323599</v>
      </c>
      <c r="PL35" s="83">
        <v>231.337728</v>
      </c>
      <c r="PM35" s="83">
        <v>238.08687399999999</v>
      </c>
      <c r="PN35" s="83">
        <v>219.407816</v>
      </c>
      <c r="PO35" s="83">
        <v>219.77231</v>
      </c>
      <c r="PP35" s="83">
        <v>213.400644</v>
      </c>
      <c r="PQ35" s="83">
        <v>217.445041</v>
      </c>
      <c r="PR35" s="83">
        <v>229.25149999999999</v>
      </c>
      <c r="PS35" s="83">
        <v>220.411711</v>
      </c>
      <c r="PT35" s="83">
        <v>226.12439499999999</v>
      </c>
      <c r="PU35" s="83">
        <v>224.15102400000001</v>
      </c>
      <c r="PV35" s="83">
        <v>224.50980300000001</v>
      </c>
      <c r="PW35" s="83">
        <v>218.23810399999999</v>
      </c>
      <c r="PX35" s="83">
        <v>222.21903800000001</v>
      </c>
      <c r="PY35" s="83">
        <v>233.840249</v>
      </c>
      <c r="PZ35" s="83">
        <v>209.45425</v>
      </c>
      <c r="QA35" s="83">
        <v>215.15163999999999</v>
      </c>
      <c r="QB35" s="83">
        <v>213.18355600000001</v>
      </c>
      <c r="QC35" s="83">
        <v>213.541381</v>
      </c>
      <c r="QD35" s="83">
        <v>207.286464</v>
      </c>
      <c r="QE35" s="83">
        <v>211.25674799999999</v>
      </c>
      <c r="QF35" s="83">
        <v>222.846879</v>
      </c>
      <c r="QG35" s="83">
        <v>201.29360800000001</v>
      </c>
      <c r="QH35" s="83">
        <v>206.84187900000001</v>
      </c>
      <c r="QI35" s="83">
        <v>204.92531399999999</v>
      </c>
      <c r="QJ35" s="83">
        <v>205.27377000000001</v>
      </c>
      <c r="QK35" s="83">
        <v>199.18256700000001</v>
      </c>
      <c r="QL35" s="83">
        <v>203.04893899999999</v>
      </c>
      <c r="QM35" s="83">
        <v>214.33570800000001</v>
      </c>
      <c r="QN35" s="83">
        <v>210.74568199999999</v>
      </c>
      <c r="QO35" s="83">
        <v>216.60652999999999</v>
      </c>
      <c r="QP35" s="83">
        <v>214.581988</v>
      </c>
      <c r="QQ35" s="83">
        <v>214.95007200000001</v>
      </c>
      <c r="QR35" s="83">
        <v>208.51571300000001</v>
      </c>
      <c r="QS35" s="83">
        <v>212.59990099999999</v>
      </c>
    </row>
    <row r="36" spans="6:461" x14ac:dyDescent="0.25">
      <c r="F36" s="82" t="str">
        <f xml:space="preserve"> _xll.EPMOlapMemberO("[PRDDESCR].[].[WONDER GFREE WHITE 470G]","","WONDER GFREE WHITE 470G","","000")</f>
        <v>WONDER GFREE WHITE 470G</v>
      </c>
      <c r="G36" s="82" t="str">
        <f xml:space="preserve"> _xll.EPMOlapMemberO("[PRDID].[].[179649]","","179649","","000")</f>
        <v>179649</v>
      </c>
      <c r="H36" s="82" t="str">
        <f xml:space="preserve"> _xll.EPMOlapMemberO("[LOCID].[].[6110]","","6110","","000")</f>
        <v>6110</v>
      </c>
      <c r="I36" s="82" t="str">
        <f xml:space="preserve"> _xll.EPMOlapMemberO("[LOCDESCR].[].[QBA-Burleigh Heads]","","QBA-Burleigh Heads","","000")</f>
        <v>QBA-Burleigh Heads</v>
      </c>
      <c r="J36" s="82" t="str">
        <f xml:space="preserve"> _xll.EPMOlapMemberO("[KEY_FIGURES].[].[ZGFAPPROVEDFCSTQTY]","","Approved Forecast","","000")</f>
        <v>Approved Forecast</v>
      </c>
      <c r="K36" s="83">
        <v>673.88822900000002</v>
      </c>
      <c r="L36" s="83">
        <v>455.74733199999997</v>
      </c>
      <c r="M36" s="83">
        <v>722.16108799999995</v>
      </c>
      <c r="N36" s="83">
        <v>538.26706999999999</v>
      </c>
      <c r="O36" s="83">
        <v>0.36025200000000002</v>
      </c>
      <c r="P36" s="83">
        <v>962.931735</v>
      </c>
      <c r="Q36" s="83">
        <v>472.31392099999999</v>
      </c>
      <c r="R36" s="83">
        <v>700.32718799999998</v>
      </c>
      <c r="S36" s="83">
        <v>476.00291299999998</v>
      </c>
      <c r="T36" s="83">
        <v>728.80826000000002</v>
      </c>
      <c r="U36" s="83">
        <v>545.21139900000003</v>
      </c>
      <c r="V36" s="83">
        <v>0.32927699999999999</v>
      </c>
      <c r="W36" s="83">
        <v>962.74063699999999</v>
      </c>
      <c r="X36" s="83">
        <v>464.136098</v>
      </c>
      <c r="Y36" s="83">
        <v>698.09644500000002</v>
      </c>
      <c r="Z36" s="83">
        <v>474.69128999999998</v>
      </c>
      <c r="AA36" s="83">
        <v>731.93364899999995</v>
      </c>
      <c r="AB36" s="83">
        <v>534.49521000000004</v>
      </c>
      <c r="AC36" s="83">
        <v>0.34415800000000002</v>
      </c>
      <c r="AD36" s="83">
        <v>1037.7066030000001</v>
      </c>
      <c r="AE36" s="83">
        <v>466.50206700000001</v>
      </c>
      <c r="AF36" s="83">
        <v>705.84822299999996</v>
      </c>
      <c r="AG36" s="83">
        <v>501.808021</v>
      </c>
      <c r="AH36" s="83">
        <v>743.47822799999994</v>
      </c>
      <c r="AI36" s="83">
        <v>553.91020700000001</v>
      </c>
      <c r="AJ36" s="83">
        <v>0.34011000000000002</v>
      </c>
      <c r="AK36" s="83">
        <v>991.77873899999997</v>
      </c>
      <c r="AL36" s="83">
        <v>458.300184</v>
      </c>
      <c r="AM36" s="83">
        <v>693.13721199999998</v>
      </c>
      <c r="AN36" s="83">
        <v>482.28455300000002</v>
      </c>
      <c r="AO36" s="83">
        <v>727.94755699999996</v>
      </c>
      <c r="AP36" s="83">
        <v>530.45689400000003</v>
      </c>
      <c r="AQ36" s="83">
        <v>0.33368799999999998</v>
      </c>
      <c r="AR36" s="83">
        <v>1012.682889</v>
      </c>
      <c r="AS36" s="83">
        <v>491.54741300000001</v>
      </c>
      <c r="AT36" s="83">
        <v>745.78501600000004</v>
      </c>
      <c r="AU36" s="83">
        <v>529.25856199999998</v>
      </c>
      <c r="AV36" s="83">
        <v>785.32918400000005</v>
      </c>
      <c r="AW36" s="83">
        <v>593.79349400000001</v>
      </c>
      <c r="AX36" s="83">
        <v>0.346308</v>
      </c>
      <c r="AY36" s="83">
        <v>1050.464602</v>
      </c>
      <c r="AZ36" s="83">
        <v>463.817455</v>
      </c>
      <c r="BA36" s="83">
        <v>707.14198499999998</v>
      </c>
      <c r="BB36" s="83">
        <v>488.27822800000001</v>
      </c>
      <c r="BC36" s="83">
        <v>742.93287499999997</v>
      </c>
      <c r="BD36" s="83">
        <v>538.46677499999998</v>
      </c>
      <c r="BE36" s="83">
        <v>0.34537800000000002</v>
      </c>
      <c r="BF36" s="83">
        <v>1010.31056</v>
      </c>
      <c r="BG36" s="83">
        <v>468.23045400000001</v>
      </c>
      <c r="BH36" s="83">
        <v>712.040707</v>
      </c>
      <c r="BI36" s="83">
        <v>503.20547599999998</v>
      </c>
      <c r="BJ36" s="83">
        <v>750.03170599999999</v>
      </c>
      <c r="BK36" s="83">
        <v>556.70449099999996</v>
      </c>
      <c r="BL36" s="83">
        <v>0.34028799999999998</v>
      </c>
      <c r="BM36" s="83">
        <v>1049.447991</v>
      </c>
      <c r="BN36" s="83">
        <v>496.68882000000002</v>
      </c>
      <c r="BO36" s="83">
        <v>756.33438000000001</v>
      </c>
      <c r="BP36" s="83">
        <v>522.30937400000005</v>
      </c>
      <c r="BQ36" s="83">
        <v>794.04624799999999</v>
      </c>
      <c r="BR36" s="83">
        <v>584.88227400000005</v>
      </c>
      <c r="BS36" s="83">
        <v>0.35479300000000003</v>
      </c>
      <c r="BT36" s="83">
        <v>1060.987173</v>
      </c>
      <c r="BU36" s="83">
        <v>480.15641299999999</v>
      </c>
      <c r="BV36" s="83">
        <v>728.53653499999996</v>
      </c>
      <c r="BW36" s="83">
        <v>516.27009099999998</v>
      </c>
      <c r="BX36" s="83">
        <v>767.39731700000004</v>
      </c>
      <c r="BY36" s="83">
        <v>570.40681700000005</v>
      </c>
      <c r="BZ36" s="83">
        <v>0.35611599999999999</v>
      </c>
      <c r="CA36" s="83">
        <v>1023.181801</v>
      </c>
      <c r="CB36" s="83">
        <v>470.66695099999998</v>
      </c>
      <c r="CC36" s="83">
        <v>715.05312200000003</v>
      </c>
      <c r="CD36" s="83">
        <v>495.54925800000001</v>
      </c>
      <c r="CE36" s="83">
        <v>751.213976</v>
      </c>
      <c r="CF36" s="83">
        <v>544.155168</v>
      </c>
      <c r="CG36" s="83">
        <v>0.356489</v>
      </c>
      <c r="CH36" s="83">
        <v>1076.0537380000001</v>
      </c>
      <c r="CI36" s="83">
        <v>498.36100699999997</v>
      </c>
      <c r="CJ36" s="83">
        <v>759.41903100000002</v>
      </c>
      <c r="CK36" s="83">
        <v>535.76101000000006</v>
      </c>
      <c r="CL36" s="83">
        <v>799.85993199999996</v>
      </c>
      <c r="CM36" s="83">
        <v>596.67558399999996</v>
      </c>
      <c r="CN36" s="83">
        <v>0.36620900000000001</v>
      </c>
      <c r="CO36" s="83">
        <v>1145.132067</v>
      </c>
      <c r="CP36" s="83">
        <v>524.14132800000004</v>
      </c>
      <c r="CQ36" s="83">
        <v>802.71279000000004</v>
      </c>
      <c r="CR36" s="83">
        <v>551.501484</v>
      </c>
      <c r="CS36" s="83">
        <v>843.04775900000004</v>
      </c>
      <c r="CT36" s="83">
        <v>617.08554100000003</v>
      </c>
      <c r="CU36" s="83">
        <v>0.361174</v>
      </c>
      <c r="CV36" s="83">
        <v>1068.5620489999999</v>
      </c>
      <c r="CW36" s="83">
        <v>495.51879400000001</v>
      </c>
      <c r="CX36" s="83">
        <v>753.61483899999996</v>
      </c>
      <c r="CY36" s="83">
        <v>532.73114499999997</v>
      </c>
      <c r="CZ36" s="83">
        <v>793.78790500000002</v>
      </c>
      <c r="DA36" s="83">
        <v>590.73399300000005</v>
      </c>
      <c r="DB36" s="83">
        <v>0.34812399999999999</v>
      </c>
      <c r="DC36" s="83">
        <v>1104.4878960000001</v>
      </c>
      <c r="DD36" s="83">
        <v>523.947137</v>
      </c>
      <c r="DE36" s="83">
        <v>798.43274099999996</v>
      </c>
      <c r="DF36" s="83">
        <v>550.828934</v>
      </c>
      <c r="DG36" s="83">
        <v>838.07704000000001</v>
      </c>
      <c r="DH36" s="83">
        <v>620.30816900000002</v>
      </c>
      <c r="DI36" s="83">
        <v>0.336982</v>
      </c>
      <c r="DJ36" s="83">
        <v>1081.155039</v>
      </c>
      <c r="DK36" s="83">
        <v>505.28428300000002</v>
      </c>
      <c r="DL36" s="83">
        <v>757.28743199999997</v>
      </c>
      <c r="DM36" s="83">
        <v>544.04551100000003</v>
      </c>
      <c r="DN36" s="83">
        <v>797.79149700000005</v>
      </c>
      <c r="DO36" s="83">
        <v>590.42570499999999</v>
      </c>
      <c r="DP36" s="83">
        <v>0.39972600000000003</v>
      </c>
      <c r="DQ36" s="83">
        <v>1067.348784</v>
      </c>
      <c r="DR36" s="83">
        <v>478.73432200000002</v>
      </c>
      <c r="DS36" s="83">
        <v>728.67330500000003</v>
      </c>
      <c r="DT36" s="83">
        <v>503.60195399999998</v>
      </c>
      <c r="DU36" s="83">
        <v>765.17988400000002</v>
      </c>
      <c r="DV36" s="83">
        <v>560.56967199999997</v>
      </c>
      <c r="DW36" s="83">
        <v>0.33163100000000001</v>
      </c>
      <c r="DX36" s="83">
        <v>1022.91526</v>
      </c>
      <c r="DY36" s="83">
        <v>472.70007500000003</v>
      </c>
      <c r="DZ36" s="83">
        <v>722.22690899999998</v>
      </c>
      <c r="EA36" s="83">
        <v>507.98140599999999</v>
      </c>
      <c r="EB36" s="83">
        <v>760.65446499999996</v>
      </c>
      <c r="EC36" s="83">
        <v>568.38062500000001</v>
      </c>
      <c r="ED36" s="83">
        <v>0.32447300000000001</v>
      </c>
      <c r="EE36" s="83">
        <v>1000.677964</v>
      </c>
      <c r="EF36" s="83">
        <v>457.66754700000001</v>
      </c>
      <c r="EG36" s="83">
        <v>700.83005300000002</v>
      </c>
      <c r="EH36" s="83">
        <v>481.49351999999999</v>
      </c>
      <c r="EI36" s="83">
        <v>736.14143000000001</v>
      </c>
      <c r="EJ36" s="83">
        <v>537.28982699999995</v>
      </c>
      <c r="EK36" s="83">
        <v>0.333756</v>
      </c>
      <c r="EL36" s="83">
        <v>1043.3735529999999</v>
      </c>
      <c r="EM36" s="83">
        <v>511.933942</v>
      </c>
      <c r="EN36" s="83">
        <v>776.78757800000005</v>
      </c>
      <c r="EO36" s="83">
        <v>551.59908900000005</v>
      </c>
      <c r="EP36" s="83">
        <v>817.86506299999996</v>
      </c>
      <c r="EQ36" s="83">
        <v>623.102531</v>
      </c>
      <c r="ER36" s="83">
        <v>0.34801900000000002</v>
      </c>
      <c r="ES36" s="83">
        <v>1073.9857999999999</v>
      </c>
      <c r="ET36" s="83">
        <v>468.65757200000002</v>
      </c>
      <c r="EU36" s="83">
        <v>722.73019099999999</v>
      </c>
      <c r="EV36" s="83">
        <v>493.53243900000001</v>
      </c>
      <c r="EW36" s="83">
        <v>759.62584200000003</v>
      </c>
      <c r="EX36" s="83">
        <v>547.80871200000001</v>
      </c>
      <c r="EY36" s="83">
        <v>0.36900500000000003</v>
      </c>
      <c r="EZ36" s="83">
        <v>1140.9406240000001</v>
      </c>
      <c r="FA36" s="83">
        <v>547.42384500000003</v>
      </c>
      <c r="FB36" s="83">
        <v>849.40489500000001</v>
      </c>
      <c r="FC36" s="83">
        <v>587.21777199999997</v>
      </c>
      <c r="FD36" s="83">
        <v>894.58886299999995</v>
      </c>
      <c r="FE36" s="83">
        <v>666.18370200000004</v>
      </c>
      <c r="FF36" s="83">
        <v>0.33123399999999997</v>
      </c>
      <c r="FG36" s="83">
        <v>1148.556429</v>
      </c>
      <c r="FH36" s="83">
        <v>510.98301400000003</v>
      </c>
      <c r="FI36" s="83">
        <v>777.74145599999997</v>
      </c>
      <c r="FJ36" s="83">
        <v>538.56713100000002</v>
      </c>
      <c r="FK36" s="83">
        <v>817.46644700000002</v>
      </c>
      <c r="FL36" s="83">
        <v>585.78526799999997</v>
      </c>
      <c r="FM36" s="83">
        <v>0.42338500000000001</v>
      </c>
      <c r="FN36" s="83">
        <v>1142.1949340000001</v>
      </c>
      <c r="FO36" s="83">
        <v>535.49940400000003</v>
      </c>
      <c r="FP36" s="83">
        <v>820.53481799999997</v>
      </c>
      <c r="FQ36" s="83">
        <v>576.13225199999999</v>
      </c>
      <c r="FR36" s="83">
        <v>863.96083299999998</v>
      </c>
      <c r="FS36" s="83">
        <v>654.99730699999998</v>
      </c>
      <c r="FT36" s="83">
        <v>0.332702</v>
      </c>
      <c r="FU36" s="83">
        <v>1032.170273</v>
      </c>
      <c r="FV36" s="83">
        <v>451.10993300000001</v>
      </c>
      <c r="FW36" s="83">
        <v>694.801557</v>
      </c>
      <c r="FX36" s="83">
        <v>474.93772799999999</v>
      </c>
      <c r="FY36" s="83">
        <v>730.20163300000002</v>
      </c>
      <c r="FZ36" s="83">
        <v>527.540029</v>
      </c>
      <c r="GA36" s="83">
        <v>0.35944799999999999</v>
      </c>
      <c r="GB36" s="83">
        <v>1044.1254389999999</v>
      </c>
      <c r="GC36" s="83">
        <v>483.157442</v>
      </c>
      <c r="GD36" s="83">
        <v>735.72941700000001</v>
      </c>
      <c r="GE36" s="83">
        <v>519.10473999999999</v>
      </c>
      <c r="GF36" s="83">
        <v>775.01612399999999</v>
      </c>
      <c r="GG36" s="83">
        <v>573.70441600000004</v>
      </c>
      <c r="GH36" s="83">
        <v>0.331397</v>
      </c>
      <c r="GI36" s="83">
        <v>973.48050599999999</v>
      </c>
      <c r="GJ36" s="83">
        <v>484.48498000000001</v>
      </c>
      <c r="GK36" s="83">
        <v>740.02863300000001</v>
      </c>
      <c r="GL36" s="83">
        <v>509.48524300000003</v>
      </c>
      <c r="GM36" s="83">
        <v>777.02088400000002</v>
      </c>
      <c r="GN36" s="83">
        <v>571.50247899999999</v>
      </c>
      <c r="GO36" s="83">
        <v>0.33255299999999999</v>
      </c>
      <c r="GP36" s="83">
        <v>1004.65379</v>
      </c>
      <c r="GQ36" s="83">
        <v>429.51071999999999</v>
      </c>
      <c r="GR36" s="83">
        <v>652.19807200000002</v>
      </c>
      <c r="GS36" s="83">
        <v>461.19811499999997</v>
      </c>
      <c r="GT36" s="83">
        <v>687.11555099999998</v>
      </c>
      <c r="GU36" s="83">
        <v>505.063806</v>
      </c>
      <c r="GV36" s="83">
        <v>0.38341500000000001</v>
      </c>
      <c r="GW36" s="83">
        <v>1176.347855</v>
      </c>
      <c r="GX36" s="83">
        <v>564.39912200000003</v>
      </c>
      <c r="GY36" s="83">
        <v>858.027241</v>
      </c>
      <c r="GZ36" s="83">
        <v>593.58534299999997</v>
      </c>
      <c r="HA36" s="83">
        <v>900.67205100000001</v>
      </c>
      <c r="HB36" s="83">
        <v>665.18427599999995</v>
      </c>
      <c r="HC36" s="83">
        <v>0.36832599999999999</v>
      </c>
      <c r="HD36" s="83">
        <v>1106.830252</v>
      </c>
      <c r="HE36" s="83">
        <v>494.67307399999999</v>
      </c>
      <c r="HF36" s="83">
        <v>753.73324000000002</v>
      </c>
      <c r="HG36" s="83">
        <v>531.451908</v>
      </c>
      <c r="HH36" s="83">
        <v>793.986716</v>
      </c>
      <c r="HI36" s="83">
        <v>587.42117599999995</v>
      </c>
      <c r="HJ36" s="83">
        <v>0.35268100000000002</v>
      </c>
      <c r="HK36" s="83">
        <v>1174.9577850000001</v>
      </c>
      <c r="HL36" s="83">
        <v>578.22466999999995</v>
      </c>
      <c r="HM36" s="83">
        <v>871.04047500000001</v>
      </c>
      <c r="HN36" s="83">
        <v>608.33394999999996</v>
      </c>
      <c r="HO36" s="83">
        <v>914.26877999999999</v>
      </c>
      <c r="HP36" s="83">
        <v>673.68462</v>
      </c>
      <c r="HQ36" s="83">
        <v>0.39472200000000002</v>
      </c>
      <c r="HR36" s="83">
        <v>1093.750403</v>
      </c>
      <c r="HS36" s="83">
        <v>495.09611999999998</v>
      </c>
      <c r="HT36" s="83">
        <v>764.63624300000004</v>
      </c>
      <c r="HU36" s="83">
        <v>531.239867</v>
      </c>
      <c r="HV36" s="83">
        <v>805.32991600000003</v>
      </c>
      <c r="HW36" s="83">
        <v>599.59742000000006</v>
      </c>
      <c r="HX36" s="83">
        <v>0.35018500000000002</v>
      </c>
      <c r="HY36" s="83">
        <v>1154.967077</v>
      </c>
      <c r="HZ36" s="83">
        <v>522.52619100000004</v>
      </c>
      <c r="IA36" s="83">
        <v>808.95039799999995</v>
      </c>
      <c r="IB36" s="83">
        <v>549.68160599999999</v>
      </c>
      <c r="IC36" s="83">
        <v>849.72057600000005</v>
      </c>
      <c r="ID36" s="83">
        <v>622.69486099999995</v>
      </c>
      <c r="IE36" s="83">
        <v>0.3372</v>
      </c>
      <c r="IF36" s="83">
        <v>1099.218435</v>
      </c>
      <c r="IG36" s="83">
        <v>484.499483</v>
      </c>
      <c r="IH36" s="83">
        <v>746.04597899999999</v>
      </c>
      <c r="II36" s="83">
        <v>520.01017400000001</v>
      </c>
      <c r="IJ36" s="83">
        <v>785.76982099999998</v>
      </c>
      <c r="IK36" s="83">
        <v>584.68267600000001</v>
      </c>
      <c r="IL36" s="83">
        <v>0.31072499999999997</v>
      </c>
      <c r="IM36" s="83">
        <v>1109.408412</v>
      </c>
      <c r="IN36" s="83">
        <v>538.98040800000001</v>
      </c>
      <c r="IO36" s="83">
        <v>820.39497100000006</v>
      </c>
      <c r="IP36" s="83">
        <v>567.00334499999997</v>
      </c>
      <c r="IQ36" s="83">
        <v>861.36988599999995</v>
      </c>
      <c r="IR36" s="83">
        <v>633.09308899999996</v>
      </c>
      <c r="IS36" s="83">
        <v>0.41137899999999999</v>
      </c>
      <c r="IT36" s="83">
        <v>1168.3728180000001</v>
      </c>
      <c r="IU36" s="83">
        <v>508.26539000000002</v>
      </c>
      <c r="IV36" s="83">
        <v>783.86707100000001</v>
      </c>
      <c r="IW36" s="83">
        <v>545.74846000000002</v>
      </c>
      <c r="IX36" s="83">
        <v>825.511349</v>
      </c>
      <c r="IY36" s="83">
        <v>617.98558700000001</v>
      </c>
      <c r="IZ36" s="83">
        <v>0.35625099999999998</v>
      </c>
      <c r="JA36" s="83">
        <v>1181.0654340000001</v>
      </c>
      <c r="JB36" s="83">
        <v>538.84540600000003</v>
      </c>
      <c r="JC36" s="83">
        <v>829.36660099999995</v>
      </c>
      <c r="JD36" s="83">
        <v>566.67659700000002</v>
      </c>
      <c r="JE36" s="83">
        <v>870.87056800000005</v>
      </c>
      <c r="JF36" s="83">
        <v>641.66904199999999</v>
      </c>
      <c r="JG36" s="83">
        <v>0.36710799999999999</v>
      </c>
      <c r="JH36" s="83">
        <v>997.50645399999996</v>
      </c>
      <c r="JI36" s="83">
        <v>464.33946200000003</v>
      </c>
      <c r="JJ36" s="83">
        <v>701.15559699999994</v>
      </c>
      <c r="JK36" s="83">
        <v>499.08388600000001</v>
      </c>
      <c r="JL36" s="83">
        <v>738.71868099999995</v>
      </c>
      <c r="JM36" s="83">
        <v>542.89210700000001</v>
      </c>
      <c r="JN36" s="83">
        <v>0.31764999999999999</v>
      </c>
      <c r="JO36" s="83">
        <v>1840.1510949999999</v>
      </c>
      <c r="JP36" s="83">
        <v>814.41371600000002</v>
      </c>
      <c r="JQ36" s="83">
        <v>1307.0827220000001</v>
      </c>
      <c r="JR36" s="83">
        <v>826.17345399999999</v>
      </c>
      <c r="JS36" s="83">
        <v>0.34571200000000002</v>
      </c>
      <c r="JT36" s="83">
        <v>0.41954399999999997</v>
      </c>
      <c r="JU36" s="83">
        <v>584.87012200000004</v>
      </c>
      <c r="JV36" s="83">
        <v>648.80964900000004</v>
      </c>
      <c r="JW36" s="83">
        <v>731.188264</v>
      </c>
      <c r="JX36" s="83">
        <v>667.11503200000004</v>
      </c>
      <c r="JY36" s="83">
        <v>657.53566799999999</v>
      </c>
      <c r="JZ36" s="83">
        <v>630.95201899999995</v>
      </c>
      <c r="KA36" s="83">
        <v>708.82643399999995</v>
      </c>
      <c r="KB36" s="83">
        <v>644.24713999999994</v>
      </c>
      <c r="KC36" s="83">
        <v>719.78761799999995</v>
      </c>
      <c r="KD36" s="83">
        <v>721.49829899999997</v>
      </c>
      <c r="KE36" s="83">
        <v>660.26141399999995</v>
      </c>
      <c r="KF36" s="83">
        <v>634.99884499999996</v>
      </c>
      <c r="KG36" s="83">
        <v>622.24023599999998</v>
      </c>
      <c r="KH36" s="83">
        <v>687.95041900000001</v>
      </c>
      <c r="KI36" s="83">
        <v>591.13441899999998</v>
      </c>
      <c r="KJ36" s="83">
        <v>654.89438900000005</v>
      </c>
      <c r="KK36" s="83">
        <v>741.54907100000003</v>
      </c>
      <c r="KL36" s="83">
        <v>676.72429899999997</v>
      </c>
      <c r="KM36" s="83">
        <v>668.35885800000005</v>
      </c>
      <c r="KN36" s="83">
        <v>640.11421600000006</v>
      </c>
      <c r="KO36" s="83">
        <v>717.99176499999999</v>
      </c>
      <c r="KP36" s="83">
        <v>575.92259100000001</v>
      </c>
      <c r="KQ36" s="83">
        <v>642.90714300000002</v>
      </c>
      <c r="KR36" s="83">
        <v>646.24897999999996</v>
      </c>
      <c r="KS36" s="83">
        <v>589.72827099999995</v>
      </c>
      <c r="KT36" s="83">
        <v>566.35902599999997</v>
      </c>
      <c r="KU36" s="83">
        <v>557.33536400000003</v>
      </c>
      <c r="KV36" s="83">
        <v>617.62829099999999</v>
      </c>
      <c r="KW36" s="83">
        <v>544.28069500000004</v>
      </c>
      <c r="KX36" s="83">
        <v>603.49427700000001</v>
      </c>
      <c r="KY36" s="83">
        <v>645.73937000000001</v>
      </c>
      <c r="KZ36" s="83">
        <v>588.827178</v>
      </c>
      <c r="LA36" s="83">
        <v>578.94594700000005</v>
      </c>
      <c r="LB36" s="83">
        <v>557.01050799999996</v>
      </c>
      <c r="LC36" s="83">
        <v>627.00211100000001</v>
      </c>
      <c r="LD36" s="83">
        <v>556.89266199999997</v>
      </c>
      <c r="LE36" s="83">
        <v>622.27282400000001</v>
      </c>
      <c r="LF36" s="83">
        <v>685.32163600000001</v>
      </c>
      <c r="LG36" s="83">
        <v>626.67261399999995</v>
      </c>
      <c r="LH36" s="83">
        <v>602.55398500000001</v>
      </c>
      <c r="LI36" s="83">
        <v>591.37102200000004</v>
      </c>
      <c r="LJ36" s="83">
        <v>651.377475</v>
      </c>
      <c r="LK36" s="83">
        <v>569.15826000000004</v>
      </c>
      <c r="LL36" s="83">
        <v>630.10223499999995</v>
      </c>
      <c r="LM36" s="83">
        <v>650.758374</v>
      </c>
      <c r="LN36" s="83">
        <v>593.27862100000004</v>
      </c>
      <c r="LO36" s="83">
        <v>583.370181</v>
      </c>
      <c r="LP36" s="83">
        <v>561.35717299999999</v>
      </c>
      <c r="LQ36" s="83">
        <v>631.90557799999999</v>
      </c>
      <c r="LR36" s="83">
        <v>532.19902400000001</v>
      </c>
      <c r="LS36" s="83">
        <v>595.22514699999999</v>
      </c>
      <c r="LT36" s="83">
        <v>630.39388499999995</v>
      </c>
      <c r="LU36" s="83">
        <v>576.33905400000003</v>
      </c>
      <c r="LV36" s="83">
        <v>554.00675799999999</v>
      </c>
      <c r="LW36" s="83">
        <v>543.62464499999999</v>
      </c>
      <c r="LX36" s="83">
        <v>601.97621400000003</v>
      </c>
      <c r="LY36" s="83">
        <v>508.23670700000002</v>
      </c>
      <c r="LZ36" s="83">
        <v>563.35972400000003</v>
      </c>
      <c r="MA36" s="83">
        <v>639.98399500000005</v>
      </c>
      <c r="MB36" s="83">
        <v>583.40142700000001</v>
      </c>
      <c r="MC36" s="83">
        <v>575.27437099999997</v>
      </c>
      <c r="MD36" s="83">
        <v>552.35224100000005</v>
      </c>
      <c r="ME36" s="83">
        <v>620.50955799999997</v>
      </c>
      <c r="MF36" s="83">
        <v>613.14509199999998</v>
      </c>
      <c r="MG36" s="83">
        <v>683.47650999999996</v>
      </c>
      <c r="MH36" s="83">
        <v>675.77817500000003</v>
      </c>
      <c r="MI36" s="83">
        <v>617.90541700000006</v>
      </c>
      <c r="MJ36" s="83">
        <v>594.12742600000001</v>
      </c>
      <c r="MK36" s="83">
        <v>583.21943099999999</v>
      </c>
      <c r="ML36" s="83">
        <v>641.72152200000005</v>
      </c>
      <c r="MM36" s="83">
        <v>533.92018599999994</v>
      </c>
      <c r="MN36" s="83">
        <v>591.82772999999997</v>
      </c>
      <c r="MO36" s="83">
        <v>633.069389</v>
      </c>
      <c r="MP36" s="83">
        <v>577.60314100000005</v>
      </c>
      <c r="MQ36" s="83">
        <v>568.42883800000004</v>
      </c>
      <c r="MR36" s="83">
        <v>546.14833299999998</v>
      </c>
      <c r="MS36" s="83">
        <v>614.23807699999998</v>
      </c>
      <c r="MT36" s="83">
        <v>519.82348500000001</v>
      </c>
      <c r="MU36" s="83">
        <v>581.04364399999997</v>
      </c>
      <c r="MV36" s="83">
        <v>655.56749000000002</v>
      </c>
      <c r="MW36" s="83">
        <v>598.66557299999999</v>
      </c>
      <c r="MX36" s="83">
        <v>575.22190499999999</v>
      </c>
      <c r="MY36" s="83">
        <v>565.62815000000001</v>
      </c>
      <c r="MZ36" s="83">
        <v>624.25616400000001</v>
      </c>
      <c r="NA36" s="83">
        <v>621.17304899999999</v>
      </c>
      <c r="NB36" s="83">
        <v>683.99908400000004</v>
      </c>
      <c r="NC36" s="83">
        <v>682.62970900000005</v>
      </c>
      <c r="ND36" s="83">
        <v>621.63547800000003</v>
      </c>
      <c r="NE36" s="83">
        <v>614.06995900000004</v>
      </c>
      <c r="NF36" s="83">
        <v>589.39167999999995</v>
      </c>
      <c r="NG36" s="83">
        <v>661.50478799999996</v>
      </c>
      <c r="NH36" s="83">
        <v>500.86612600000001</v>
      </c>
      <c r="NI36" s="83">
        <v>559.49251600000002</v>
      </c>
      <c r="NJ36" s="83">
        <v>593.38624900000002</v>
      </c>
      <c r="NK36" s="83">
        <v>541.84509800000001</v>
      </c>
      <c r="NL36" s="83">
        <v>520.57581100000004</v>
      </c>
      <c r="NM36" s="83">
        <v>511.871756</v>
      </c>
      <c r="NN36" s="83">
        <v>565.982215</v>
      </c>
      <c r="NO36" s="83">
        <v>509.29747099999997</v>
      </c>
      <c r="NP36" s="83">
        <v>563.82823800000006</v>
      </c>
      <c r="NQ36" s="83">
        <v>631.17035099999998</v>
      </c>
      <c r="NR36" s="83">
        <v>575.22224100000005</v>
      </c>
      <c r="NS36" s="83">
        <v>567.55049699999995</v>
      </c>
      <c r="NT36" s="83">
        <v>544.81863799999996</v>
      </c>
      <c r="NU36" s="83">
        <v>611.830647</v>
      </c>
      <c r="NV36" s="83">
        <v>520.61331099999995</v>
      </c>
      <c r="NW36" s="83">
        <v>580.99495999999999</v>
      </c>
      <c r="NX36" s="83">
        <v>588.38533900000004</v>
      </c>
      <c r="NY36" s="83">
        <v>537.87879999999996</v>
      </c>
      <c r="NZ36" s="83">
        <v>517.07798500000001</v>
      </c>
      <c r="OA36" s="83">
        <v>507.64968599999997</v>
      </c>
      <c r="OB36" s="83">
        <v>560.07889599999999</v>
      </c>
      <c r="OC36" s="83">
        <v>520.729152</v>
      </c>
      <c r="OD36" s="83">
        <v>576.19657900000004</v>
      </c>
      <c r="OE36" s="83">
        <v>617.27679000000001</v>
      </c>
      <c r="OF36" s="83">
        <v>562.81640400000003</v>
      </c>
      <c r="OG36" s="83">
        <v>554.78596300000004</v>
      </c>
      <c r="OH36" s="83">
        <v>532.71688900000004</v>
      </c>
      <c r="OI36" s="83">
        <v>598.55502999999999</v>
      </c>
      <c r="OJ36" s="83">
        <v>511.49220500000001</v>
      </c>
      <c r="OK36" s="83">
        <v>571.09299299999998</v>
      </c>
      <c r="OL36" s="83">
        <v>633.56090800000004</v>
      </c>
      <c r="OM36" s="83">
        <v>579.11372400000005</v>
      </c>
      <c r="ON36" s="83">
        <v>556.75757899999996</v>
      </c>
      <c r="OO36" s="83">
        <v>546.86531200000002</v>
      </c>
      <c r="OP36" s="83">
        <v>601.23519999999996</v>
      </c>
      <c r="OQ36" s="83">
        <v>551.72312399999998</v>
      </c>
      <c r="OR36" s="83">
        <v>609.48834899999997</v>
      </c>
      <c r="OS36" s="83">
        <v>624.41791699999999</v>
      </c>
      <c r="OT36" s="83">
        <v>569.64162799999997</v>
      </c>
      <c r="OU36" s="83">
        <v>561.86042099999997</v>
      </c>
      <c r="OV36" s="83">
        <v>538.91357300000004</v>
      </c>
      <c r="OW36" s="83">
        <v>605.12429899999995</v>
      </c>
      <c r="OX36" s="83">
        <v>519.84193600000003</v>
      </c>
      <c r="OY36" s="83">
        <v>581.25734399999999</v>
      </c>
      <c r="OZ36" s="83">
        <v>615.43503299999998</v>
      </c>
      <c r="PA36" s="83">
        <v>562.86861599999997</v>
      </c>
      <c r="PB36" s="83">
        <v>541.17735700000003</v>
      </c>
      <c r="PC36" s="83">
        <v>530.80246499999998</v>
      </c>
      <c r="PD36" s="83">
        <v>586.97814600000004</v>
      </c>
      <c r="PE36" s="83">
        <v>524.11381900000003</v>
      </c>
      <c r="PF36" s="83">
        <v>580.71234200000004</v>
      </c>
      <c r="PG36" s="83">
        <v>657.17021399999999</v>
      </c>
      <c r="PH36" s="83">
        <v>599.495814</v>
      </c>
      <c r="PI36" s="83">
        <v>591.75168499999995</v>
      </c>
      <c r="PJ36" s="83">
        <v>567.25321699999995</v>
      </c>
      <c r="PK36" s="83">
        <v>636.60765000000004</v>
      </c>
      <c r="PL36" s="83">
        <v>575.36997099999996</v>
      </c>
      <c r="PM36" s="83">
        <v>641.96901700000001</v>
      </c>
      <c r="PN36" s="83">
        <v>640.26858500000003</v>
      </c>
      <c r="PO36" s="83">
        <v>585.71771699999999</v>
      </c>
      <c r="PP36" s="83">
        <v>563.27428499999996</v>
      </c>
      <c r="PQ36" s="83">
        <v>552.44212800000003</v>
      </c>
      <c r="PR36" s="83">
        <v>608.84403699999996</v>
      </c>
      <c r="PS36" s="83">
        <v>536.76992099999995</v>
      </c>
      <c r="PT36" s="83">
        <v>594.39476200000001</v>
      </c>
      <c r="PU36" s="83">
        <v>636.34619399999997</v>
      </c>
      <c r="PV36" s="83">
        <v>580.38735499999996</v>
      </c>
      <c r="PW36" s="83">
        <v>571.72020099999997</v>
      </c>
      <c r="PX36" s="83">
        <v>549.087401</v>
      </c>
      <c r="PY36" s="83">
        <v>617.18611699999997</v>
      </c>
      <c r="PZ36" s="83">
        <v>526.27950799999996</v>
      </c>
      <c r="QA36" s="83">
        <v>588.22596899999996</v>
      </c>
      <c r="QB36" s="83">
        <v>623.11286399999995</v>
      </c>
      <c r="QC36" s="83">
        <v>569.64999599999999</v>
      </c>
      <c r="QD36" s="83">
        <v>547.59610699999996</v>
      </c>
      <c r="QE36" s="83">
        <v>537.47268699999995</v>
      </c>
      <c r="QF36" s="83">
        <v>594.10223099999996</v>
      </c>
      <c r="QG36" s="83">
        <v>558.98272899999995</v>
      </c>
      <c r="QH36" s="83">
        <v>619.11422800000003</v>
      </c>
      <c r="QI36" s="83">
        <v>662.43617700000004</v>
      </c>
      <c r="QJ36" s="83">
        <v>604.52736600000003</v>
      </c>
      <c r="QK36" s="83">
        <v>595.66886999999997</v>
      </c>
      <c r="QL36" s="83">
        <v>571.59593900000004</v>
      </c>
      <c r="QM36" s="83">
        <v>642.22424799999999</v>
      </c>
      <c r="QN36" s="83">
        <v>590.07391700000005</v>
      </c>
      <c r="QO36" s="83">
        <v>659.56379900000002</v>
      </c>
      <c r="QP36" s="83">
        <v>697.94403</v>
      </c>
      <c r="QQ36" s="83">
        <v>638.79460400000005</v>
      </c>
      <c r="QR36" s="83">
        <v>614.438716</v>
      </c>
      <c r="QS36" s="83">
        <v>602.08667700000001</v>
      </c>
    </row>
    <row r="37" spans="6:461" x14ac:dyDescent="0.25">
      <c r="F37" s="82" t="str">
        <f xml:space="preserve"> _xll.EPMOlapMemberO("[PRDDESCR].[].[WONDER GFREE WHITE 470G]","","WONDER GFREE WHITE 470G","","000")</f>
        <v>WONDER GFREE WHITE 470G</v>
      </c>
      <c r="G37" s="82" t="str">
        <f xml:space="preserve"> _xll.EPMOlapMemberO("[PRDID].[].[179649]","","179649","","000")</f>
        <v>179649</v>
      </c>
      <c r="H37" s="82" t="str">
        <f xml:space="preserve"> _xll.EPMOlapMemberO("[LOCID].[].[6120]","","6120","","000")</f>
        <v>6120</v>
      </c>
      <c r="I37" s="82" t="str">
        <f xml:space="preserve"> _xll.EPMOlapMemberO("[LOCDESCR].[].[QBA-Hobart]","","QBA-Hobart","","000")</f>
        <v>QBA-Hobart</v>
      </c>
      <c r="J37" s="82" t="str">
        <f xml:space="preserve"> _xll.EPMOlapMemberO("[KEY_FIGURES].[].[ZGFAPPROVEDFCSTQTY]","","Approved Forecast","","000")</f>
        <v>Approved Forecast</v>
      </c>
      <c r="K37" s="83">
        <v>0</v>
      </c>
      <c r="L37" s="83">
        <v>62.440458999999997</v>
      </c>
      <c r="M37" s="83">
        <v>0</v>
      </c>
      <c r="N37" s="83">
        <v>0</v>
      </c>
      <c r="O37" s="83">
        <v>66.726241000000002</v>
      </c>
      <c r="P37" s="83">
        <v>0.15942999999999999</v>
      </c>
      <c r="Q37" s="83">
        <v>60.738320000000002</v>
      </c>
      <c r="R37" s="83">
        <v>0</v>
      </c>
      <c r="S37" s="83">
        <v>57.535594000000003</v>
      </c>
      <c r="T37" s="83">
        <v>0</v>
      </c>
      <c r="U37" s="83">
        <v>0</v>
      </c>
      <c r="V37" s="83">
        <v>70.486082999999994</v>
      </c>
      <c r="W37" s="83">
        <v>0.17178599999999999</v>
      </c>
      <c r="X37" s="83">
        <v>60.190170999999999</v>
      </c>
      <c r="Y37" s="83">
        <v>0</v>
      </c>
      <c r="Z37" s="83">
        <v>60.954756000000003</v>
      </c>
      <c r="AA37" s="83">
        <v>0</v>
      </c>
      <c r="AB37" s="83">
        <v>0</v>
      </c>
      <c r="AC37" s="83">
        <v>82.655601000000004</v>
      </c>
      <c r="AD37" s="83">
        <v>0.20460400000000001</v>
      </c>
      <c r="AE37" s="83">
        <v>71.207733000000005</v>
      </c>
      <c r="AF37" s="83">
        <v>0</v>
      </c>
      <c r="AG37" s="83">
        <v>72.813361999999998</v>
      </c>
      <c r="AH37" s="83">
        <v>0</v>
      </c>
      <c r="AI37" s="83">
        <v>0</v>
      </c>
      <c r="AJ37" s="83">
        <v>74.642831999999999</v>
      </c>
      <c r="AK37" s="83">
        <v>0.18476999999999999</v>
      </c>
      <c r="AL37" s="83">
        <v>64.304744999999997</v>
      </c>
      <c r="AM37" s="83">
        <v>0</v>
      </c>
      <c r="AN37" s="83">
        <v>65.754709000000005</v>
      </c>
      <c r="AO37" s="83">
        <v>0</v>
      </c>
      <c r="AP37" s="83">
        <v>0</v>
      </c>
      <c r="AQ37" s="83">
        <v>64.832875000000001</v>
      </c>
      <c r="AR37" s="83">
        <v>0.16048799999999999</v>
      </c>
      <c r="AS37" s="83">
        <v>55.853470999999999</v>
      </c>
      <c r="AT37" s="83">
        <v>0</v>
      </c>
      <c r="AU37" s="83">
        <v>57.112869000000003</v>
      </c>
      <c r="AV37" s="83">
        <v>0</v>
      </c>
      <c r="AW37" s="83">
        <v>0</v>
      </c>
      <c r="AX37" s="83">
        <v>71.713987000000003</v>
      </c>
      <c r="AY37" s="83">
        <v>0.17752000000000001</v>
      </c>
      <c r="AZ37" s="83">
        <v>61.781554999999997</v>
      </c>
      <c r="BA37" s="83">
        <v>0</v>
      </c>
      <c r="BB37" s="83">
        <v>63.174613000000001</v>
      </c>
      <c r="BC37" s="83">
        <v>0</v>
      </c>
      <c r="BD37" s="83">
        <v>0</v>
      </c>
      <c r="BE37" s="83">
        <v>70.045629000000005</v>
      </c>
      <c r="BF37" s="83">
        <v>0.17338999999999999</v>
      </c>
      <c r="BG37" s="83">
        <v>60.344304000000001</v>
      </c>
      <c r="BH37" s="83">
        <v>0</v>
      </c>
      <c r="BI37" s="83">
        <v>61.704973000000003</v>
      </c>
      <c r="BJ37" s="83">
        <v>0</v>
      </c>
      <c r="BK37" s="83">
        <v>0</v>
      </c>
      <c r="BL37" s="83">
        <v>66.714589000000004</v>
      </c>
      <c r="BM37" s="83">
        <v>0.16514599999999999</v>
      </c>
      <c r="BN37" s="83">
        <v>57.47457</v>
      </c>
      <c r="BO37" s="83">
        <v>0</v>
      </c>
      <c r="BP37" s="83">
        <v>58.770525999999997</v>
      </c>
      <c r="BQ37" s="83">
        <v>0</v>
      </c>
      <c r="BR37" s="83">
        <v>0</v>
      </c>
      <c r="BS37" s="83">
        <v>63.965333000000001</v>
      </c>
      <c r="BT37" s="83">
        <v>0.15833800000000001</v>
      </c>
      <c r="BU37" s="83">
        <v>55.106152000000002</v>
      </c>
      <c r="BV37" s="83">
        <v>0</v>
      </c>
      <c r="BW37" s="83">
        <v>56.348691000000002</v>
      </c>
      <c r="BX37" s="83">
        <v>0</v>
      </c>
      <c r="BY37" s="83">
        <v>0</v>
      </c>
      <c r="BZ37" s="83">
        <v>58.712172000000002</v>
      </c>
      <c r="CA37" s="83">
        <v>0.14533599999999999</v>
      </c>
      <c r="CB37" s="83">
        <v>50.580534</v>
      </c>
      <c r="CC37" s="83">
        <v>0</v>
      </c>
      <c r="CD37" s="83">
        <v>51.721052999999998</v>
      </c>
      <c r="CE37" s="83">
        <v>0</v>
      </c>
      <c r="CF37" s="83">
        <v>0</v>
      </c>
      <c r="CG37" s="83">
        <v>73.729310999999996</v>
      </c>
      <c r="CH37" s="83">
        <v>0.182508</v>
      </c>
      <c r="CI37" s="83">
        <v>63.517772000000001</v>
      </c>
      <c r="CJ37" s="83">
        <v>0</v>
      </c>
      <c r="CK37" s="83">
        <v>64.949950999999999</v>
      </c>
      <c r="CL37" s="83">
        <v>0</v>
      </c>
      <c r="CM37" s="83">
        <v>0</v>
      </c>
      <c r="CN37" s="83">
        <v>66.699996999999996</v>
      </c>
      <c r="CO37" s="83">
        <v>0.16511000000000001</v>
      </c>
      <c r="CP37" s="83">
        <v>57.462038999999997</v>
      </c>
      <c r="CQ37" s="83">
        <v>0</v>
      </c>
      <c r="CR37" s="83">
        <v>58.757720999999997</v>
      </c>
      <c r="CS37" s="83">
        <v>0</v>
      </c>
      <c r="CT37" s="83">
        <v>0</v>
      </c>
      <c r="CU37" s="83">
        <v>77.817126999999999</v>
      </c>
      <c r="CV37" s="83">
        <v>0.19262799999999999</v>
      </c>
      <c r="CW37" s="83">
        <v>67.039399000000003</v>
      </c>
      <c r="CX37" s="83">
        <v>0</v>
      </c>
      <c r="CY37" s="83">
        <v>68.551023000000001</v>
      </c>
      <c r="CZ37" s="83">
        <v>0</v>
      </c>
      <c r="DA37" s="83">
        <v>0</v>
      </c>
      <c r="DB37" s="83">
        <v>70.917591999999999</v>
      </c>
      <c r="DC37" s="83">
        <v>0.17554800000000001</v>
      </c>
      <c r="DD37" s="83">
        <v>61.095522000000003</v>
      </c>
      <c r="DE37" s="83">
        <v>0</v>
      </c>
      <c r="DF37" s="83">
        <v>62.473106999999999</v>
      </c>
      <c r="DG37" s="83">
        <v>0</v>
      </c>
      <c r="DH37" s="83">
        <v>0</v>
      </c>
      <c r="DI37" s="83">
        <v>78.750888000000003</v>
      </c>
      <c r="DJ37" s="83">
        <v>0.194938</v>
      </c>
      <c r="DK37" s="83">
        <v>80.059357000000006</v>
      </c>
      <c r="DL37" s="83">
        <v>0</v>
      </c>
      <c r="DM37" s="83">
        <v>81.864500000000007</v>
      </c>
      <c r="DN37" s="83">
        <v>0</v>
      </c>
      <c r="DO37" s="83">
        <v>0</v>
      </c>
      <c r="DP37" s="83">
        <v>70.212877000000006</v>
      </c>
      <c r="DQ37" s="83">
        <v>0.17380399999999999</v>
      </c>
      <c r="DR37" s="83">
        <v>51.259123000000002</v>
      </c>
      <c r="DS37" s="83">
        <v>0</v>
      </c>
      <c r="DT37" s="83">
        <v>52.414904</v>
      </c>
      <c r="DU37" s="83">
        <v>0</v>
      </c>
      <c r="DV37" s="83">
        <v>0</v>
      </c>
      <c r="DW37" s="83">
        <v>76.15307</v>
      </c>
      <c r="DX37" s="83">
        <v>0.18850800000000001</v>
      </c>
      <c r="DY37" s="83">
        <v>65.605869999999996</v>
      </c>
      <c r="DZ37" s="83">
        <v>0</v>
      </c>
      <c r="EA37" s="83">
        <v>67.085171000000003</v>
      </c>
      <c r="EB37" s="83">
        <v>0</v>
      </c>
      <c r="EC37" s="83">
        <v>0</v>
      </c>
      <c r="ED37" s="83">
        <v>67.128771999999998</v>
      </c>
      <c r="EE37" s="83">
        <v>0.16617000000000001</v>
      </c>
      <c r="EF37" s="83">
        <v>57.831392999999998</v>
      </c>
      <c r="EG37" s="83">
        <v>0</v>
      </c>
      <c r="EH37" s="83">
        <v>59.135384000000002</v>
      </c>
      <c r="EI37" s="83">
        <v>0</v>
      </c>
      <c r="EJ37" s="83">
        <v>0</v>
      </c>
      <c r="EK37" s="83">
        <v>63.318497999999998</v>
      </c>
      <c r="EL37" s="83">
        <v>0.15673999999999999</v>
      </c>
      <c r="EM37" s="83">
        <v>54.548842</v>
      </c>
      <c r="EN37" s="83">
        <v>0</v>
      </c>
      <c r="EO37" s="83">
        <v>55.778829999999999</v>
      </c>
      <c r="EP37" s="83">
        <v>0</v>
      </c>
      <c r="EQ37" s="83">
        <v>0</v>
      </c>
      <c r="ER37" s="83">
        <v>70.444536999999997</v>
      </c>
      <c r="ES37" s="83">
        <v>0.17437800000000001</v>
      </c>
      <c r="ET37" s="83">
        <v>60.687916000000001</v>
      </c>
      <c r="EU37" s="83">
        <v>0</v>
      </c>
      <c r="EV37" s="83">
        <v>62.056310000000003</v>
      </c>
      <c r="EW37" s="83">
        <v>0</v>
      </c>
      <c r="EX37" s="83">
        <v>0</v>
      </c>
      <c r="EY37" s="83">
        <v>77.219814</v>
      </c>
      <c r="EZ37" s="83">
        <v>0.19114999999999999</v>
      </c>
      <c r="FA37" s="83">
        <v>66.524889000000002</v>
      </c>
      <c r="FB37" s="83">
        <v>0</v>
      </c>
      <c r="FC37" s="83">
        <v>68.024896999999996</v>
      </c>
      <c r="FD37" s="83">
        <v>0</v>
      </c>
      <c r="FE37" s="83">
        <v>0</v>
      </c>
      <c r="FF37" s="83">
        <v>61.397655</v>
      </c>
      <c r="FG37" s="83">
        <v>0.15198</v>
      </c>
      <c r="FH37" s="83">
        <v>64.992639999999994</v>
      </c>
      <c r="FI37" s="83">
        <v>0</v>
      </c>
      <c r="FJ37" s="83">
        <v>66.458056999999997</v>
      </c>
      <c r="FK37" s="83">
        <v>0</v>
      </c>
      <c r="FL37" s="83">
        <v>0</v>
      </c>
      <c r="FM37" s="83">
        <v>71.299445000000006</v>
      </c>
      <c r="FN37" s="83">
        <v>0.17649599999999999</v>
      </c>
      <c r="FO37" s="83">
        <v>49.990138000000002</v>
      </c>
      <c r="FP37" s="83">
        <v>0</v>
      </c>
      <c r="FQ37" s="83">
        <v>51.117286</v>
      </c>
      <c r="FR37" s="83">
        <v>0</v>
      </c>
      <c r="FS37" s="83">
        <v>0</v>
      </c>
      <c r="FT37" s="83">
        <v>59.565804999999997</v>
      </c>
      <c r="FU37" s="83">
        <v>0.147448</v>
      </c>
      <c r="FV37" s="83">
        <v>51.315973</v>
      </c>
      <c r="FW37" s="83">
        <v>0</v>
      </c>
      <c r="FX37" s="83">
        <v>52.472988000000001</v>
      </c>
      <c r="FY37" s="83">
        <v>0</v>
      </c>
      <c r="FZ37" s="83">
        <v>0</v>
      </c>
      <c r="GA37" s="83">
        <v>88.049783000000005</v>
      </c>
      <c r="GB37" s="83">
        <v>0.21795700000000001</v>
      </c>
      <c r="GC37" s="83">
        <v>75.854849999999999</v>
      </c>
      <c r="GD37" s="83">
        <v>0</v>
      </c>
      <c r="GE37" s="83">
        <v>77.565248999999994</v>
      </c>
      <c r="GF37" s="83">
        <v>0</v>
      </c>
      <c r="GG37" s="83">
        <v>0</v>
      </c>
      <c r="GH37" s="83">
        <v>54.329205000000002</v>
      </c>
      <c r="GI37" s="83">
        <v>0.13448399999999999</v>
      </c>
      <c r="GJ37" s="83">
        <v>46.804600999999998</v>
      </c>
      <c r="GK37" s="83">
        <v>0</v>
      </c>
      <c r="GL37" s="83">
        <v>47.859946000000001</v>
      </c>
      <c r="GM37" s="83">
        <v>0</v>
      </c>
      <c r="GN37" s="83">
        <v>0</v>
      </c>
      <c r="GO37" s="83">
        <v>60.594078000000003</v>
      </c>
      <c r="GP37" s="83">
        <v>0.14999199999999999</v>
      </c>
      <c r="GQ37" s="83">
        <v>52.201805</v>
      </c>
      <c r="GR37" s="83">
        <v>0</v>
      </c>
      <c r="GS37" s="83">
        <v>53.378830999999998</v>
      </c>
      <c r="GT37" s="83">
        <v>0</v>
      </c>
      <c r="GU37" s="83">
        <v>0</v>
      </c>
      <c r="GV37" s="83">
        <v>66.704075000000003</v>
      </c>
      <c r="GW37" s="83">
        <v>0.16511600000000001</v>
      </c>
      <c r="GX37" s="83">
        <v>57.465549000000003</v>
      </c>
      <c r="GY37" s="83">
        <v>0</v>
      </c>
      <c r="GZ37" s="83">
        <v>58.761270000000003</v>
      </c>
      <c r="HA37" s="83">
        <v>0</v>
      </c>
      <c r="HB37" s="83">
        <v>0</v>
      </c>
      <c r="HC37" s="83">
        <v>72.875559999999993</v>
      </c>
      <c r="HD37" s="83">
        <v>0.180394</v>
      </c>
      <c r="HE37" s="83">
        <v>62.782280999999998</v>
      </c>
      <c r="HF37" s="83">
        <v>0</v>
      </c>
      <c r="HG37" s="83">
        <v>64.197874999999996</v>
      </c>
      <c r="HH37" s="83">
        <v>0</v>
      </c>
      <c r="HI37" s="83">
        <v>0</v>
      </c>
      <c r="HJ37" s="83">
        <v>63.264696000000001</v>
      </c>
      <c r="HK37" s="83">
        <v>0.156606</v>
      </c>
      <c r="HL37" s="83">
        <v>63.332616999999999</v>
      </c>
      <c r="HM37" s="83">
        <v>0</v>
      </c>
      <c r="HN37" s="83">
        <v>64.760592000000003</v>
      </c>
      <c r="HO37" s="83">
        <v>0</v>
      </c>
      <c r="HP37" s="83">
        <v>0</v>
      </c>
      <c r="HQ37" s="83">
        <v>75.802019000000001</v>
      </c>
      <c r="HR37" s="83">
        <v>0.187638</v>
      </c>
      <c r="HS37" s="83">
        <v>56.198591</v>
      </c>
      <c r="HT37" s="83">
        <v>0</v>
      </c>
      <c r="HU37" s="83">
        <v>57.465744000000001</v>
      </c>
      <c r="HV37" s="83">
        <v>0</v>
      </c>
      <c r="HW37" s="83">
        <v>0</v>
      </c>
      <c r="HX37" s="83">
        <v>63.827978000000002</v>
      </c>
      <c r="HY37" s="83">
        <v>0.157996</v>
      </c>
      <c r="HZ37" s="83">
        <v>54.987794000000001</v>
      </c>
      <c r="IA37" s="83">
        <v>0</v>
      </c>
      <c r="IB37" s="83">
        <v>56.227645000000003</v>
      </c>
      <c r="IC37" s="83">
        <v>0</v>
      </c>
      <c r="ID37" s="83">
        <v>0</v>
      </c>
      <c r="IE37" s="83">
        <v>70.891326000000007</v>
      </c>
      <c r="IF37" s="83">
        <v>0.175482</v>
      </c>
      <c r="IG37" s="83">
        <v>61.072875000000003</v>
      </c>
      <c r="IH37" s="83">
        <v>0</v>
      </c>
      <c r="II37" s="83">
        <v>62.449927000000002</v>
      </c>
      <c r="IJ37" s="83">
        <v>0</v>
      </c>
      <c r="IK37" s="83">
        <v>0</v>
      </c>
      <c r="IL37" s="83">
        <v>59.786852000000003</v>
      </c>
      <c r="IM37" s="83">
        <v>0.14799599999999999</v>
      </c>
      <c r="IN37" s="83">
        <v>62.156314000000002</v>
      </c>
      <c r="IO37" s="83">
        <v>0</v>
      </c>
      <c r="IP37" s="83">
        <v>63.557805999999999</v>
      </c>
      <c r="IQ37" s="83">
        <v>0</v>
      </c>
      <c r="IR37" s="83">
        <v>0</v>
      </c>
      <c r="IS37" s="83">
        <v>76.219971999999999</v>
      </c>
      <c r="IT37" s="83">
        <v>0.18867</v>
      </c>
      <c r="IU37" s="83">
        <v>54.412610000000001</v>
      </c>
      <c r="IV37" s="83">
        <v>0</v>
      </c>
      <c r="IW37" s="83">
        <v>55.639499999999998</v>
      </c>
      <c r="IX37" s="83">
        <v>0</v>
      </c>
      <c r="IY37" s="83">
        <v>0</v>
      </c>
      <c r="IZ37" s="83">
        <v>71.868898000000002</v>
      </c>
      <c r="JA37" s="83">
        <v>0.1779</v>
      </c>
      <c r="JB37" s="83">
        <v>61.915036999999998</v>
      </c>
      <c r="JC37" s="83">
        <v>0</v>
      </c>
      <c r="JD37" s="83">
        <v>63.311093999999997</v>
      </c>
      <c r="JE37" s="83">
        <v>0</v>
      </c>
      <c r="JF37" s="83">
        <v>0</v>
      </c>
      <c r="JG37" s="83">
        <v>70.073678000000001</v>
      </c>
      <c r="JH37" s="83">
        <v>0.173458</v>
      </c>
      <c r="JI37" s="83">
        <v>60.368465</v>
      </c>
      <c r="JJ37" s="83">
        <v>0</v>
      </c>
      <c r="JK37" s="83">
        <v>61.729641999999998</v>
      </c>
      <c r="JL37" s="83">
        <v>0</v>
      </c>
      <c r="JM37" s="83">
        <v>0</v>
      </c>
      <c r="JN37" s="83">
        <v>47.757539999999999</v>
      </c>
      <c r="JO37" s="83">
        <v>0.119629</v>
      </c>
      <c r="JP37" s="83">
        <v>57.205733000000002</v>
      </c>
      <c r="JQ37" s="83">
        <v>0</v>
      </c>
      <c r="JR37" s="83">
        <v>50.730359999999997</v>
      </c>
      <c r="JS37" s="83">
        <v>39.913113000000003</v>
      </c>
      <c r="JT37" s="83">
        <v>39.882486999999998</v>
      </c>
      <c r="JU37" s="83">
        <v>31.114243999999999</v>
      </c>
      <c r="JV37" s="83">
        <v>28.932728000000001</v>
      </c>
      <c r="JW37" s="83">
        <v>31.235908999999999</v>
      </c>
      <c r="JX37" s="83">
        <v>25.963695000000001</v>
      </c>
      <c r="JY37" s="83">
        <v>25.903949999999998</v>
      </c>
      <c r="JZ37" s="83">
        <v>26.003546</v>
      </c>
      <c r="KA37" s="83">
        <v>25.983606999999999</v>
      </c>
      <c r="KB37" s="83">
        <v>32.324843999999999</v>
      </c>
      <c r="KC37" s="83">
        <v>30.058437000000001</v>
      </c>
      <c r="KD37" s="83">
        <v>32.451233999999999</v>
      </c>
      <c r="KE37" s="83">
        <v>26.973887999999999</v>
      </c>
      <c r="KF37" s="83">
        <v>26.911816000000002</v>
      </c>
      <c r="KG37" s="83">
        <v>27.015287000000001</v>
      </c>
      <c r="KH37" s="83">
        <v>26.994565000000001</v>
      </c>
      <c r="KI37" s="83">
        <v>28.471153000000001</v>
      </c>
      <c r="KJ37" s="83">
        <v>26.474955999999999</v>
      </c>
      <c r="KK37" s="83">
        <v>28.582478999999999</v>
      </c>
      <c r="KL37" s="83">
        <v>23.758133999999998</v>
      </c>
      <c r="KM37" s="83">
        <v>23.703461999999998</v>
      </c>
      <c r="KN37" s="83">
        <v>23.794592000000002</v>
      </c>
      <c r="KO37" s="83">
        <v>23.776340000000001</v>
      </c>
      <c r="KP37" s="83">
        <v>30.822737</v>
      </c>
      <c r="KQ37" s="83">
        <v>28.661663000000001</v>
      </c>
      <c r="KR37" s="83">
        <v>30.943263999999999</v>
      </c>
      <c r="KS37" s="83">
        <v>25.720426</v>
      </c>
      <c r="KT37" s="83">
        <v>25.661256999999999</v>
      </c>
      <c r="KU37" s="83">
        <v>25.759936</v>
      </c>
      <c r="KV37" s="83">
        <v>25.740144999999998</v>
      </c>
      <c r="KW37" s="83">
        <v>30.439796000000001</v>
      </c>
      <c r="KX37" s="83">
        <v>28.305568000000001</v>
      </c>
      <c r="KY37" s="83">
        <v>30.558824999999999</v>
      </c>
      <c r="KZ37" s="83">
        <v>25.400888999999999</v>
      </c>
      <c r="LA37" s="83">
        <v>25.342442999999999</v>
      </c>
      <c r="LB37" s="83">
        <v>25.439882000000001</v>
      </c>
      <c r="LC37" s="83">
        <v>25.420362999999998</v>
      </c>
      <c r="LD37" s="83">
        <v>29.989535</v>
      </c>
      <c r="LE37" s="83">
        <v>27.886883000000001</v>
      </c>
      <c r="LF37" s="83">
        <v>30.1068</v>
      </c>
      <c r="LG37" s="83">
        <v>25.025169999999999</v>
      </c>
      <c r="LH37" s="83">
        <v>24.967582</v>
      </c>
      <c r="LI37" s="83">
        <v>25.063578</v>
      </c>
      <c r="LJ37" s="83">
        <v>25.044349</v>
      </c>
      <c r="LK37" s="83">
        <v>29.598877999999999</v>
      </c>
      <c r="LL37" s="83">
        <v>27.523599000000001</v>
      </c>
      <c r="LM37" s="83">
        <v>29.714611999999999</v>
      </c>
      <c r="LN37" s="83">
        <v>24.699169999999999</v>
      </c>
      <c r="LO37" s="83">
        <v>24.642336</v>
      </c>
      <c r="LP37" s="83">
        <v>24.737075000000001</v>
      </c>
      <c r="LQ37" s="83">
        <v>24.718105999999999</v>
      </c>
      <c r="LR37" s="83">
        <v>26.078244999999999</v>
      </c>
      <c r="LS37" s="83">
        <v>24.249821000000001</v>
      </c>
      <c r="LT37" s="83">
        <v>26.180219999999998</v>
      </c>
      <c r="LU37" s="83">
        <v>21.761327999999999</v>
      </c>
      <c r="LV37" s="83">
        <v>21.711262999999999</v>
      </c>
      <c r="LW37" s="83">
        <v>21.794733999999998</v>
      </c>
      <c r="LX37" s="83">
        <v>21.778013000000001</v>
      </c>
      <c r="LY37" s="83">
        <v>29.971554999999999</v>
      </c>
      <c r="LZ37" s="83">
        <v>27.870159000000001</v>
      </c>
      <c r="MA37" s="83">
        <v>30.088740000000001</v>
      </c>
      <c r="MB37" s="83">
        <v>25.010151</v>
      </c>
      <c r="MC37" s="83">
        <v>24.952605999999999</v>
      </c>
      <c r="MD37" s="83">
        <v>25.048539999999999</v>
      </c>
      <c r="ME37" s="83">
        <v>25.029302000000001</v>
      </c>
      <c r="MF37" s="83">
        <v>29.782558999999999</v>
      </c>
      <c r="MG37" s="83">
        <v>27.694399000000001</v>
      </c>
      <c r="MH37" s="83">
        <v>29.899009</v>
      </c>
      <c r="MI37" s="83">
        <v>24.852446</v>
      </c>
      <c r="MJ37" s="83">
        <v>24.795259999999999</v>
      </c>
      <c r="MK37" s="83">
        <v>24.890597</v>
      </c>
      <c r="ML37" s="83">
        <v>24.871503000000001</v>
      </c>
      <c r="MM37" s="83">
        <v>28.785091999999999</v>
      </c>
      <c r="MN37" s="83">
        <v>26.766888000000002</v>
      </c>
      <c r="MO37" s="83">
        <v>28.897652000000001</v>
      </c>
      <c r="MP37" s="83">
        <v>24.020101</v>
      </c>
      <c r="MQ37" s="83">
        <v>23.964832000000001</v>
      </c>
      <c r="MR37" s="83">
        <v>24.056965999999999</v>
      </c>
      <c r="MS37" s="83">
        <v>24.038512999999998</v>
      </c>
      <c r="MT37" s="83">
        <v>28.896393</v>
      </c>
      <c r="MU37" s="83">
        <v>26.870377000000001</v>
      </c>
      <c r="MV37" s="83">
        <v>29.009385000000002</v>
      </c>
      <c r="MW37" s="83">
        <v>24.112981000000001</v>
      </c>
      <c r="MX37" s="83">
        <v>24.057493000000001</v>
      </c>
      <c r="MY37" s="83">
        <v>24.149985000000001</v>
      </c>
      <c r="MZ37" s="83">
        <v>24.131464000000001</v>
      </c>
      <c r="NA37" s="83">
        <v>32.267707999999999</v>
      </c>
      <c r="NB37" s="83">
        <v>30.005313000000001</v>
      </c>
      <c r="NC37" s="83">
        <v>32.393877000000003</v>
      </c>
      <c r="ND37" s="83">
        <v>26.926210999999999</v>
      </c>
      <c r="NE37" s="83">
        <v>26.864249000000001</v>
      </c>
      <c r="NF37" s="83">
        <v>26.967538000000001</v>
      </c>
      <c r="NG37" s="83">
        <v>26.946847999999999</v>
      </c>
      <c r="NH37" s="83">
        <v>29.523242</v>
      </c>
      <c r="NI37" s="83">
        <v>27.453281</v>
      </c>
      <c r="NJ37" s="83">
        <v>29.638683</v>
      </c>
      <c r="NK37" s="83">
        <v>24.636061999999999</v>
      </c>
      <c r="NL37" s="83">
        <v>24.579370000000001</v>
      </c>
      <c r="NM37" s="83">
        <v>24.673869</v>
      </c>
      <c r="NN37" s="83">
        <v>24.654945000000001</v>
      </c>
      <c r="NO37" s="83">
        <v>27.42962</v>
      </c>
      <c r="NP37" s="83">
        <v>25.506449</v>
      </c>
      <c r="NQ37" s="83">
        <v>27.536878000000002</v>
      </c>
      <c r="NR37" s="83">
        <v>22.889008</v>
      </c>
      <c r="NS37" s="83">
        <v>22.836344</v>
      </c>
      <c r="NT37" s="83">
        <v>22.924137999999999</v>
      </c>
      <c r="NU37" s="83">
        <v>22.906558</v>
      </c>
      <c r="NV37" s="83">
        <v>28.943238000000001</v>
      </c>
      <c r="NW37" s="83">
        <v>26.913944999999998</v>
      </c>
      <c r="NX37" s="83">
        <v>29.056415999999999</v>
      </c>
      <c r="NY37" s="83">
        <v>24.152062999999998</v>
      </c>
      <c r="NZ37" s="83">
        <v>24.096492999999999</v>
      </c>
      <c r="OA37" s="83">
        <v>24.189140999999999</v>
      </c>
      <c r="OB37" s="83">
        <v>24.170579</v>
      </c>
      <c r="OC37" s="83">
        <v>34.466459</v>
      </c>
      <c r="OD37" s="83">
        <v>32.049912999999997</v>
      </c>
      <c r="OE37" s="83">
        <v>34.601239</v>
      </c>
      <c r="OF37" s="83">
        <v>28.760999999999999</v>
      </c>
      <c r="OG37" s="83">
        <v>28.694814000000001</v>
      </c>
      <c r="OH37" s="83">
        <v>28.805143999999999</v>
      </c>
      <c r="OI37" s="83">
        <v>28.783041999999998</v>
      </c>
      <c r="OJ37" s="83">
        <v>31.125202999999999</v>
      </c>
      <c r="OK37" s="83">
        <v>28.942920000000001</v>
      </c>
      <c r="OL37" s="83">
        <v>31.246905999999999</v>
      </c>
      <c r="OM37" s="83">
        <v>25.972840000000001</v>
      </c>
      <c r="ON37" s="83">
        <v>25.913072</v>
      </c>
      <c r="OO37" s="83">
        <v>26.012703999999999</v>
      </c>
      <c r="OP37" s="83">
        <v>25.992743999999998</v>
      </c>
      <c r="OQ37" s="83">
        <v>27.034552000000001</v>
      </c>
      <c r="OR37" s="83">
        <v>25.139081999999998</v>
      </c>
      <c r="OS37" s="83">
        <v>27.140270000000001</v>
      </c>
      <c r="OT37" s="83">
        <v>22.559342000000001</v>
      </c>
      <c r="OU37" s="83">
        <v>22.507432000000001</v>
      </c>
      <c r="OV37" s="83">
        <v>22.593966999999999</v>
      </c>
      <c r="OW37" s="83">
        <v>22.576633000000001</v>
      </c>
      <c r="OX37" s="83">
        <v>29.903898999999999</v>
      </c>
      <c r="OY37" s="83">
        <v>27.807241000000001</v>
      </c>
      <c r="OZ37" s="83">
        <v>30.020831999999999</v>
      </c>
      <c r="PA37" s="83">
        <v>24.953704999999999</v>
      </c>
      <c r="PB37" s="83">
        <v>24.896284000000001</v>
      </c>
      <c r="PC37" s="83">
        <v>24.991997999999999</v>
      </c>
      <c r="PD37" s="83">
        <v>24.972825</v>
      </c>
      <c r="PE37" s="83">
        <v>29.208227999999998</v>
      </c>
      <c r="PF37" s="83">
        <v>27.160352</v>
      </c>
      <c r="PG37" s="83">
        <v>29.322441000000001</v>
      </c>
      <c r="PH37" s="83">
        <v>24.373192</v>
      </c>
      <c r="PI37" s="83">
        <v>24.317108000000001</v>
      </c>
      <c r="PJ37" s="83">
        <v>24.410596999999999</v>
      </c>
      <c r="PK37" s="83">
        <v>24.391870999999998</v>
      </c>
      <c r="PL37" s="83">
        <v>27.819199000000001</v>
      </c>
      <c r="PM37" s="83">
        <v>25.868708000000002</v>
      </c>
      <c r="PN37" s="83">
        <v>27.927987999999999</v>
      </c>
      <c r="PO37" s="83">
        <v>23.214102</v>
      </c>
      <c r="PP37" s="83">
        <v>23.160691</v>
      </c>
      <c r="PQ37" s="83">
        <v>23.249742000000001</v>
      </c>
      <c r="PR37" s="83">
        <v>23.231905000000001</v>
      </c>
      <c r="PS37" s="83">
        <v>26.672819</v>
      </c>
      <c r="PT37" s="83">
        <v>24.802697999999999</v>
      </c>
      <c r="PU37" s="83">
        <v>26.777107000000001</v>
      </c>
      <c r="PV37" s="83">
        <v>22.257482</v>
      </c>
      <c r="PW37" s="83">
        <v>22.20627</v>
      </c>
      <c r="PX37" s="83">
        <v>22.291649</v>
      </c>
      <c r="PY37" s="83">
        <v>22.274539000000001</v>
      </c>
      <c r="PZ37" s="83">
        <v>24.482309999999998</v>
      </c>
      <c r="QA37" s="83">
        <v>22.765777</v>
      </c>
      <c r="QB37" s="83">
        <v>24.578035</v>
      </c>
      <c r="QC37" s="83">
        <v>20.429580000000001</v>
      </c>
      <c r="QD37" s="83">
        <v>20.382576</v>
      </c>
      <c r="QE37" s="83">
        <v>20.460939</v>
      </c>
      <c r="QF37" s="83">
        <v>20.445238</v>
      </c>
      <c r="QG37" s="83">
        <v>30.744271000000001</v>
      </c>
      <c r="QH37" s="83">
        <v>28.588692000000002</v>
      </c>
      <c r="QI37" s="83">
        <v>30.864477999999998</v>
      </c>
      <c r="QJ37" s="83">
        <v>25.654962000000001</v>
      </c>
      <c r="QK37" s="83">
        <v>25.595925000000001</v>
      </c>
      <c r="QL37" s="83">
        <v>25.69434</v>
      </c>
      <c r="QM37" s="83">
        <v>25.674620999999998</v>
      </c>
      <c r="QN37" s="83">
        <v>27.813133000000001</v>
      </c>
      <c r="QO37" s="83">
        <v>25.863073</v>
      </c>
      <c r="QP37" s="83">
        <v>27.921893000000001</v>
      </c>
      <c r="QQ37" s="83">
        <v>23.209038</v>
      </c>
      <c r="QR37" s="83">
        <v>23.155635</v>
      </c>
      <c r="QS37" s="83">
        <v>23.244655999999999</v>
      </c>
    </row>
    <row r="38" spans="6:461" x14ac:dyDescent="0.25">
      <c r="F38" s="82" t="str">
        <f xml:space="preserve"> _xll.EPMOlapMemberO("[PRDDESCR].[].[WONDER GFREE WHITE 470G]","","WONDER GFREE WHITE 470G","","000")</f>
        <v>WONDER GFREE WHITE 470G</v>
      </c>
      <c r="G38" s="82" t="str">
        <f xml:space="preserve"> _xll.EPMOlapMemberO("[PRDID].[].[179649]","","179649","","000")</f>
        <v>179649</v>
      </c>
      <c r="H38" s="82" t="str">
        <f xml:space="preserve"> _xll.EPMOlapMemberO("[LOCID].[].[6123]","","6123","","000")</f>
        <v>6123</v>
      </c>
      <c r="I38" s="82" t="str">
        <f xml:space="preserve"> _xll.EPMOlapMemberO("[LOCDESCR].[].[QBA-Clayton - Fairbank]","","QBA-Clayton - Fairbank","","000")</f>
        <v>QBA-Clayton - Fairbank</v>
      </c>
      <c r="J38" s="82" t="str">
        <f xml:space="preserve"> _xll.EPMOlapMemberO("[KEY_FIGURES].[].[ZGFAPPROVEDFCSTQTY]","","Approved Forecast","","000")</f>
        <v>Approved Forecast</v>
      </c>
      <c r="K38" s="83">
        <v>154.51295400000001</v>
      </c>
      <c r="L38" s="83">
        <v>409.66609</v>
      </c>
      <c r="M38" s="83">
        <v>257.50556</v>
      </c>
      <c r="N38" s="83">
        <v>650.19489699999997</v>
      </c>
      <c r="O38" s="83">
        <v>1.0175999999999999E-2</v>
      </c>
      <c r="P38" s="83">
        <v>0.49116599999999999</v>
      </c>
      <c r="Q38" s="83">
        <v>751.18741899999998</v>
      </c>
      <c r="R38" s="83">
        <v>159.15284</v>
      </c>
      <c r="S38" s="83">
        <v>441.558875</v>
      </c>
      <c r="T38" s="83">
        <v>268.33541700000001</v>
      </c>
      <c r="U38" s="83">
        <v>720.62205400000005</v>
      </c>
      <c r="V38" s="83">
        <v>0.170262</v>
      </c>
      <c r="W38" s="83">
        <v>0.42713000000000001</v>
      </c>
      <c r="X38" s="83">
        <v>804.448489</v>
      </c>
      <c r="Y38" s="83">
        <v>174.54187099999999</v>
      </c>
      <c r="Z38" s="83">
        <v>469.53234099999997</v>
      </c>
      <c r="AA38" s="83">
        <v>281.82394199999999</v>
      </c>
      <c r="AB38" s="83">
        <v>758.81760899999995</v>
      </c>
      <c r="AC38" s="83">
        <v>0.17482300000000001</v>
      </c>
      <c r="AD38" s="83">
        <v>0.442604</v>
      </c>
      <c r="AE38" s="83">
        <v>705.65686500000004</v>
      </c>
      <c r="AF38" s="83">
        <v>145.110558</v>
      </c>
      <c r="AG38" s="83">
        <v>407.16306300000002</v>
      </c>
      <c r="AH38" s="83">
        <v>253.17843999999999</v>
      </c>
      <c r="AI38" s="83">
        <v>672.91603399999997</v>
      </c>
      <c r="AJ38" s="83">
        <v>0.17613599999999999</v>
      </c>
      <c r="AK38" s="83">
        <v>0.43739899999999998</v>
      </c>
      <c r="AL38" s="83">
        <v>673.17967599999997</v>
      </c>
      <c r="AM38" s="83">
        <v>142.379085</v>
      </c>
      <c r="AN38" s="83">
        <v>382.01825300000002</v>
      </c>
      <c r="AO38" s="83">
        <v>275.22099500000002</v>
      </c>
      <c r="AP38" s="83">
        <v>644.40665000000001</v>
      </c>
      <c r="AQ38" s="83">
        <v>0.17710300000000001</v>
      </c>
      <c r="AR38" s="83">
        <v>0.41564400000000001</v>
      </c>
      <c r="AS38" s="83">
        <v>704.84556299999997</v>
      </c>
      <c r="AT38" s="83">
        <v>143.97501800000001</v>
      </c>
      <c r="AU38" s="83">
        <v>409.68896100000001</v>
      </c>
      <c r="AV38" s="83">
        <v>252.156181</v>
      </c>
      <c r="AW38" s="83">
        <v>669.57687299999998</v>
      </c>
      <c r="AX38" s="83">
        <v>0.19453500000000001</v>
      </c>
      <c r="AY38" s="83">
        <v>0.47887200000000002</v>
      </c>
      <c r="AZ38" s="83">
        <v>721.06273099999999</v>
      </c>
      <c r="BA38" s="83">
        <v>153.49362199999999</v>
      </c>
      <c r="BB38" s="83">
        <v>412.69351599999999</v>
      </c>
      <c r="BC38" s="83">
        <v>257.29066999999998</v>
      </c>
      <c r="BD38" s="83">
        <v>709.49071900000001</v>
      </c>
      <c r="BE38" s="83">
        <v>0.20044200000000001</v>
      </c>
      <c r="BF38" s="83">
        <v>0.448992</v>
      </c>
      <c r="BG38" s="83">
        <v>716.91500099999996</v>
      </c>
      <c r="BH38" s="83">
        <v>147.35361</v>
      </c>
      <c r="BI38" s="83">
        <v>411.74997500000001</v>
      </c>
      <c r="BJ38" s="83">
        <v>266.95225900000003</v>
      </c>
      <c r="BK38" s="83">
        <v>690.05838700000004</v>
      </c>
      <c r="BL38" s="83">
        <v>0.20461599999999999</v>
      </c>
      <c r="BM38" s="83">
        <v>0.45835300000000001</v>
      </c>
      <c r="BN38" s="83">
        <v>731.37414100000001</v>
      </c>
      <c r="BO38" s="83">
        <v>155.340823</v>
      </c>
      <c r="BP38" s="83">
        <v>477.80463600000002</v>
      </c>
      <c r="BQ38" s="83">
        <v>270.98764799999998</v>
      </c>
      <c r="BR38" s="83">
        <v>724.04639499999996</v>
      </c>
      <c r="BS38" s="83">
        <v>0.19978799999999999</v>
      </c>
      <c r="BT38" s="83">
        <v>0.481352</v>
      </c>
      <c r="BU38" s="83">
        <v>742.41802900000005</v>
      </c>
      <c r="BV38" s="83">
        <v>153.49332999999999</v>
      </c>
      <c r="BW38" s="83">
        <v>421.87597199999999</v>
      </c>
      <c r="BX38" s="83">
        <v>277.81102700000002</v>
      </c>
      <c r="BY38" s="83">
        <v>689.97187299999996</v>
      </c>
      <c r="BZ38" s="83">
        <v>0.18978800000000001</v>
      </c>
      <c r="CA38" s="83">
        <v>0.45182600000000001</v>
      </c>
      <c r="CB38" s="83">
        <v>757.50636399999996</v>
      </c>
      <c r="CC38" s="83">
        <v>158.859163</v>
      </c>
      <c r="CD38" s="83">
        <v>425.17232200000001</v>
      </c>
      <c r="CE38" s="83">
        <v>282.10024800000002</v>
      </c>
      <c r="CF38" s="83">
        <v>726.10804499999995</v>
      </c>
      <c r="CG38" s="83">
        <v>0.17955199999999999</v>
      </c>
      <c r="CH38" s="83">
        <v>0.42091800000000001</v>
      </c>
      <c r="CI38" s="83">
        <v>758.64489000000003</v>
      </c>
      <c r="CJ38" s="83">
        <v>155.39948100000001</v>
      </c>
      <c r="CK38" s="83">
        <v>443.63554799999997</v>
      </c>
      <c r="CL38" s="83">
        <v>285.51970699999998</v>
      </c>
      <c r="CM38" s="83">
        <v>723.45447300000001</v>
      </c>
      <c r="CN38" s="83">
        <v>0.19408500000000001</v>
      </c>
      <c r="CO38" s="83">
        <v>0.46096300000000001</v>
      </c>
      <c r="CP38" s="83">
        <v>742.35734400000001</v>
      </c>
      <c r="CQ38" s="83">
        <v>178.84313700000001</v>
      </c>
      <c r="CR38" s="83">
        <v>424.18630400000001</v>
      </c>
      <c r="CS38" s="83">
        <v>282.39765599999998</v>
      </c>
      <c r="CT38" s="83">
        <v>695.07837500000005</v>
      </c>
      <c r="CU38" s="83">
        <v>0.181308</v>
      </c>
      <c r="CV38" s="83">
        <v>0.42022500000000002</v>
      </c>
      <c r="CW38" s="83">
        <v>709.23394699999994</v>
      </c>
      <c r="CX38" s="83">
        <v>145.69477599999999</v>
      </c>
      <c r="CY38" s="83">
        <v>413.97237000000001</v>
      </c>
      <c r="CZ38" s="83">
        <v>260.949388</v>
      </c>
      <c r="DA38" s="83">
        <v>670.85944800000004</v>
      </c>
      <c r="DB38" s="83">
        <v>0.178457</v>
      </c>
      <c r="DC38" s="83">
        <v>0.41807699999999998</v>
      </c>
      <c r="DD38" s="83">
        <v>721.40853100000004</v>
      </c>
      <c r="DE38" s="83">
        <v>152.56054599999999</v>
      </c>
      <c r="DF38" s="83">
        <v>421.01345800000001</v>
      </c>
      <c r="DG38" s="83">
        <v>272.52179599999999</v>
      </c>
      <c r="DH38" s="83">
        <v>680.90026799999998</v>
      </c>
      <c r="DI38" s="83">
        <v>0.182175</v>
      </c>
      <c r="DJ38" s="83">
        <v>0.44081599999999999</v>
      </c>
      <c r="DK38" s="83">
        <v>766.92095500000005</v>
      </c>
      <c r="DL38" s="83">
        <v>160.71740299999999</v>
      </c>
      <c r="DM38" s="83">
        <v>452.90501899999998</v>
      </c>
      <c r="DN38" s="83">
        <v>290.93286000000001</v>
      </c>
      <c r="DO38" s="83">
        <v>702.30017999999995</v>
      </c>
      <c r="DP38" s="83">
        <v>0.17755399999999999</v>
      </c>
      <c r="DQ38" s="83">
        <v>0.42406500000000003</v>
      </c>
      <c r="DR38" s="83">
        <v>805.23875899999996</v>
      </c>
      <c r="DS38" s="83">
        <v>154.94961699999999</v>
      </c>
      <c r="DT38" s="83">
        <v>424.25002799999999</v>
      </c>
      <c r="DU38" s="83">
        <v>264.1798</v>
      </c>
      <c r="DV38" s="83">
        <v>692.33228599999995</v>
      </c>
      <c r="DW38" s="83">
        <v>0.16724900000000001</v>
      </c>
      <c r="DX38" s="83">
        <v>0.41953000000000001</v>
      </c>
      <c r="DY38" s="83">
        <v>683.53624000000002</v>
      </c>
      <c r="DZ38" s="83">
        <v>144.98948799999999</v>
      </c>
      <c r="EA38" s="83">
        <v>405.37850200000003</v>
      </c>
      <c r="EB38" s="83">
        <v>253.096023</v>
      </c>
      <c r="EC38" s="83">
        <v>653.84195699999998</v>
      </c>
      <c r="ED38" s="83">
        <v>0.171206</v>
      </c>
      <c r="EE38" s="83">
        <v>0.41694599999999998</v>
      </c>
      <c r="EF38" s="83">
        <v>687.99045799999999</v>
      </c>
      <c r="EG38" s="83">
        <v>151.45901900000001</v>
      </c>
      <c r="EH38" s="83">
        <v>414.75457399999999</v>
      </c>
      <c r="EI38" s="83">
        <v>252.167148</v>
      </c>
      <c r="EJ38" s="83">
        <v>656.43253600000003</v>
      </c>
      <c r="EK38" s="83">
        <v>0.17072200000000001</v>
      </c>
      <c r="EL38" s="83">
        <v>0.41797699999999999</v>
      </c>
      <c r="EM38" s="83">
        <v>737.21361899999999</v>
      </c>
      <c r="EN38" s="83">
        <v>156.39467999999999</v>
      </c>
      <c r="EO38" s="83">
        <v>441.34263499999997</v>
      </c>
      <c r="EP38" s="83">
        <v>263.04419999999999</v>
      </c>
      <c r="EQ38" s="83">
        <v>683.04458399999999</v>
      </c>
      <c r="ER38" s="83">
        <v>0.16197700000000001</v>
      </c>
      <c r="ES38" s="83">
        <v>0.52507499999999996</v>
      </c>
      <c r="ET38" s="83">
        <v>679.61686299999997</v>
      </c>
      <c r="EU38" s="83">
        <v>147.206503</v>
      </c>
      <c r="EV38" s="83">
        <v>389.69435499999997</v>
      </c>
      <c r="EW38" s="83">
        <v>247.793421</v>
      </c>
      <c r="EX38" s="83">
        <v>627.31087400000001</v>
      </c>
      <c r="EY38" s="83">
        <v>0.17466599999999999</v>
      </c>
      <c r="EZ38" s="83">
        <v>0.417742</v>
      </c>
      <c r="FA38" s="83">
        <v>771.66768300000001</v>
      </c>
      <c r="FB38" s="83">
        <v>161.80171300000001</v>
      </c>
      <c r="FC38" s="83">
        <v>456.00414599999999</v>
      </c>
      <c r="FD38" s="83">
        <v>278.26060100000001</v>
      </c>
      <c r="FE38" s="83">
        <v>720.87414799999999</v>
      </c>
      <c r="FF38" s="83">
        <v>0.16436000000000001</v>
      </c>
      <c r="FG38" s="83">
        <v>0.39494899999999999</v>
      </c>
      <c r="FH38" s="83">
        <v>716.57108800000003</v>
      </c>
      <c r="FI38" s="83">
        <v>153.45617899999999</v>
      </c>
      <c r="FJ38" s="83">
        <v>398.55259999999998</v>
      </c>
      <c r="FK38" s="83">
        <v>254.71116599999999</v>
      </c>
      <c r="FL38" s="83">
        <v>639.522786</v>
      </c>
      <c r="FM38" s="83">
        <v>0.16792199999999999</v>
      </c>
      <c r="FN38" s="83">
        <v>0.42559999999999998</v>
      </c>
      <c r="FO38" s="83">
        <v>731.28013399999998</v>
      </c>
      <c r="FP38" s="83">
        <v>154.39840599999999</v>
      </c>
      <c r="FQ38" s="83">
        <v>417.80256100000003</v>
      </c>
      <c r="FR38" s="83">
        <v>255.95916600000001</v>
      </c>
      <c r="FS38" s="83">
        <v>664.71524199999999</v>
      </c>
      <c r="FT38" s="83">
        <v>0.217699</v>
      </c>
      <c r="FU38" s="83">
        <v>0.418022</v>
      </c>
      <c r="FV38" s="83">
        <v>693.33114399999999</v>
      </c>
      <c r="FW38" s="83">
        <v>144.504344</v>
      </c>
      <c r="FX38" s="83">
        <v>387.78918499999997</v>
      </c>
      <c r="FY38" s="83">
        <v>244.02118200000001</v>
      </c>
      <c r="FZ38" s="83">
        <v>633.32788000000005</v>
      </c>
      <c r="GA38" s="83">
        <v>0.166272</v>
      </c>
      <c r="GB38" s="83">
        <v>0.42039900000000002</v>
      </c>
      <c r="GC38" s="83">
        <v>703.00098800000001</v>
      </c>
      <c r="GD38" s="83">
        <v>145.97337400000001</v>
      </c>
      <c r="GE38" s="83">
        <v>405.429734</v>
      </c>
      <c r="GF38" s="83">
        <v>250.403975</v>
      </c>
      <c r="GG38" s="83">
        <v>641.118968</v>
      </c>
      <c r="GH38" s="83">
        <v>0.174264</v>
      </c>
      <c r="GI38" s="83">
        <v>0.44763399999999998</v>
      </c>
      <c r="GJ38" s="83">
        <v>785.55412100000001</v>
      </c>
      <c r="GK38" s="83">
        <v>162.744575</v>
      </c>
      <c r="GL38" s="83">
        <v>434.19216899999998</v>
      </c>
      <c r="GM38" s="83">
        <v>273.78534300000001</v>
      </c>
      <c r="GN38" s="83">
        <v>716.60434999999995</v>
      </c>
      <c r="GO38" s="83">
        <v>0.17175699999999999</v>
      </c>
      <c r="GP38" s="83">
        <v>0.43055599999999999</v>
      </c>
      <c r="GQ38" s="83">
        <v>679.56948399999999</v>
      </c>
      <c r="GR38" s="83">
        <v>135.58382</v>
      </c>
      <c r="GS38" s="83">
        <v>375.52844299999998</v>
      </c>
      <c r="GT38" s="83">
        <v>234.91654600000001</v>
      </c>
      <c r="GU38" s="83">
        <v>702.94718599999999</v>
      </c>
      <c r="GV38" s="83">
        <v>0.20146900000000001</v>
      </c>
      <c r="GW38" s="83">
        <v>0.51089899999999999</v>
      </c>
      <c r="GX38" s="83">
        <v>770.30004399999996</v>
      </c>
      <c r="GY38" s="83">
        <v>163.56868399999999</v>
      </c>
      <c r="GZ38" s="83">
        <v>429.78212500000001</v>
      </c>
      <c r="HA38" s="83">
        <v>279.06993299999999</v>
      </c>
      <c r="HB38" s="83">
        <v>716.26526699999999</v>
      </c>
      <c r="HC38" s="83">
        <v>0.17579700000000001</v>
      </c>
      <c r="HD38" s="83">
        <v>0.42924400000000001</v>
      </c>
      <c r="HE38" s="83">
        <v>690.63432999999998</v>
      </c>
      <c r="HF38" s="83">
        <v>142.85557399999999</v>
      </c>
      <c r="HG38" s="83">
        <v>393.06619799999999</v>
      </c>
      <c r="HH38" s="83">
        <v>245.31974700000001</v>
      </c>
      <c r="HI38" s="83">
        <v>630.82832399999995</v>
      </c>
      <c r="HJ38" s="83">
        <v>0.194859</v>
      </c>
      <c r="HK38" s="83">
        <v>0.49521199999999999</v>
      </c>
      <c r="HL38" s="83">
        <v>761.47675500000003</v>
      </c>
      <c r="HM38" s="83">
        <v>159.14978199999999</v>
      </c>
      <c r="HN38" s="83">
        <v>427.26713599999999</v>
      </c>
      <c r="HO38" s="83">
        <v>275.54394500000001</v>
      </c>
      <c r="HP38" s="83">
        <v>721.78391199999999</v>
      </c>
      <c r="HQ38" s="83">
        <v>0.208701</v>
      </c>
      <c r="HR38" s="83">
        <v>0.51704099999999997</v>
      </c>
      <c r="HS38" s="83">
        <v>786.05131900000003</v>
      </c>
      <c r="HT38" s="83">
        <v>163.36518699999999</v>
      </c>
      <c r="HU38" s="83">
        <v>452.62902100000002</v>
      </c>
      <c r="HV38" s="83">
        <v>323.58407199999999</v>
      </c>
      <c r="HW38" s="83">
        <v>756.90599899999995</v>
      </c>
      <c r="HX38" s="83">
        <v>0.20668800000000001</v>
      </c>
      <c r="HY38" s="83">
        <v>0.48864400000000002</v>
      </c>
      <c r="HZ38" s="83">
        <v>732.82135500000004</v>
      </c>
      <c r="IA38" s="83">
        <v>154.86993699999999</v>
      </c>
      <c r="IB38" s="83">
        <v>422.16687000000002</v>
      </c>
      <c r="IC38" s="83">
        <v>263.52036500000003</v>
      </c>
      <c r="ID38" s="83">
        <v>719.59427500000004</v>
      </c>
      <c r="IE38" s="83">
        <v>0.21226600000000001</v>
      </c>
      <c r="IF38" s="83">
        <v>0.52191699999999996</v>
      </c>
      <c r="IG38" s="83">
        <v>729.11368400000003</v>
      </c>
      <c r="IH38" s="83">
        <v>149.57609400000001</v>
      </c>
      <c r="II38" s="83">
        <v>416.05936200000002</v>
      </c>
      <c r="IJ38" s="83">
        <v>259.49037900000002</v>
      </c>
      <c r="IK38" s="83">
        <v>693.65734899999995</v>
      </c>
      <c r="IL38" s="83">
        <v>0.206125</v>
      </c>
      <c r="IM38" s="83">
        <v>0.46486699999999997</v>
      </c>
      <c r="IN38" s="83">
        <v>721.63900000000001</v>
      </c>
      <c r="IO38" s="83">
        <v>151.78205199999999</v>
      </c>
      <c r="IP38" s="83">
        <v>408.690608</v>
      </c>
      <c r="IQ38" s="83">
        <v>270.43746800000002</v>
      </c>
      <c r="IR38" s="83">
        <v>702.54725599999995</v>
      </c>
      <c r="IS38" s="83">
        <v>0.231655</v>
      </c>
      <c r="IT38" s="83">
        <v>0.51825900000000003</v>
      </c>
      <c r="IU38" s="83">
        <v>772.48882800000001</v>
      </c>
      <c r="IV38" s="83">
        <v>161.296539</v>
      </c>
      <c r="IW38" s="83">
        <v>516.62257299999999</v>
      </c>
      <c r="IX38" s="83">
        <v>285.22770600000001</v>
      </c>
      <c r="IY38" s="83">
        <v>770.59324000000004</v>
      </c>
      <c r="IZ38" s="83">
        <v>0.17397599999999999</v>
      </c>
      <c r="JA38" s="83">
        <v>0.42194599999999999</v>
      </c>
      <c r="JB38" s="83">
        <v>655.66787199999999</v>
      </c>
      <c r="JC38" s="83">
        <v>141.708</v>
      </c>
      <c r="JD38" s="83">
        <v>378.71974499999999</v>
      </c>
      <c r="JE38" s="83">
        <v>245.15226200000001</v>
      </c>
      <c r="JF38" s="83">
        <v>642.01420399999995</v>
      </c>
      <c r="JG38" s="83">
        <v>0.16709599999999999</v>
      </c>
      <c r="JH38" s="83">
        <v>0.39988299999999999</v>
      </c>
      <c r="JI38" s="83">
        <v>657.74546399999997</v>
      </c>
      <c r="JJ38" s="83">
        <v>136.05327299999999</v>
      </c>
      <c r="JK38" s="83">
        <v>379.28577799999999</v>
      </c>
      <c r="JL38" s="83">
        <v>243.05618999999999</v>
      </c>
      <c r="JM38" s="83">
        <v>638.85562800000002</v>
      </c>
      <c r="JN38" s="83">
        <v>1.2007350000000001</v>
      </c>
      <c r="JO38" s="83">
        <v>1.7670539999999999</v>
      </c>
      <c r="JP38" s="83">
        <v>1187.6148189999999</v>
      </c>
      <c r="JQ38" s="83">
        <v>287.92461400000002</v>
      </c>
      <c r="JR38" s="83">
        <v>697.20898</v>
      </c>
      <c r="JS38" s="83">
        <v>1.3289610000000001</v>
      </c>
      <c r="JT38" s="83">
        <v>1.4207669999999999</v>
      </c>
      <c r="JU38" s="83">
        <v>288.33239400000002</v>
      </c>
      <c r="JV38" s="83">
        <v>285.93410499999999</v>
      </c>
      <c r="JW38" s="83">
        <v>312.72706199999999</v>
      </c>
      <c r="JX38" s="83">
        <v>374.69757399999997</v>
      </c>
      <c r="JY38" s="83">
        <v>321.71458799999999</v>
      </c>
      <c r="JZ38" s="83">
        <v>328.84487999999999</v>
      </c>
      <c r="KA38" s="83">
        <v>321.85500000000002</v>
      </c>
      <c r="KB38" s="83">
        <v>321.756416</v>
      </c>
      <c r="KC38" s="83">
        <v>315.22141699999997</v>
      </c>
      <c r="KD38" s="83">
        <v>310.56392299999999</v>
      </c>
      <c r="KE38" s="83">
        <v>333.33507900000001</v>
      </c>
      <c r="KF38" s="83">
        <v>313.10330599999998</v>
      </c>
      <c r="KG38" s="83">
        <v>320.32596599999999</v>
      </c>
      <c r="KH38" s="83">
        <v>321.32870800000001</v>
      </c>
      <c r="KI38" s="83">
        <v>297.41791699999999</v>
      </c>
      <c r="KJ38" s="83">
        <v>292.664579</v>
      </c>
      <c r="KK38" s="83">
        <v>322.47108800000001</v>
      </c>
      <c r="KL38" s="83">
        <v>337.99907400000001</v>
      </c>
      <c r="KM38" s="83">
        <v>331.53361200000001</v>
      </c>
      <c r="KN38" s="83">
        <v>338.63945899999999</v>
      </c>
      <c r="KO38" s="83">
        <v>324.95242300000001</v>
      </c>
      <c r="KP38" s="83">
        <v>303.18901799999998</v>
      </c>
      <c r="KQ38" s="83">
        <v>302.77774499999998</v>
      </c>
      <c r="KR38" s="83">
        <v>294.95455199999998</v>
      </c>
      <c r="KS38" s="83">
        <v>326.92226499999998</v>
      </c>
      <c r="KT38" s="83">
        <v>304.469717</v>
      </c>
      <c r="KU38" s="83">
        <v>314.03470900000002</v>
      </c>
      <c r="KV38" s="83">
        <v>302.78270400000002</v>
      </c>
      <c r="KW38" s="83">
        <v>282.34085800000003</v>
      </c>
      <c r="KX38" s="83">
        <v>280.92899</v>
      </c>
      <c r="KY38" s="83">
        <v>335.64110799999997</v>
      </c>
      <c r="KZ38" s="83">
        <v>314.71397899999999</v>
      </c>
      <c r="LA38" s="83">
        <v>305.118492</v>
      </c>
      <c r="LB38" s="83">
        <v>301.56999400000001</v>
      </c>
      <c r="LC38" s="83">
        <v>300.22083199999997</v>
      </c>
      <c r="LD38" s="83">
        <v>293.28688799999998</v>
      </c>
      <c r="LE38" s="83">
        <v>297.72320500000001</v>
      </c>
      <c r="LF38" s="83">
        <v>317.77331400000003</v>
      </c>
      <c r="LG38" s="83">
        <v>349.28742699999998</v>
      </c>
      <c r="LH38" s="83">
        <v>322.83414800000003</v>
      </c>
      <c r="LI38" s="83">
        <v>330.60499800000002</v>
      </c>
      <c r="LJ38" s="83">
        <v>328.33563199999998</v>
      </c>
      <c r="LK38" s="83">
        <v>302.72173299999997</v>
      </c>
      <c r="LL38" s="83">
        <v>302.81604399999998</v>
      </c>
      <c r="LM38" s="83">
        <v>299.701189</v>
      </c>
      <c r="LN38" s="83">
        <v>324.42472099999998</v>
      </c>
      <c r="LO38" s="83">
        <v>315.58418599999999</v>
      </c>
      <c r="LP38" s="83">
        <v>305.27865400000002</v>
      </c>
      <c r="LQ38" s="83">
        <v>300.49390399999999</v>
      </c>
      <c r="LR38" s="83">
        <v>289.69300900000002</v>
      </c>
      <c r="LS38" s="83">
        <v>290.75326799999999</v>
      </c>
      <c r="LT38" s="83">
        <v>306.985927</v>
      </c>
      <c r="LU38" s="83">
        <v>335.28969000000001</v>
      </c>
      <c r="LV38" s="83">
        <v>312.74998699999998</v>
      </c>
      <c r="LW38" s="83">
        <v>307.43980499999998</v>
      </c>
      <c r="LX38" s="83">
        <v>305.00608199999999</v>
      </c>
      <c r="LY38" s="83">
        <v>268.96311200000002</v>
      </c>
      <c r="LZ38" s="83">
        <v>310.68330800000001</v>
      </c>
      <c r="MA38" s="83">
        <v>304.31489099999999</v>
      </c>
      <c r="MB38" s="83">
        <v>325.97844500000002</v>
      </c>
      <c r="MC38" s="83">
        <v>307.21856200000002</v>
      </c>
      <c r="MD38" s="83">
        <v>307.82112599999999</v>
      </c>
      <c r="ME38" s="83">
        <v>300.20570199999997</v>
      </c>
      <c r="MF38" s="83">
        <v>324.79109399999999</v>
      </c>
      <c r="MG38" s="83">
        <v>322.86599699999999</v>
      </c>
      <c r="MH38" s="83">
        <v>315.81215700000001</v>
      </c>
      <c r="MI38" s="83">
        <v>341.328621</v>
      </c>
      <c r="MJ38" s="83">
        <v>315.506866</v>
      </c>
      <c r="MK38" s="83">
        <v>320.49500499999999</v>
      </c>
      <c r="ML38" s="83">
        <v>315.61382099999997</v>
      </c>
      <c r="MM38" s="83">
        <v>286.81899800000002</v>
      </c>
      <c r="MN38" s="83">
        <v>285.34450099999998</v>
      </c>
      <c r="MO38" s="83">
        <v>303.86174099999999</v>
      </c>
      <c r="MP38" s="83">
        <v>326.98621600000001</v>
      </c>
      <c r="MQ38" s="83">
        <v>299.94028400000002</v>
      </c>
      <c r="MR38" s="83">
        <v>298.03100499999999</v>
      </c>
      <c r="MS38" s="83">
        <v>296.684078</v>
      </c>
      <c r="MT38" s="83">
        <v>287.89936299999999</v>
      </c>
      <c r="MU38" s="83">
        <v>294.897875</v>
      </c>
      <c r="MV38" s="83">
        <v>330.508805</v>
      </c>
      <c r="MW38" s="83">
        <v>359.76994200000001</v>
      </c>
      <c r="MX38" s="83">
        <v>320.10684500000002</v>
      </c>
      <c r="MY38" s="83">
        <v>325.183605</v>
      </c>
      <c r="MZ38" s="83">
        <v>323.43136900000002</v>
      </c>
      <c r="NA38" s="83">
        <v>353.59405900000002</v>
      </c>
      <c r="NB38" s="83">
        <v>316.48958199999998</v>
      </c>
      <c r="NC38" s="83">
        <v>310.88350200000002</v>
      </c>
      <c r="ND38" s="83">
        <v>321.69178599999998</v>
      </c>
      <c r="NE38" s="83">
        <v>307.464631</v>
      </c>
      <c r="NF38" s="83">
        <v>302.44512700000001</v>
      </c>
      <c r="NG38" s="83">
        <v>305.02164800000003</v>
      </c>
      <c r="NH38" s="83">
        <v>292.732665</v>
      </c>
      <c r="NI38" s="83">
        <v>298.85936600000002</v>
      </c>
      <c r="NJ38" s="83">
        <v>308.47281800000002</v>
      </c>
      <c r="NK38" s="83">
        <v>334.11029400000001</v>
      </c>
      <c r="NL38" s="83">
        <v>305.42660899999998</v>
      </c>
      <c r="NM38" s="83">
        <v>307.20845300000002</v>
      </c>
      <c r="NN38" s="83">
        <v>307.87714899999997</v>
      </c>
      <c r="NO38" s="83">
        <v>299.464698</v>
      </c>
      <c r="NP38" s="83">
        <v>307.91340600000001</v>
      </c>
      <c r="NQ38" s="83">
        <v>340.26713999999998</v>
      </c>
      <c r="NR38" s="83">
        <v>343.72254299999997</v>
      </c>
      <c r="NS38" s="83">
        <v>327.21926300000001</v>
      </c>
      <c r="NT38" s="83">
        <v>327.56086699999997</v>
      </c>
      <c r="NU38" s="83">
        <v>326.14836100000002</v>
      </c>
      <c r="NV38" s="83">
        <v>347.81459699999999</v>
      </c>
      <c r="NW38" s="83">
        <v>352.310789</v>
      </c>
      <c r="NX38" s="83">
        <v>348.10117400000001</v>
      </c>
      <c r="NY38" s="83">
        <v>361.813154</v>
      </c>
      <c r="NZ38" s="83">
        <v>331.86566299999998</v>
      </c>
      <c r="OA38" s="83">
        <v>337.85261200000002</v>
      </c>
      <c r="OB38" s="83">
        <v>382.81134300000002</v>
      </c>
      <c r="OC38" s="83">
        <v>301.70171099999999</v>
      </c>
      <c r="OD38" s="83">
        <v>307.342265</v>
      </c>
      <c r="OE38" s="83">
        <v>313.74507299999999</v>
      </c>
      <c r="OF38" s="83">
        <v>330.61359800000002</v>
      </c>
      <c r="OG38" s="83">
        <v>309.25604700000002</v>
      </c>
      <c r="OH38" s="83">
        <v>314.78292099999999</v>
      </c>
      <c r="OI38" s="83">
        <v>311.37129299999998</v>
      </c>
      <c r="OJ38" s="83">
        <v>291.42638699999998</v>
      </c>
      <c r="OK38" s="83">
        <v>291.87689599999999</v>
      </c>
      <c r="OL38" s="83">
        <v>315.982527</v>
      </c>
      <c r="OM38" s="83">
        <v>339.68771400000003</v>
      </c>
      <c r="ON38" s="83">
        <v>308.01568200000003</v>
      </c>
      <c r="OO38" s="83">
        <v>315.17992299999997</v>
      </c>
      <c r="OP38" s="83">
        <v>313.57941699999998</v>
      </c>
      <c r="OQ38" s="83">
        <v>303.29668600000002</v>
      </c>
      <c r="OR38" s="83">
        <v>308.99433599999998</v>
      </c>
      <c r="OS38" s="83">
        <v>295.105414</v>
      </c>
      <c r="OT38" s="83">
        <v>308.88649099999998</v>
      </c>
      <c r="OU38" s="83">
        <v>292.88985600000001</v>
      </c>
      <c r="OV38" s="83">
        <v>295.461747</v>
      </c>
      <c r="OW38" s="83">
        <v>301.484307</v>
      </c>
      <c r="OX38" s="83">
        <v>317.363609</v>
      </c>
      <c r="OY38" s="83">
        <v>320.58244300000001</v>
      </c>
      <c r="OZ38" s="83">
        <v>316.46232500000002</v>
      </c>
      <c r="PA38" s="83">
        <v>337.67602599999998</v>
      </c>
      <c r="PB38" s="83">
        <v>310.95284900000001</v>
      </c>
      <c r="PC38" s="83">
        <v>366.13943999999998</v>
      </c>
      <c r="PD38" s="83">
        <v>324.52852799999999</v>
      </c>
      <c r="PE38" s="83">
        <v>313.578688</v>
      </c>
      <c r="PF38" s="83">
        <v>308.16285800000003</v>
      </c>
      <c r="PG38" s="83">
        <v>337.303405</v>
      </c>
      <c r="PH38" s="83">
        <v>350.26838600000002</v>
      </c>
      <c r="PI38" s="83">
        <v>337.20782500000001</v>
      </c>
      <c r="PJ38" s="83">
        <v>336.817724</v>
      </c>
      <c r="PK38" s="83">
        <v>341.96440100000001</v>
      </c>
      <c r="PL38" s="83">
        <v>329.792599</v>
      </c>
      <c r="PM38" s="83">
        <v>330.57469200000003</v>
      </c>
      <c r="PN38" s="83">
        <v>319.97975400000001</v>
      </c>
      <c r="PO38" s="83">
        <v>340.88093400000002</v>
      </c>
      <c r="PP38" s="83">
        <v>313.08491199999997</v>
      </c>
      <c r="PQ38" s="83">
        <v>318.32928900000002</v>
      </c>
      <c r="PR38" s="83">
        <v>327.97950100000003</v>
      </c>
      <c r="PS38" s="83">
        <v>325.44538</v>
      </c>
      <c r="PT38" s="83">
        <v>312.44098200000002</v>
      </c>
      <c r="PU38" s="83">
        <v>320.01757199999997</v>
      </c>
      <c r="PV38" s="83">
        <v>342.32373799999999</v>
      </c>
      <c r="PW38" s="83">
        <v>321.35650299999998</v>
      </c>
      <c r="PX38" s="83">
        <v>332.13753500000001</v>
      </c>
      <c r="PY38" s="83">
        <v>337.802978</v>
      </c>
      <c r="PZ38" s="83">
        <v>330.173742</v>
      </c>
      <c r="QA38" s="83">
        <v>317.65072199999997</v>
      </c>
      <c r="QB38" s="83">
        <v>326.051964</v>
      </c>
      <c r="QC38" s="83">
        <v>355.15638000000001</v>
      </c>
      <c r="QD38" s="83">
        <v>368.31903899999998</v>
      </c>
      <c r="QE38" s="83">
        <v>337.025554</v>
      </c>
      <c r="QF38" s="83">
        <v>344.53778</v>
      </c>
      <c r="QG38" s="83">
        <v>322.79676799999999</v>
      </c>
      <c r="QH38" s="83">
        <v>322.226135</v>
      </c>
      <c r="QI38" s="83">
        <v>328.48181</v>
      </c>
      <c r="QJ38" s="83">
        <v>355.37753199999997</v>
      </c>
      <c r="QK38" s="83">
        <v>332.28536700000001</v>
      </c>
      <c r="QL38" s="83">
        <v>340.67652800000002</v>
      </c>
      <c r="QM38" s="83">
        <v>340.90637800000002</v>
      </c>
      <c r="QN38" s="83">
        <v>321.03040900000002</v>
      </c>
      <c r="QO38" s="83">
        <v>318.79132900000002</v>
      </c>
      <c r="QP38" s="83">
        <v>323.843142</v>
      </c>
      <c r="QQ38" s="83">
        <v>353.82227499999999</v>
      </c>
      <c r="QR38" s="83">
        <v>319.815043</v>
      </c>
      <c r="QS38" s="83">
        <v>336.418136</v>
      </c>
    </row>
    <row r="39" spans="6:461" x14ac:dyDescent="0.25">
      <c r="F39" s="82" t="str">
        <f xml:space="preserve"> _xll.EPMOlapMemberO("[PRDDESCR].[].[WONDER GFREE WHITE 470G]","","WONDER GFREE WHITE 470G","","000")</f>
        <v>WONDER GFREE WHITE 470G</v>
      </c>
      <c r="G39" s="82" t="str">
        <f xml:space="preserve"> _xll.EPMOlapMemberO("[PRDID].[].[179649]","","179649","","000")</f>
        <v>179649</v>
      </c>
      <c r="H39" s="82" t="str">
        <f xml:space="preserve"> _xll.EPMOlapMemberO("[LOCID].[].[6125]","","6125","","000")</f>
        <v>6125</v>
      </c>
      <c r="I39" s="82" t="str">
        <f xml:space="preserve"> _xll.EPMOlapMemberO("[LOCDESCR].[].[QBA -Keilor Park]","","QBA -Keilor Park","","000")</f>
        <v>QBA -Keilor Park</v>
      </c>
      <c r="J39" s="82" t="str">
        <f xml:space="preserve"> _xll.EPMOlapMemberO("[KEY_FIGURES].[].[ZGFAPPROVEDFCSTQTY]","","Approved Forecast","","000")</f>
        <v>Approved Forecast</v>
      </c>
      <c r="K39" s="83">
        <v>115.88196499999999</v>
      </c>
      <c r="L39" s="83">
        <v>344.133534</v>
      </c>
      <c r="M39" s="83">
        <v>435.97537899999998</v>
      </c>
      <c r="N39" s="83">
        <v>481.11053299999998</v>
      </c>
      <c r="O39" s="83">
        <v>4.3388999999999997E-2</v>
      </c>
      <c r="P39" s="83">
        <v>0.32198500000000002</v>
      </c>
      <c r="Q39" s="83">
        <v>783.13679200000001</v>
      </c>
      <c r="R39" s="83">
        <v>119.167722</v>
      </c>
      <c r="S39" s="83">
        <v>350.33917500000001</v>
      </c>
      <c r="T39" s="83">
        <v>432.32506599999999</v>
      </c>
      <c r="U39" s="83">
        <v>498.571168</v>
      </c>
      <c r="V39" s="83">
        <v>0</v>
      </c>
      <c r="W39" s="83">
        <v>0.290711</v>
      </c>
      <c r="X39" s="83">
        <v>795.32155299999999</v>
      </c>
      <c r="Y39" s="83">
        <v>121.18270699999999</v>
      </c>
      <c r="Z39" s="83">
        <v>354.68354799999997</v>
      </c>
      <c r="AA39" s="83">
        <v>442.02381000000003</v>
      </c>
      <c r="AB39" s="83">
        <v>512.53401899999994</v>
      </c>
      <c r="AC39" s="83">
        <v>0</v>
      </c>
      <c r="AD39" s="83">
        <v>0.30163400000000001</v>
      </c>
      <c r="AE39" s="83">
        <v>737.08597499999996</v>
      </c>
      <c r="AF39" s="83">
        <v>107.155511</v>
      </c>
      <c r="AG39" s="83">
        <v>327.581526</v>
      </c>
      <c r="AH39" s="83">
        <v>400.78356500000001</v>
      </c>
      <c r="AI39" s="83">
        <v>461.40222699999998</v>
      </c>
      <c r="AJ39" s="83">
        <v>0</v>
      </c>
      <c r="AK39" s="83">
        <v>0.290354</v>
      </c>
      <c r="AL39" s="83">
        <v>765.80864999999994</v>
      </c>
      <c r="AM39" s="83">
        <v>109.74417699999999</v>
      </c>
      <c r="AN39" s="83">
        <v>340.59587399999998</v>
      </c>
      <c r="AO39" s="83">
        <v>421.49822399999999</v>
      </c>
      <c r="AP39" s="83">
        <v>485.92691000000002</v>
      </c>
      <c r="AQ39" s="83">
        <v>0</v>
      </c>
      <c r="AR39" s="83">
        <v>0.28246399999999999</v>
      </c>
      <c r="AS39" s="83">
        <v>848.97387500000002</v>
      </c>
      <c r="AT39" s="83">
        <v>120.153256</v>
      </c>
      <c r="AU39" s="83">
        <v>377.046223</v>
      </c>
      <c r="AV39" s="83">
        <v>480.86892899999998</v>
      </c>
      <c r="AW39" s="83">
        <v>553.89962400000002</v>
      </c>
      <c r="AX39" s="83">
        <v>0</v>
      </c>
      <c r="AY39" s="83">
        <v>0.280306</v>
      </c>
      <c r="AZ39" s="83">
        <v>769.12596599999995</v>
      </c>
      <c r="BA39" s="83">
        <v>108.376272</v>
      </c>
      <c r="BB39" s="83">
        <v>342.85266100000001</v>
      </c>
      <c r="BC39" s="83">
        <v>421.57248099999998</v>
      </c>
      <c r="BD39" s="83">
        <v>487.81477100000001</v>
      </c>
      <c r="BE39" s="83">
        <v>0</v>
      </c>
      <c r="BF39" s="83">
        <v>0.27551999999999999</v>
      </c>
      <c r="BG39" s="83">
        <v>775.57210199999997</v>
      </c>
      <c r="BH39" s="83">
        <v>107.86895699999999</v>
      </c>
      <c r="BI39" s="83">
        <v>346.29648700000001</v>
      </c>
      <c r="BJ39" s="83">
        <v>423.01069799999999</v>
      </c>
      <c r="BK39" s="83">
        <v>490.99455999999998</v>
      </c>
      <c r="BL39" s="83">
        <v>0</v>
      </c>
      <c r="BM39" s="83">
        <v>0.30824000000000001</v>
      </c>
      <c r="BN39" s="83">
        <v>848.45981200000006</v>
      </c>
      <c r="BO39" s="83">
        <v>121.260991</v>
      </c>
      <c r="BP39" s="83">
        <v>376.46724799999998</v>
      </c>
      <c r="BQ39" s="83">
        <v>472.51707599999997</v>
      </c>
      <c r="BR39" s="83">
        <v>544.46986600000002</v>
      </c>
      <c r="BS39" s="83">
        <v>0</v>
      </c>
      <c r="BT39" s="83">
        <v>0.34940199999999999</v>
      </c>
      <c r="BU39" s="83">
        <v>853.70111699999995</v>
      </c>
      <c r="BV39" s="83">
        <v>123.29868</v>
      </c>
      <c r="BW39" s="83">
        <v>378.44951300000002</v>
      </c>
      <c r="BX39" s="83">
        <v>461.28105699999998</v>
      </c>
      <c r="BY39" s="83">
        <v>532.53394600000001</v>
      </c>
      <c r="BZ39" s="83">
        <v>0</v>
      </c>
      <c r="CA39" s="83">
        <v>0.261237</v>
      </c>
      <c r="CB39" s="83">
        <v>738.48368000000005</v>
      </c>
      <c r="CC39" s="83">
        <v>102.98714</v>
      </c>
      <c r="CD39" s="83">
        <v>330.00051400000001</v>
      </c>
      <c r="CE39" s="83">
        <v>404.32544100000001</v>
      </c>
      <c r="CF39" s="83">
        <v>468.72044799999998</v>
      </c>
      <c r="CG39" s="83">
        <v>0</v>
      </c>
      <c r="CH39" s="83">
        <v>0.33205000000000001</v>
      </c>
      <c r="CI39" s="83">
        <v>874.14203299999997</v>
      </c>
      <c r="CJ39" s="83">
        <v>124.671677</v>
      </c>
      <c r="CK39" s="83">
        <v>387.86168300000003</v>
      </c>
      <c r="CL39" s="83">
        <v>478.74005299999999</v>
      </c>
      <c r="CM39" s="83">
        <v>553.11172199999999</v>
      </c>
      <c r="CN39" s="83">
        <v>0</v>
      </c>
      <c r="CO39" s="83">
        <v>0.31424200000000002</v>
      </c>
      <c r="CP39" s="83">
        <v>824.00421800000004</v>
      </c>
      <c r="CQ39" s="83">
        <v>118.212807</v>
      </c>
      <c r="CR39" s="83">
        <v>365.77541000000002</v>
      </c>
      <c r="CS39" s="83">
        <v>453.300928</v>
      </c>
      <c r="CT39" s="83">
        <v>522.70286799999997</v>
      </c>
      <c r="CU39" s="83">
        <v>0</v>
      </c>
      <c r="CV39" s="83">
        <v>0.29483799999999999</v>
      </c>
      <c r="CW39" s="83">
        <v>752.91109800000004</v>
      </c>
      <c r="CX39" s="83">
        <v>107.654481</v>
      </c>
      <c r="CY39" s="83">
        <v>335.20976300000001</v>
      </c>
      <c r="CZ39" s="83">
        <v>408.80335300000002</v>
      </c>
      <c r="DA39" s="83">
        <v>472.27247</v>
      </c>
      <c r="DB39" s="83">
        <v>0</v>
      </c>
      <c r="DC39" s="83">
        <v>0.29490899999999998</v>
      </c>
      <c r="DD39" s="83">
        <v>831.99822200000006</v>
      </c>
      <c r="DE39" s="83">
        <v>117.69544999999999</v>
      </c>
      <c r="DF39" s="83">
        <v>369.86989299999999</v>
      </c>
      <c r="DG39" s="83">
        <v>462.10783199999997</v>
      </c>
      <c r="DH39" s="83">
        <v>533.61938299999997</v>
      </c>
      <c r="DI39" s="83">
        <v>0</v>
      </c>
      <c r="DJ39" s="83">
        <v>0.29029500000000003</v>
      </c>
      <c r="DK39" s="83">
        <v>810.551061</v>
      </c>
      <c r="DL39" s="83">
        <v>118.751631</v>
      </c>
      <c r="DM39" s="83">
        <v>359.01247000000001</v>
      </c>
      <c r="DN39" s="83">
        <v>439.23159600000002</v>
      </c>
      <c r="DO39" s="83">
        <v>505.36400800000001</v>
      </c>
      <c r="DP39" s="83">
        <v>0</v>
      </c>
      <c r="DQ39" s="83">
        <v>0.352101</v>
      </c>
      <c r="DR39" s="83">
        <v>780.57540800000004</v>
      </c>
      <c r="DS39" s="83">
        <v>111.34024700000001</v>
      </c>
      <c r="DT39" s="83">
        <v>347.27884399999999</v>
      </c>
      <c r="DU39" s="83">
        <v>426.41004400000003</v>
      </c>
      <c r="DV39" s="83">
        <v>492.54152800000003</v>
      </c>
      <c r="DW39" s="83">
        <v>0</v>
      </c>
      <c r="DX39" s="83">
        <v>0.28295199999999998</v>
      </c>
      <c r="DY39" s="83">
        <v>796.68381299999999</v>
      </c>
      <c r="DZ39" s="83">
        <v>112.076808</v>
      </c>
      <c r="EA39" s="83">
        <v>354.85275799999999</v>
      </c>
      <c r="EB39" s="83">
        <v>439.65915899999999</v>
      </c>
      <c r="EC39" s="83">
        <v>508.532985</v>
      </c>
      <c r="ED39" s="83">
        <v>0</v>
      </c>
      <c r="EE39" s="83">
        <v>0.291657</v>
      </c>
      <c r="EF39" s="83">
        <v>774.03289900000004</v>
      </c>
      <c r="EG39" s="83">
        <v>110.32560599999999</v>
      </c>
      <c r="EH39" s="83">
        <v>344.44288799999998</v>
      </c>
      <c r="EI39" s="83">
        <v>424.56942400000003</v>
      </c>
      <c r="EJ39" s="83">
        <v>490.20455800000002</v>
      </c>
      <c r="EK39" s="83">
        <v>0</v>
      </c>
      <c r="EL39" s="83">
        <v>0.28115899999999999</v>
      </c>
      <c r="EM39" s="83">
        <v>801.565246</v>
      </c>
      <c r="EN39" s="83">
        <v>112.95931400000001</v>
      </c>
      <c r="EO39" s="83">
        <v>356.84462400000001</v>
      </c>
      <c r="EP39" s="83">
        <v>444.87456200000003</v>
      </c>
      <c r="EQ39" s="83">
        <v>514.03774099999998</v>
      </c>
      <c r="ER39" s="83">
        <v>0</v>
      </c>
      <c r="ES39" s="83">
        <v>0.30034899999999998</v>
      </c>
      <c r="ET39" s="83">
        <v>812.05832799999996</v>
      </c>
      <c r="EU39" s="83">
        <v>115.768739</v>
      </c>
      <c r="EV39" s="83">
        <v>360.87825199999997</v>
      </c>
      <c r="EW39" s="83">
        <v>448.38770799999998</v>
      </c>
      <c r="EX39" s="83">
        <v>517.36622799999998</v>
      </c>
      <c r="EY39" s="83">
        <v>0</v>
      </c>
      <c r="EZ39" s="83">
        <v>0.32244699999999998</v>
      </c>
      <c r="FA39" s="83">
        <v>856.35148200000003</v>
      </c>
      <c r="FB39" s="83">
        <v>122.384288</v>
      </c>
      <c r="FC39" s="83">
        <v>379.99298900000002</v>
      </c>
      <c r="FD39" s="83">
        <v>471.34378199999998</v>
      </c>
      <c r="FE39" s="83">
        <v>543.95829700000002</v>
      </c>
      <c r="FF39" s="83">
        <v>0</v>
      </c>
      <c r="FG39" s="83">
        <v>0.29152400000000001</v>
      </c>
      <c r="FH39" s="83">
        <v>833.91889000000003</v>
      </c>
      <c r="FI39" s="83">
        <v>121.58141999999999</v>
      </c>
      <c r="FJ39" s="83">
        <v>369.46263199999999</v>
      </c>
      <c r="FK39" s="83">
        <v>446.766775</v>
      </c>
      <c r="FL39" s="83">
        <v>515.33940900000005</v>
      </c>
      <c r="FM39" s="83">
        <v>0</v>
      </c>
      <c r="FN39" s="83">
        <v>0.35025400000000001</v>
      </c>
      <c r="FO39" s="83">
        <v>788.04540099999997</v>
      </c>
      <c r="FP39" s="83">
        <v>111.436441</v>
      </c>
      <c r="FQ39" s="83">
        <v>350.857823</v>
      </c>
      <c r="FR39" s="83">
        <v>434.61151799999999</v>
      </c>
      <c r="FS39" s="83">
        <v>502.23150099999998</v>
      </c>
      <c r="FT39" s="83">
        <v>0</v>
      </c>
      <c r="FU39" s="83">
        <v>0.29369699999999999</v>
      </c>
      <c r="FV39" s="83">
        <v>795.65409</v>
      </c>
      <c r="FW39" s="83">
        <v>113.70272</v>
      </c>
      <c r="FX39" s="83">
        <v>353.62075099999998</v>
      </c>
      <c r="FY39" s="83">
        <v>440.65634499999999</v>
      </c>
      <c r="FZ39" s="83">
        <v>507.97316599999999</v>
      </c>
      <c r="GA39" s="83">
        <v>0</v>
      </c>
      <c r="GB39" s="83">
        <v>0.303755</v>
      </c>
      <c r="GC39" s="83">
        <v>772.24682299999995</v>
      </c>
      <c r="GD39" s="83">
        <v>110.168707</v>
      </c>
      <c r="GE39" s="83">
        <v>343.734058</v>
      </c>
      <c r="GF39" s="83">
        <v>417.69979499999999</v>
      </c>
      <c r="GG39" s="83">
        <v>483.06046099999998</v>
      </c>
      <c r="GH39" s="83">
        <v>0</v>
      </c>
      <c r="GI39" s="83">
        <v>0.31486599999999998</v>
      </c>
      <c r="GJ39" s="83">
        <v>809.55664100000001</v>
      </c>
      <c r="GK39" s="83">
        <v>116.781626</v>
      </c>
      <c r="GL39" s="83">
        <v>359.24817100000001</v>
      </c>
      <c r="GM39" s="83">
        <v>444.84934900000002</v>
      </c>
      <c r="GN39" s="83">
        <v>512.454385</v>
      </c>
      <c r="GO39" s="83">
        <v>0</v>
      </c>
      <c r="GP39" s="83">
        <v>0.300313</v>
      </c>
      <c r="GQ39" s="83">
        <v>757.58254999999997</v>
      </c>
      <c r="GR39" s="83">
        <v>107.793993</v>
      </c>
      <c r="GS39" s="83">
        <v>337.53275000000002</v>
      </c>
      <c r="GT39" s="83">
        <v>407.46551399999998</v>
      </c>
      <c r="GU39" s="83">
        <v>471.75989600000003</v>
      </c>
      <c r="GV39" s="83">
        <v>0</v>
      </c>
      <c r="GW39" s="83">
        <v>0.321801</v>
      </c>
      <c r="GX39" s="83">
        <v>849.52265299999999</v>
      </c>
      <c r="GY39" s="83">
        <v>120.537308</v>
      </c>
      <c r="GZ39" s="83">
        <v>377.48374000000001</v>
      </c>
      <c r="HA39" s="83">
        <v>463.16779300000002</v>
      </c>
      <c r="HB39" s="83">
        <v>535.88190399999996</v>
      </c>
      <c r="HC39" s="83">
        <v>0</v>
      </c>
      <c r="HD39" s="83">
        <v>0.29634899999999997</v>
      </c>
      <c r="HE39" s="83">
        <v>760.83203900000001</v>
      </c>
      <c r="HF39" s="83">
        <v>108.38349700000001</v>
      </c>
      <c r="HG39" s="83">
        <v>338.83271500000001</v>
      </c>
      <c r="HH39" s="83">
        <v>412.30571500000002</v>
      </c>
      <c r="HI39" s="83">
        <v>476.79937699999999</v>
      </c>
      <c r="HJ39" s="83">
        <v>0</v>
      </c>
      <c r="HK39" s="83">
        <v>0.29870799999999997</v>
      </c>
      <c r="HL39" s="83">
        <v>832.01601600000004</v>
      </c>
      <c r="HM39" s="83">
        <v>121.06966300000001</v>
      </c>
      <c r="HN39" s="83">
        <v>368.66360400000002</v>
      </c>
      <c r="HO39" s="83">
        <v>449.86478599999998</v>
      </c>
      <c r="HP39" s="83">
        <v>518.49567200000001</v>
      </c>
      <c r="HQ39" s="83">
        <v>0</v>
      </c>
      <c r="HR39" s="83">
        <v>0.35858600000000002</v>
      </c>
      <c r="HS39" s="83">
        <v>810.97393399999999</v>
      </c>
      <c r="HT39" s="83">
        <v>114.52430699999999</v>
      </c>
      <c r="HU39" s="83">
        <v>361.02981499999999</v>
      </c>
      <c r="HV39" s="83">
        <v>439.21822800000001</v>
      </c>
      <c r="HW39" s="83">
        <v>508.956344</v>
      </c>
      <c r="HX39" s="83">
        <v>0</v>
      </c>
      <c r="HY39" s="83">
        <v>0.27457599999999999</v>
      </c>
      <c r="HZ39" s="83">
        <v>783.32822799999997</v>
      </c>
      <c r="IA39" s="83">
        <v>108.547595</v>
      </c>
      <c r="IB39" s="83">
        <v>349.83978400000001</v>
      </c>
      <c r="IC39" s="83">
        <v>427.49174599999998</v>
      </c>
      <c r="ID39" s="83">
        <v>496.51453400000003</v>
      </c>
      <c r="IE39" s="83">
        <v>0</v>
      </c>
      <c r="IF39" s="83">
        <v>0.30098599999999998</v>
      </c>
      <c r="IG39" s="83">
        <v>830.14323400000001</v>
      </c>
      <c r="IH39" s="83">
        <v>116.60696299999999</v>
      </c>
      <c r="II39" s="83">
        <v>369.53747099999998</v>
      </c>
      <c r="IJ39" s="83">
        <v>454.488023</v>
      </c>
      <c r="IK39" s="83">
        <v>526.48211200000003</v>
      </c>
      <c r="IL39" s="83">
        <v>0</v>
      </c>
      <c r="IM39" s="83">
        <v>0.28067399999999998</v>
      </c>
      <c r="IN39" s="83">
        <v>824.39348500000006</v>
      </c>
      <c r="IO39" s="83">
        <v>119.24377800000001</v>
      </c>
      <c r="IP39" s="83">
        <v>365.67608999999999</v>
      </c>
      <c r="IQ39" s="83">
        <v>445.44086199999998</v>
      </c>
      <c r="IR39" s="83">
        <v>514.01552800000002</v>
      </c>
      <c r="IS39" s="83">
        <v>0</v>
      </c>
      <c r="IT39" s="83">
        <v>0.36559900000000001</v>
      </c>
      <c r="IU39" s="83">
        <v>814.77543300000002</v>
      </c>
      <c r="IV39" s="83">
        <v>115.08504600000001</v>
      </c>
      <c r="IW39" s="83">
        <v>362.60591899999997</v>
      </c>
      <c r="IX39" s="83">
        <v>444.85891299999997</v>
      </c>
      <c r="IY39" s="83">
        <v>514.93744500000003</v>
      </c>
      <c r="IZ39" s="83">
        <v>0</v>
      </c>
      <c r="JA39" s="83">
        <v>0.27582299999999998</v>
      </c>
      <c r="JB39" s="83">
        <v>725.30804599999999</v>
      </c>
      <c r="JC39" s="83">
        <v>102.693304</v>
      </c>
      <c r="JD39" s="83">
        <v>323.66915699999998</v>
      </c>
      <c r="JE39" s="83">
        <v>393.74617499999999</v>
      </c>
      <c r="JF39" s="83">
        <v>455.642944</v>
      </c>
      <c r="JG39" s="83">
        <v>0</v>
      </c>
      <c r="JH39" s="83">
        <v>0.31123899999999999</v>
      </c>
      <c r="JI39" s="83">
        <v>763.022156</v>
      </c>
      <c r="JJ39" s="83">
        <v>109.679616</v>
      </c>
      <c r="JK39" s="83">
        <v>339.41813200000001</v>
      </c>
      <c r="JL39" s="83">
        <v>410.50936200000001</v>
      </c>
      <c r="JM39" s="83">
        <v>474.35799200000002</v>
      </c>
      <c r="JN39" s="83">
        <v>2.0839409999999998</v>
      </c>
      <c r="JO39" s="83">
        <v>2.4024040000000002</v>
      </c>
      <c r="JP39" s="83">
        <v>1358.75938</v>
      </c>
      <c r="JQ39" s="83">
        <v>200.33685500000001</v>
      </c>
      <c r="JR39" s="83">
        <v>559.24922100000003</v>
      </c>
      <c r="JS39" s="83">
        <v>2.2844340000000001</v>
      </c>
      <c r="JT39" s="83">
        <v>2.1937069999999999</v>
      </c>
      <c r="JU39" s="83">
        <v>278.25553200000002</v>
      </c>
      <c r="JV39" s="83">
        <v>278.255472</v>
      </c>
      <c r="JW39" s="83">
        <v>309.37008900000001</v>
      </c>
      <c r="JX39" s="83">
        <v>405.57174300000003</v>
      </c>
      <c r="JY39" s="83">
        <v>330.80824000000001</v>
      </c>
      <c r="JZ39" s="83">
        <v>317.27096899999998</v>
      </c>
      <c r="KA39" s="83">
        <v>308.747973</v>
      </c>
      <c r="KB39" s="83">
        <v>297.49570699999998</v>
      </c>
      <c r="KC39" s="83">
        <v>297.49562900000001</v>
      </c>
      <c r="KD39" s="83">
        <v>293.07044300000001</v>
      </c>
      <c r="KE39" s="83">
        <v>383.63038999999998</v>
      </c>
      <c r="KF39" s="83">
        <v>312.887201</v>
      </c>
      <c r="KG39" s="83">
        <v>300.77023600000001</v>
      </c>
      <c r="KH39" s="83">
        <v>292.42430999999999</v>
      </c>
      <c r="KI39" s="83">
        <v>290.78577000000001</v>
      </c>
      <c r="KJ39" s="83">
        <v>290.78570400000001</v>
      </c>
      <c r="KK39" s="83">
        <v>325.16605199999998</v>
      </c>
      <c r="KL39" s="83">
        <v>426.716207</v>
      </c>
      <c r="KM39" s="83">
        <v>348.80006100000003</v>
      </c>
      <c r="KN39" s="83">
        <v>333.08413999999999</v>
      </c>
      <c r="KO39" s="83">
        <v>324.62006200000002</v>
      </c>
      <c r="KP39" s="83">
        <v>311.515311</v>
      </c>
      <c r="KQ39" s="83">
        <v>311.51524499999999</v>
      </c>
      <c r="KR39" s="83">
        <v>305.98128000000003</v>
      </c>
      <c r="KS39" s="83">
        <v>400.46802400000001</v>
      </c>
      <c r="KT39" s="83">
        <v>326.99434600000001</v>
      </c>
      <c r="KU39" s="83">
        <v>313.94395800000001</v>
      </c>
      <c r="KV39" s="83">
        <v>305.33115700000002</v>
      </c>
      <c r="KW39" s="83">
        <v>277.13232699999998</v>
      </c>
      <c r="KX39" s="83">
        <v>277.13226400000002</v>
      </c>
      <c r="KY39" s="83">
        <v>290.741918</v>
      </c>
      <c r="KZ39" s="83">
        <v>379.945403</v>
      </c>
      <c r="LA39" s="83">
        <v>310.10595000000001</v>
      </c>
      <c r="LB39" s="83">
        <v>298.55925100000002</v>
      </c>
      <c r="LC39" s="83">
        <v>290.05714599999999</v>
      </c>
      <c r="LD39" s="83">
        <v>295.34282999999999</v>
      </c>
      <c r="LE39" s="83">
        <v>295.34276499999999</v>
      </c>
      <c r="LF39" s="83">
        <v>323.78777700000001</v>
      </c>
      <c r="LG39" s="83">
        <v>425.29055199999999</v>
      </c>
      <c r="LH39" s="83">
        <v>347.61283900000001</v>
      </c>
      <c r="LI39" s="83">
        <v>331.52630699999997</v>
      </c>
      <c r="LJ39" s="83">
        <v>323.28123099999999</v>
      </c>
      <c r="LK39" s="83">
        <v>294.41847999999999</v>
      </c>
      <c r="LL39" s="83">
        <v>294.41841699999998</v>
      </c>
      <c r="LM39" s="83">
        <v>295.40424300000001</v>
      </c>
      <c r="LN39" s="83">
        <v>387.31880699999999</v>
      </c>
      <c r="LO39" s="83">
        <v>315.68134700000002</v>
      </c>
      <c r="LP39" s="83">
        <v>302.98486000000003</v>
      </c>
      <c r="LQ39" s="83">
        <v>294.79729600000002</v>
      </c>
      <c r="LR39" s="83">
        <v>266.830579</v>
      </c>
      <c r="LS39" s="83">
        <v>266.83051699999999</v>
      </c>
      <c r="LT39" s="83">
        <v>279.54662400000001</v>
      </c>
      <c r="LU39" s="83">
        <v>366.54917799999998</v>
      </c>
      <c r="LV39" s="83">
        <v>298.61048099999999</v>
      </c>
      <c r="LW39" s="83">
        <v>286.73718000000002</v>
      </c>
      <c r="LX39" s="83">
        <v>278.96517</v>
      </c>
      <c r="LY39" s="83">
        <v>279.27311800000001</v>
      </c>
      <c r="LZ39" s="83">
        <v>279.273055</v>
      </c>
      <c r="MA39" s="83">
        <v>313.78605299999998</v>
      </c>
      <c r="MB39" s="83">
        <v>411.61167499999999</v>
      </c>
      <c r="MC39" s="83">
        <v>336.36764299999999</v>
      </c>
      <c r="MD39" s="83">
        <v>321.50884200000002</v>
      </c>
      <c r="ME39" s="83">
        <v>313.23644100000001</v>
      </c>
      <c r="MF39" s="83">
        <v>321.75625100000002</v>
      </c>
      <c r="MG39" s="83">
        <v>321.75618400000002</v>
      </c>
      <c r="MH39" s="83">
        <v>311.33162900000002</v>
      </c>
      <c r="MI39" s="83">
        <v>408.674914</v>
      </c>
      <c r="MJ39" s="83">
        <v>333.882791</v>
      </c>
      <c r="MK39" s="83">
        <v>318.90597000000002</v>
      </c>
      <c r="ML39" s="83">
        <v>310.807838</v>
      </c>
      <c r="MM39" s="83">
        <v>281.14187900000002</v>
      </c>
      <c r="MN39" s="83">
        <v>281.14181600000001</v>
      </c>
      <c r="MO39" s="83">
        <v>294.41916199999997</v>
      </c>
      <c r="MP39" s="83">
        <v>386.31000999999998</v>
      </c>
      <c r="MQ39" s="83">
        <v>314.85596700000002</v>
      </c>
      <c r="MR39" s="83">
        <v>301.862797</v>
      </c>
      <c r="MS39" s="83">
        <v>293.842782</v>
      </c>
      <c r="MT39" s="83">
        <v>280.61897299999998</v>
      </c>
      <c r="MU39" s="83">
        <v>280.61890799999998</v>
      </c>
      <c r="MV39" s="83">
        <v>316.50088699999998</v>
      </c>
      <c r="MW39" s="83">
        <v>414.84806400000002</v>
      </c>
      <c r="MX39" s="83">
        <v>339.27120200000002</v>
      </c>
      <c r="MY39" s="83">
        <v>324.34126900000001</v>
      </c>
      <c r="MZ39" s="83">
        <v>315.93630300000001</v>
      </c>
      <c r="NA39" s="83">
        <v>322.797214</v>
      </c>
      <c r="NB39" s="83">
        <v>322.79714200000001</v>
      </c>
      <c r="NC39" s="83">
        <v>313.17103500000002</v>
      </c>
      <c r="ND39" s="83">
        <v>410.362841</v>
      </c>
      <c r="NE39" s="83">
        <v>335.02319799999998</v>
      </c>
      <c r="NF39" s="83">
        <v>321.15337499999998</v>
      </c>
      <c r="NG39" s="83">
        <v>312.54867100000001</v>
      </c>
      <c r="NH39" s="83">
        <v>281.035211</v>
      </c>
      <c r="NI39" s="83">
        <v>281.03514699999999</v>
      </c>
      <c r="NJ39" s="83">
        <v>294.36767800000001</v>
      </c>
      <c r="NK39" s="83">
        <v>386.14814000000001</v>
      </c>
      <c r="NL39" s="83">
        <v>314.64471300000002</v>
      </c>
      <c r="NM39" s="83">
        <v>301.87183900000002</v>
      </c>
      <c r="NN39" s="83">
        <v>293.77474799999999</v>
      </c>
      <c r="NO39" s="83">
        <v>289.991758</v>
      </c>
      <c r="NP39" s="83">
        <v>289.991691</v>
      </c>
      <c r="NQ39" s="83">
        <v>319.71819199999999</v>
      </c>
      <c r="NR39" s="83">
        <v>419.53339899999997</v>
      </c>
      <c r="NS39" s="83">
        <v>343.03229700000003</v>
      </c>
      <c r="NT39" s="83">
        <v>327.47878800000001</v>
      </c>
      <c r="NU39" s="83">
        <v>319.188333</v>
      </c>
      <c r="NV39" s="83">
        <v>298.64433700000001</v>
      </c>
      <c r="NW39" s="83">
        <v>298.644271</v>
      </c>
      <c r="NX39" s="83">
        <v>297.37280299999998</v>
      </c>
      <c r="NY39" s="83">
        <v>390.12716</v>
      </c>
      <c r="NZ39" s="83">
        <v>318.09120300000001</v>
      </c>
      <c r="OA39" s="83">
        <v>304.87901299999999</v>
      </c>
      <c r="OB39" s="83">
        <v>296.795255</v>
      </c>
      <c r="OC39" s="83">
        <v>270.59541200000001</v>
      </c>
      <c r="OD39" s="83">
        <v>270.595347</v>
      </c>
      <c r="OE39" s="83">
        <v>283.699749</v>
      </c>
      <c r="OF39" s="83">
        <v>370.79792200000003</v>
      </c>
      <c r="OG39" s="83">
        <v>303.20425899999998</v>
      </c>
      <c r="OH39" s="83">
        <v>291.12181500000003</v>
      </c>
      <c r="OI39" s="83">
        <v>283.08950800000002</v>
      </c>
      <c r="OJ39" s="83">
        <v>282.809102</v>
      </c>
      <c r="OK39" s="83">
        <v>282.80903599999999</v>
      </c>
      <c r="OL39" s="83">
        <v>311.68134099999997</v>
      </c>
      <c r="OM39" s="83">
        <v>408.97648500000003</v>
      </c>
      <c r="ON39" s="83">
        <v>334.49395700000002</v>
      </c>
      <c r="OO39" s="83">
        <v>319.21334300000001</v>
      </c>
      <c r="OP39" s="83">
        <v>311.17378000000002</v>
      </c>
      <c r="OQ39" s="83">
        <v>318.20419099999998</v>
      </c>
      <c r="OR39" s="83">
        <v>318.20411999999999</v>
      </c>
      <c r="OS39" s="83">
        <v>314.83284200000003</v>
      </c>
      <c r="OT39" s="83">
        <v>413.68793499999998</v>
      </c>
      <c r="OU39" s="83">
        <v>338.01861100000002</v>
      </c>
      <c r="OV39" s="83">
        <v>322.31907799999999</v>
      </c>
      <c r="OW39" s="83">
        <v>314.34834000000001</v>
      </c>
      <c r="OX39" s="83">
        <v>283.77637600000003</v>
      </c>
      <c r="OY39" s="83">
        <v>283.77631300000002</v>
      </c>
      <c r="OZ39" s="83">
        <v>297.03921600000001</v>
      </c>
      <c r="PA39" s="83">
        <v>390.21522199999998</v>
      </c>
      <c r="PB39" s="83">
        <v>317.841723</v>
      </c>
      <c r="PC39" s="83">
        <v>304.42927700000001</v>
      </c>
      <c r="PD39" s="83">
        <v>296.48669200000001</v>
      </c>
      <c r="PE39" s="83">
        <v>285.73236100000003</v>
      </c>
      <c r="PF39" s="83">
        <v>285.73231199999998</v>
      </c>
      <c r="PG39" s="83">
        <v>318.08541000000002</v>
      </c>
      <c r="PH39" s="83">
        <v>419.016772</v>
      </c>
      <c r="PI39" s="83">
        <v>340.98208199999999</v>
      </c>
      <c r="PJ39" s="83">
        <v>325.668612</v>
      </c>
      <c r="PK39" s="83">
        <v>317.57702499999999</v>
      </c>
      <c r="PL39" s="83">
        <v>326.20367700000003</v>
      </c>
      <c r="PM39" s="83">
        <v>326.20359999999999</v>
      </c>
      <c r="PN39" s="83">
        <v>318.65111000000002</v>
      </c>
      <c r="PO39" s="83">
        <v>417.93678999999997</v>
      </c>
      <c r="PP39" s="83">
        <v>341.366896</v>
      </c>
      <c r="PQ39" s="83">
        <v>326.57422600000001</v>
      </c>
      <c r="PR39" s="83">
        <v>318.07096000000001</v>
      </c>
      <c r="PS39" s="83">
        <v>312.49838</v>
      </c>
      <c r="PT39" s="83">
        <v>312.49830900000001</v>
      </c>
      <c r="PU39" s="83">
        <v>327.717826</v>
      </c>
      <c r="PV39" s="83">
        <v>428.91247700000002</v>
      </c>
      <c r="PW39" s="83">
        <v>349.76772</v>
      </c>
      <c r="PX39" s="83">
        <v>336.41355099999998</v>
      </c>
      <c r="PY39" s="83">
        <v>326.97575999999998</v>
      </c>
      <c r="PZ39" s="83">
        <v>272.53204599999998</v>
      </c>
      <c r="QA39" s="83">
        <v>272.53198300000003</v>
      </c>
      <c r="QB39" s="83">
        <v>285.16799099999997</v>
      </c>
      <c r="QC39" s="83">
        <v>375.07831399999998</v>
      </c>
      <c r="QD39" s="83">
        <v>305.09592400000002</v>
      </c>
      <c r="QE39" s="83">
        <v>292.19764099999998</v>
      </c>
      <c r="QF39" s="83">
        <v>284.64902000000001</v>
      </c>
      <c r="QG39" s="83">
        <v>322.050456</v>
      </c>
      <c r="QH39" s="83">
        <v>322.050388</v>
      </c>
      <c r="QI39" s="83">
        <v>337.30974300000003</v>
      </c>
      <c r="QJ39" s="83">
        <v>442.58445599999999</v>
      </c>
      <c r="QK39" s="83">
        <v>360.81111700000002</v>
      </c>
      <c r="QL39" s="83">
        <v>345.86209200000002</v>
      </c>
      <c r="QM39" s="83">
        <v>336.64768700000002</v>
      </c>
      <c r="QN39" s="83">
        <v>304.13349499999998</v>
      </c>
      <c r="QO39" s="83">
        <v>304.13342499999999</v>
      </c>
      <c r="QP39" s="83">
        <v>318.51316100000003</v>
      </c>
      <c r="QQ39" s="83">
        <v>417.54347899999999</v>
      </c>
      <c r="QR39" s="83">
        <v>341.00713400000001</v>
      </c>
      <c r="QS39" s="83">
        <v>326.52859100000001</v>
      </c>
    </row>
    <row r="40" spans="6:461" x14ac:dyDescent="0.25">
      <c r="F40" s="82" t="str">
        <f xml:space="preserve"> _xll.EPMOlapMemberO("[PRDDESCR].[].[WONDER GFREE WHITE 470G]","","WONDER GFREE WHITE 470G","","000")</f>
        <v>WONDER GFREE WHITE 470G</v>
      </c>
      <c r="G40" s="82" t="str">
        <f xml:space="preserve"> _xll.EPMOlapMemberO("[PRDID].[].[179649]","","179649","","000")</f>
        <v>179649</v>
      </c>
      <c r="H40" s="82" t="str">
        <f xml:space="preserve"> _xll.EPMOlapMemberO("[LOCID].[].[6130]","","6130","","000")</f>
        <v>6130</v>
      </c>
      <c r="I40" s="82" t="str">
        <f xml:space="preserve"> _xll.EPMOlapMemberO("[LOCDESCR].[].[QBA-Canning Vale]","","QBA-Canning Vale","","000")</f>
        <v>QBA-Canning Vale</v>
      </c>
      <c r="J40" s="82" t="str">
        <f xml:space="preserve"> _xll.EPMOlapMemberO("[KEY_FIGURES].[].[ZGFAPPROVEDFCSTQTY]","","Approved Forecast","","000")</f>
        <v>Approved Forecast</v>
      </c>
      <c r="K40" s="83">
        <v>87.852771000000004</v>
      </c>
      <c r="L40" s="83">
        <v>95.182579000000004</v>
      </c>
      <c r="M40" s="83">
        <v>84.449960000000004</v>
      </c>
      <c r="N40" s="83">
        <v>25.453675</v>
      </c>
      <c r="O40" s="83">
        <v>157.27280999999999</v>
      </c>
      <c r="P40" s="83">
        <v>32.022899000000002</v>
      </c>
      <c r="Q40" s="83">
        <v>98.321116000000004</v>
      </c>
      <c r="R40" s="83">
        <v>78.948508000000004</v>
      </c>
      <c r="S40" s="83">
        <v>87.428535999999994</v>
      </c>
      <c r="T40" s="83">
        <v>75.846637999999999</v>
      </c>
      <c r="U40" s="83">
        <v>25.24727</v>
      </c>
      <c r="V40" s="83">
        <v>157.78897599999999</v>
      </c>
      <c r="W40" s="83">
        <v>34.610987000000002</v>
      </c>
      <c r="X40" s="83">
        <v>106.86671200000001</v>
      </c>
      <c r="Y40" s="83">
        <v>84.527457999999996</v>
      </c>
      <c r="Z40" s="83">
        <v>96.214798999999999</v>
      </c>
      <c r="AA40" s="83">
        <v>83.234454999999997</v>
      </c>
      <c r="AB40" s="83">
        <v>33.850216000000003</v>
      </c>
      <c r="AC40" s="83">
        <v>196.215666</v>
      </c>
      <c r="AD40" s="83">
        <v>58.004832999999998</v>
      </c>
      <c r="AE40" s="83">
        <v>108.923405</v>
      </c>
      <c r="AF40" s="83">
        <v>89.361598000000001</v>
      </c>
      <c r="AG40" s="83">
        <v>100.751796</v>
      </c>
      <c r="AH40" s="83">
        <v>88.539935</v>
      </c>
      <c r="AI40" s="83">
        <v>32.849997000000002</v>
      </c>
      <c r="AJ40" s="83">
        <v>170.64509899999999</v>
      </c>
      <c r="AK40" s="83">
        <v>41.400620000000004</v>
      </c>
      <c r="AL40" s="83">
        <v>107.38502699999999</v>
      </c>
      <c r="AM40" s="83">
        <v>86.155316999999997</v>
      </c>
      <c r="AN40" s="83">
        <v>102.46213299999999</v>
      </c>
      <c r="AO40" s="83">
        <v>93.283006</v>
      </c>
      <c r="AP40" s="83">
        <v>35.238340000000001</v>
      </c>
      <c r="AQ40" s="83">
        <v>149.435653</v>
      </c>
      <c r="AR40" s="83">
        <v>34.758282000000001</v>
      </c>
      <c r="AS40" s="83">
        <v>102.70375900000001</v>
      </c>
      <c r="AT40" s="83">
        <v>82.839535999999995</v>
      </c>
      <c r="AU40" s="83">
        <v>100.302199</v>
      </c>
      <c r="AV40" s="83">
        <v>84.130122999999998</v>
      </c>
      <c r="AW40" s="83">
        <v>34.012830000000001</v>
      </c>
      <c r="AX40" s="83">
        <v>160.35479799999999</v>
      </c>
      <c r="AY40" s="83">
        <v>47.921241000000002</v>
      </c>
      <c r="AZ40" s="83">
        <v>87.562887000000003</v>
      </c>
      <c r="BA40" s="83">
        <v>71.837255999999996</v>
      </c>
      <c r="BB40" s="83">
        <v>80.993769999999998</v>
      </c>
      <c r="BC40" s="83">
        <v>71.176777999999999</v>
      </c>
      <c r="BD40" s="83">
        <v>26.407892</v>
      </c>
      <c r="BE40" s="83">
        <v>157.93974800000001</v>
      </c>
      <c r="BF40" s="83">
        <v>38.318171</v>
      </c>
      <c r="BG40" s="83">
        <v>99.389748999999995</v>
      </c>
      <c r="BH40" s="83">
        <v>79.740684999999999</v>
      </c>
      <c r="BI40" s="83">
        <v>94.833461</v>
      </c>
      <c r="BJ40" s="83">
        <v>86.337708000000006</v>
      </c>
      <c r="BK40" s="83">
        <v>32.614694</v>
      </c>
      <c r="BL40" s="83">
        <v>185.012191</v>
      </c>
      <c r="BM40" s="83">
        <v>43.033287000000001</v>
      </c>
      <c r="BN40" s="83">
        <v>122.678432</v>
      </c>
      <c r="BO40" s="83">
        <v>98.950850000000003</v>
      </c>
      <c r="BP40" s="83">
        <v>119.809814</v>
      </c>
      <c r="BQ40" s="83">
        <v>100.49243800000001</v>
      </c>
      <c r="BR40" s="83">
        <v>40.627926000000002</v>
      </c>
      <c r="BS40" s="83">
        <v>165.905664</v>
      </c>
      <c r="BT40" s="83">
        <v>49.580089999999998</v>
      </c>
      <c r="BU40" s="83">
        <v>93.899563000000001</v>
      </c>
      <c r="BV40" s="83">
        <v>77.035910999999999</v>
      </c>
      <c r="BW40" s="83">
        <v>86.855056000000005</v>
      </c>
      <c r="BX40" s="83">
        <v>76.327612999999999</v>
      </c>
      <c r="BY40" s="83">
        <v>28.318989999999999</v>
      </c>
      <c r="BZ40" s="83">
        <v>147.14565899999999</v>
      </c>
      <c r="CA40" s="83">
        <v>35.699390000000001</v>
      </c>
      <c r="CB40" s="83">
        <v>92.597140999999993</v>
      </c>
      <c r="CC40" s="83">
        <v>74.290952000000004</v>
      </c>
      <c r="CD40" s="83">
        <v>88.352250999999995</v>
      </c>
      <c r="CE40" s="83">
        <v>80.437135999999995</v>
      </c>
      <c r="CF40" s="83">
        <v>30.38571</v>
      </c>
      <c r="CG40" s="83">
        <v>153.14283900000001</v>
      </c>
      <c r="CH40" s="83">
        <v>35.620612000000001</v>
      </c>
      <c r="CI40" s="83">
        <v>94.161923000000002</v>
      </c>
      <c r="CJ40" s="83">
        <v>75.949764000000002</v>
      </c>
      <c r="CK40" s="83">
        <v>91.960070999999999</v>
      </c>
      <c r="CL40" s="83">
        <v>77.132983999999993</v>
      </c>
      <c r="CM40" s="83">
        <v>31.183944</v>
      </c>
      <c r="CN40" s="83">
        <v>152.38417200000001</v>
      </c>
      <c r="CO40" s="83">
        <v>45.539296999999998</v>
      </c>
      <c r="CP40" s="83">
        <v>93.010396999999998</v>
      </c>
      <c r="CQ40" s="83">
        <v>76.306431000000003</v>
      </c>
      <c r="CR40" s="83">
        <v>86.032679000000002</v>
      </c>
      <c r="CS40" s="83">
        <v>75.604866000000001</v>
      </c>
      <c r="CT40" s="83">
        <v>28.050826000000001</v>
      </c>
      <c r="CU40" s="83">
        <v>152.35969900000001</v>
      </c>
      <c r="CV40" s="83">
        <v>36.964357</v>
      </c>
      <c r="CW40" s="83">
        <v>95.878219000000001</v>
      </c>
      <c r="CX40" s="83">
        <v>76.923362999999995</v>
      </c>
      <c r="CY40" s="83">
        <v>91.482826000000003</v>
      </c>
      <c r="CZ40" s="83">
        <v>83.287298000000007</v>
      </c>
      <c r="DA40" s="83">
        <v>31.462392000000001</v>
      </c>
      <c r="DB40" s="83">
        <v>160.922382</v>
      </c>
      <c r="DC40" s="83">
        <v>37.430070000000001</v>
      </c>
      <c r="DD40" s="83">
        <v>107.028524</v>
      </c>
      <c r="DE40" s="83">
        <v>86.327842000000004</v>
      </c>
      <c r="DF40" s="83">
        <v>104.525845</v>
      </c>
      <c r="DG40" s="83">
        <v>87.672771999999995</v>
      </c>
      <c r="DH40" s="83">
        <v>35.445101999999999</v>
      </c>
      <c r="DI40" s="83">
        <v>175.55989299999999</v>
      </c>
      <c r="DJ40" s="83">
        <v>52.465249</v>
      </c>
      <c r="DK40" s="83">
        <v>99.063293000000002</v>
      </c>
      <c r="DL40" s="83">
        <v>81.272245999999996</v>
      </c>
      <c r="DM40" s="83">
        <v>91.631359000000003</v>
      </c>
      <c r="DN40" s="83">
        <v>80.525023000000004</v>
      </c>
      <c r="DO40" s="83">
        <v>29.876239000000002</v>
      </c>
      <c r="DP40" s="83">
        <v>156.93518700000001</v>
      </c>
      <c r="DQ40" s="83">
        <v>38.074368</v>
      </c>
      <c r="DR40" s="83">
        <v>98.757593</v>
      </c>
      <c r="DS40" s="83">
        <v>79.233547000000002</v>
      </c>
      <c r="DT40" s="83">
        <v>94.2303</v>
      </c>
      <c r="DU40" s="83">
        <v>85.788572000000002</v>
      </c>
      <c r="DV40" s="83">
        <v>32.407249999999998</v>
      </c>
      <c r="DW40" s="83">
        <v>146.55983800000001</v>
      </c>
      <c r="DX40" s="83">
        <v>34.089376000000001</v>
      </c>
      <c r="DY40" s="83">
        <v>90.114339000000001</v>
      </c>
      <c r="DZ40" s="83">
        <v>72.685075999999995</v>
      </c>
      <c r="EA40" s="83">
        <v>88.007177999999996</v>
      </c>
      <c r="EB40" s="83">
        <v>73.817459999999997</v>
      </c>
      <c r="EC40" s="83">
        <v>29.843537000000001</v>
      </c>
      <c r="ED40" s="83">
        <v>160.025994</v>
      </c>
      <c r="EE40" s="83">
        <v>47.822977000000002</v>
      </c>
      <c r="EF40" s="83">
        <v>97.674654000000004</v>
      </c>
      <c r="EG40" s="83">
        <v>80.133032</v>
      </c>
      <c r="EH40" s="83">
        <v>90.346936999999997</v>
      </c>
      <c r="EI40" s="83">
        <v>79.396248999999997</v>
      </c>
      <c r="EJ40" s="83">
        <v>29.457512999999999</v>
      </c>
      <c r="EK40" s="83">
        <v>163.60931199999999</v>
      </c>
      <c r="EL40" s="83">
        <v>39.693593999999997</v>
      </c>
      <c r="EM40" s="83">
        <v>117.37364599999999</v>
      </c>
      <c r="EN40" s="83">
        <v>94.169212000000002</v>
      </c>
      <c r="EO40" s="83">
        <v>111.992836</v>
      </c>
      <c r="EP40" s="83">
        <v>101.959829</v>
      </c>
      <c r="EQ40" s="83">
        <v>38.516058999999998</v>
      </c>
      <c r="ER40" s="83">
        <v>179.86998800000001</v>
      </c>
      <c r="ES40" s="83">
        <v>41.837322999999998</v>
      </c>
      <c r="ET40" s="83">
        <v>97.011905999999996</v>
      </c>
      <c r="EU40" s="83">
        <v>78.248547000000002</v>
      </c>
      <c r="EV40" s="83">
        <v>94.743452000000005</v>
      </c>
      <c r="EW40" s="83">
        <v>79.467687999999995</v>
      </c>
      <c r="EX40" s="83">
        <v>32.127879</v>
      </c>
      <c r="EY40" s="83">
        <v>145.93240299999999</v>
      </c>
      <c r="EZ40" s="83">
        <v>43.611100999999998</v>
      </c>
      <c r="FA40" s="83">
        <v>106.997212</v>
      </c>
      <c r="FB40" s="83">
        <v>87.781339000000003</v>
      </c>
      <c r="FC40" s="83">
        <v>98.970095000000001</v>
      </c>
      <c r="FD40" s="83">
        <v>86.974168000000006</v>
      </c>
      <c r="FE40" s="83">
        <v>32.269063000000003</v>
      </c>
      <c r="FF40" s="83">
        <v>185.01890800000001</v>
      </c>
      <c r="FG40" s="83">
        <v>44.887923000000001</v>
      </c>
      <c r="FH40" s="83">
        <v>96.925336999999999</v>
      </c>
      <c r="FI40" s="83">
        <v>77.763473000000005</v>
      </c>
      <c r="FJ40" s="83">
        <v>92.481947000000005</v>
      </c>
      <c r="FK40" s="83">
        <v>84.196914000000007</v>
      </c>
      <c r="FL40" s="83">
        <v>31.806009</v>
      </c>
      <c r="FM40" s="83">
        <v>184.09818799999999</v>
      </c>
      <c r="FN40" s="83">
        <v>42.820694000000003</v>
      </c>
      <c r="FO40" s="83">
        <v>128.482078</v>
      </c>
      <c r="FP40" s="83">
        <v>103.632002</v>
      </c>
      <c r="FQ40" s="83">
        <v>125.477746</v>
      </c>
      <c r="FR40" s="83">
        <v>105.246527</v>
      </c>
      <c r="FS40" s="83">
        <v>42.549940999999997</v>
      </c>
      <c r="FT40" s="83">
        <v>189.11832799999999</v>
      </c>
      <c r="FU40" s="83">
        <v>56.517080999999997</v>
      </c>
      <c r="FV40" s="83">
        <v>101.697729</v>
      </c>
      <c r="FW40" s="83">
        <v>83.433503000000002</v>
      </c>
      <c r="FX40" s="83">
        <v>94.068098000000006</v>
      </c>
      <c r="FY40" s="83">
        <v>82.666317000000006</v>
      </c>
      <c r="FZ40" s="83">
        <v>30.670763000000001</v>
      </c>
      <c r="GA40" s="83">
        <v>165.655822</v>
      </c>
      <c r="GB40" s="83">
        <v>40.190109</v>
      </c>
      <c r="GC40" s="83">
        <v>104.245435</v>
      </c>
      <c r="GD40" s="83">
        <v>83.636381</v>
      </c>
      <c r="GE40" s="83">
        <v>99.466526000000002</v>
      </c>
      <c r="GF40" s="83">
        <v>90.555701999999997</v>
      </c>
      <c r="GG40" s="83">
        <v>34.208081</v>
      </c>
      <c r="GH40" s="83">
        <v>154.38806700000001</v>
      </c>
      <c r="GI40" s="83">
        <v>35.910254000000002</v>
      </c>
      <c r="GJ40" s="83">
        <v>120.551447</v>
      </c>
      <c r="GK40" s="83">
        <v>97.235249999999994</v>
      </c>
      <c r="GL40" s="83">
        <v>117.73254900000001</v>
      </c>
      <c r="GM40" s="83">
        <v>98.750100000000003</v>
      </c>
      <c r="GN40" s="83">
        <v>39.923506000000003</v>
      </c>
      <c r="GO40" s="83">
        <v>170.957988</v>
      </c>
      <c r="GP40" s="83">
        <v>51.089869999999998</v>
      </c>
      <c r="GQ40" s="83">
        <v>82.167699999999996</v>
      </c>
      <c r="GR40" s="83">
        <v>67.411023</v>
      </c>
      <c r="GS40" s="83">
        <v>76.003336000000004</v>
      </c>
      <c r="GT40" s="83">
        <v>66.791162999999997</v>
      </c>
      <c r="GU40" s="83">
        <v>24.780777</v>
      </c>
      <c r="GV40" s="83">
        <v>157.06185600000001</v>
      </c>
      <c r="GW40" s="83">
        <v>38.105159999999998</v>
      </c>
      <c r="GX40" s="83">
        <v>109.65155900000001</v>
      </c>
      <c r="GY40" s="83">
        <v>87.973758000000004</v>
      </c>
      <c r="GZ40" s="83">
        <v>104.624753</v>
      </c>
      <c r="HA40" s="83">
        <v>95.251822000000004</v>
      </c>
      <c r="HB40" s="83">
        <v>35.982039</v>
      </c>
      <c r="HC40" s="83">
        <v>145.364091</v>
      </c>
      <c r="HD40" s="83">
        <v>33.811247999999999</v>
      </c>
      <c r="HE40" s="83">
        <v>80.564173999999994</v>
      </c>
      <c r="HF40" s="83">
        <v>64.982037000000005</v>
      </c>
      <c r="HG40" s="83">
        <v>78.680323000000001</v>
      </c>
      <c r="HH40" s="83">
        <v>65.994414000000006</v>
      </c>
      <c r="HI40" s="83">
        <v>26.680786000000001</v>
      </c>
      <c r="HJ40" s="83">
        <v>124.146839</v>
      </c>
      <c r="HK40" s="83">
        <v>37.100678000000002</v>
      </c>
      <c r="HL40" s="83">
        <v>83.014359999999996</v>
      </c>
      <c r="HM40" s="83">
        <v>68.105614000000003</v>
      </c>
      <c r="HN40" s="83">
        <v>76.786485999999996</v>
      </c>
      <c r="HO40" s="83">
        <v>67.479365999999999</v>
      </c>
      <c r="HP40" s="83">
        <v>25.036086999999998</v>
      </c>
      <c r="HQ40" s="83">
        <v>247.63415000000001</v>
      </c>
      <c r="HR40" s="83">
        <v>60.079064000000002</v>
      </c>
      <c r="HS40" s="83">
        <v>142.244269</v>
      </c>
      <c r="HT40" s="83">
        <v>114.122996</v>
      </c>
      <c r="HU40" s="83">
        <v>135.72329999999999</v>
      </c>
      <c r="HV40" s="83">
        <v>123.564376</v>
      </c>
      <c r="HW40" s="83">
        <v>46.677335999999997</v>
      </c>
      <c r="HX40" s="83">
        <v>192.226677</v>
      </c>
      <c r="HY40" s="83">
        <v>44.711402</v>
      </c>
      <c r="HZ40" s="83">
        <v>118.193167</v>
      </c>
      <c r="IA40" s="83">
        <v>95.333088000000004</v>
      </c>
      <c r="IB40" s="83">
        <v>115.429423</v>
      </c>
      <c r="IC40" s="83">
        <v>96.81832</v>
      </c>
      <c r="ID40" s="83">
        <v>39.142527000000001</v>
      </c>
      <c r="IE40" s="83">
        <v>204.91673299999999</v>
      </c>
      <c r="IF40" s="83">
        <v>61.238323999999999</v>
      </c>
      <c r="IG40" s="83">
        <v>125.074613</v>
      </c>
      <c r="IH40" s="83">
        <v>102.61217000000001</v>
      </c>
      <c r="II40" s="83">
        <v>115.6913</v>
      </c>
      <c r="IJ40" s="83">
        <v>101.668622</v>
      </c>
      <c r="IK40" s="83">
        <v>37.720970000000001</v>
      </c>
      <c r="IL40" s="83">
        <v>110.119021</v>
      </c>
      <c r="IM40" s="83">
        <v>26.716253999999999</v>
      </c>
      <c r="IN40" s="83">
        <v>74.971908999999997</v>
      </c>
      <c r="IO40" s="83">
        <v>60.150176000000002</v>
      </c>
      <c r="IP40" s="83">
        <v>71.534936000000002</v>
      </c>
      <c r="IQ40" s="83">
        <v>65.126389000000003</v>
      </c>
      <c r="IR40" s="83">
        <v>24.601928999999998</v>
      </c>
      <c r="IS40" s="83">
        <v>295.742029</v>
      </c>
      <c r="IT40" s="83">
        <v>68.788749999999993</v>
      </c>
      <c r="IU40" s="83">
        <v>168.07592700000001</v>
      </c>
      <c r="IV40" s="83">
        <v>135.56789900000001</v>
      </c>
      <c r="IW40" s="83">
        <v>164.14576600000001</v>
      </c>
      <c r="IX40" s="83">
        <v>137.679956</v>
      </c>
      <c r="IY40" s="83">
        <v>55.662419</v>
      </c>
      <c r="IZ40" s="83">
        <v>200.529279</v>
      </c>
      <c r="JA40" s="83">
        <v>59.927154000000002</v>
      </c>
      <c r="JB40" s="83">
        <v>122.39665100000001</v>
      </c>
      <c r="JC40" s="83">
        <v>100.41515200000001</v>
      </c>
      <c r="JD40" s="83">
        <v>113.21424500000001</v>
      </c>
      <c r="JE40" s="83">
        <v>99.491803000000004</v>
      </c>
      <c r="JF40" s="83">
        <v>36.913333000000002</v>
      </c>
      <c r="JG40" s="83">
        <v>171.817196</v>
      </c>
      <c r="JH40" s="83">
        <v>41.684975000000001</v>
      </c>
      <c r="JI40" s="83">
        <v>108.12269499999999</v>
      </c>
      <c r="JJ40" s="83">
        <v>86.747150000000005</v>
      </c>
      <c r="JK40" s="83">
        <v>103.16597899999999</v>
      </c>
      <c r="JL40" s="83">
        <v>93.923727999999997</v>
      </c>
      <c r="JM40" s="83">
        <v>35.480369000000003</v>
      </c>
      <c r="JN40" s="83">
        <v>115.361318</v>
      </c>
      <c r="JO40" s="83">
        <v>30.635390000000001</v>
      </c>
      <c r="JP40" s="83">
        <v>75.977363999999994</v>
      </c>
      <c r="JQ40" s="83">
        <v>62.655588999999999</v>
      </c>
      <c r="JR40" s="83">
        <v>71.389696000000001</v>
      </c>
      <c r="JS40" s="83">
        <v>115.45205199999999</v>
      </c>
      <c r="JT40" s="83">
        <v>140.569098</v>
      </c>
      <c r="JU40" s="83">
        <v>84.828568000000004</v>
      </c>
      <c r="JV40" s="83">
        <v>114.539546</v>
      </c>
      <c r="JW40" s="83">
        <v>96.977070999999995</v>
      </c>
      <c r="JX40" s="83">
        <v>97.679395999999997</v>
      </c>
      <c r="JY40" s="83">
        <v>93.382068000000004</v>
      </c>
      <c r="JZ40" s="83">
        <v>97.167681000000002</v>
      </c>
      <c r="KA40" s="83">
        <v>108.57117100000001</v>
      </c>
      <c r="KB40" s="83">
        <v>104.348777</v>
      </c>
      <c r="KC40" s="83">
        <v>114.384638</v>
      </c>
      <c r="KD40" s="83">
        <v>91.101883999999998</v>
      </c>
      <c r="KE40" s="83">
        <v>89.736706999999996</v>
      </c>
      <c r="KF40" s="83">
        <v>90.491973000000002</v>
      </c>
      <c r="KG40" s="83">
        <v>97.548591999999999</v>
      </c>
      <c r="KH40" s="83">
        <v>110.97637400000001</v>
      </c>
      <c r="KI40" s="83">
        <v>76.876086000000001</v>
      </c>
      <c r="KJ40" s="83">
        <v>80.791059000000004</v>
      </c>
      <c r="KK40" s="83">
        <v>88.616455000000002</v>
      </c>
      <c r="KL40" s="83">
        <v>87.754626999999999</v>
      </c>
      <c r="KM40" s="83">
        <v>90.095181999999994</v>
      </c>
      <c r="KN40" s="83">
        <v>89.477676000000002</v>
      </c>
      <c r="KO40" s="83">
        <v>108.94388600000001</v>
      </c>
      <c r="KP40" s="83">
        <v>100.63327700000001</v>
      </c>
      <c r="KQ40" s="83">
        <v>135.87981400000001</v>
      </c>
      <c r="KR40" s="83">
        <v>85.136105000000001</v>
      </c>
      <c r="KS40" s="83">
        <v>85.752705000000006</v>
      </c>
      <c r="KT40" s="83">
        <v>81.980074999999999</v>
      </c>
      <c r="KU40" s="83">
        <v>85.303477000000001</v>
      </c>
      <c r="KV40" s="83">
        <v>95.314588999999998</v>
      </c>
      <c r="KW40" s="83">
        <v>88.651049999999998</v>
      </c>
      <c r="KX40" s="83">
        <v>97.177154999999999</v>
      </c>
      <c r="KY40" s="83">
        <v>89.928331999999997</v>
      </c>
      <c r="KZ40" s="83">
        <v>88.580719999999999</v>
      </c>
      <c r="LA40" s="83">
        <v>89.326272000000003</v>
      </c>
      <c r="LB40" s="83">
        <v>96.291995</v>
      </c>
      <c r="LC40" s="83">
        <v>109.546798</v>
      </c>
      <c r="LD40" s="83">
        <v>91.481964000000005</v>
      </c>
      <c r="LE40" s="83">
        <v>96.140753000000004</v>
      </c>
      <c r="LF40" s="83">
        <v>100.563901</v>
      </c>
      <c r="LG40" s="83">
        <v>99.585885000000005</v>
      </c>
      <c r="LH40" s="83">
        <v>102.24199</v>
      </c>
      <c r="LI40" s="83">
        <v>101.54123300000001</v>
      </c>
      <c r="LJ40" s="83">
        <v>123.631902</v>
      </c>
      <c r="LK40" s="83">
        <v>104.373986</v>
      </c>
      <c r="LL40" s="83">
        <v>140.93068400000001</v>
      </c>
      <c r="LM40" s="83">
        <v>92.593584000000007</v>
      </c>
      <c r="LN40" s="83">
        <v>93.264190999999997</v>
      </c>
      <c r="LO40" s="83">
        <v>89.161106000000004</v>
      </c>
      <c r="LP40" s="83">
        <v>92.775613000000007</v>
      </c>
      <c r="LQ40" s="83">
        <v>103.663642</v>
      </c>
      <c r="LR40" s="83">
        <v>75.403874999999999</v>
      </c>
      <c r="LS40" s="83">
        <v>82.655930999999995</v>
      </c>
      <c r="LT40" s="83">
        <v>76.490295000000003</v>
      </c>
      <c r="LU40" s="83">
        <v>75.344067999999993</v>
      </c>
      <c r="LV40" s="83">
        <v>75.978210000000004</v>
      </c>
      <c r="LW40" s="83">
        <v>81.903041999999999</v>
      </c>
      <c r="LX40" s="83">
        <v>93.177181000000004</v>
      </c>
      <c r="LY40" s="83">
        <v>87.327105000000003</v>
      </c>
      <c r="LZ40" s="83">
        <v>91.774308000000005</v>
      </c>
      <c r="MA40" s="83">
        <v>102.097831</v>
      </c>
      <c r="MB40" s="83">
        <v>101.104899</v>
      </c>
      <c r="MC40" s="83">
        <v>103.801529</v>
      </c>
      <c r="MD40" s="83">
        <v>103.09007800000001</v>
      </c>
      <c r="ME40" s="83">
        <v>125.517714</v>
      </c>
      <c r="MF40" s="83">
        <v>107.676035</v>
      </c>
      <c r="MG40" s="83">
        <v>145.38927000000001</v>
      </c>
      <c r="MH40" s="83">
        <v>89.814569000000006</v>
      </c>
      <c r="MI40" s="83">
        <v>90.465051000000003</v>
      </c>
      <c r="MJ40" s="83">
        <v>86.485123999999999</v>
      </c>
      <c r="MK40" s="83">
        <v>89.991145000000003</v>
      </c>
      <c r="ML40" s="83">
        <v>100.552407</v>
      </c>
      <c r="MM40" s="83">
        <v>90.189862000000005</v>
      </c>
      <c r="MN40" s="83">
        <v>98.863978000000003</v>
      </c>
      <c r="MO40" s="83">
        <v>91.489328</v>
      </c>
      <c r="MP40" s="83">
        <v>90.118337999999994</v>
      </c>
      <c r="MQ40" s="83">
        <v>90.876818</v>
      </c>
      <c r="MR40" s="83">
        <v>97.963448</v>
      </c>
      <c r="MS40" s="83">
        <v>111.44833800000001</v>
      </c>
      <c r="MT40" s="83">
        <v>88.191294999999997</v>
      </c>
      <c r="MU40" s="83">
        <v>92.682491999999996</v>
      </c>
      <c r="MV40" s="83">
        <v>103.901077</v>
      </c>
      <c r="MW40" s="83">
        <v>102.89060600000001</v>
      </c>
      <c r="MX40" s="83">
        <v>105.63486</v>
      </c>
      <c r="MY40" s="83">
        <v>104.910842</v>
      </c>
      <c r="MZ40" s="83">
        <v>127.734594</v>
      </c>
      <c r="NA40" s="83">
        <v>102.341795</v>
      </c>
      <c r="NB40" s="83">
        <v>138.18672900000001</v>
      </c>
      <c r="NC40" s="83">
        <v>84.713774000000001</v>
      </c>
      <c r="ND40" s="83">
        <v>85.327324000000004</v>
      </c>
      <c r="NE40" s="83">
        <v>81.573401000000004</v>
      </c>
      <c r="NF40" s="83">
        <v>84.880306000000004</v>
      </c>
      <c r="NG40" s="83">
        <v>94.841776999999993</v>
      </c>
      <c r="NH40" s="83">
        <v>85.814381999999995</v>
      </c>
      <c r="NI40" s="83">
        <v>94.067680999999993</v>
      </c>
      <c r="NJ40" s="83">
        <v>87.050803999999999</v>
      </c>
      <c r="NK40" s="83">
        <v>85.746317000000005</v>
      </c>
      <c r="NL40" s="83">
        <v>86.468006000000003</v>
      </c>
      <c r="NM40" s="83">
        <v>93.210836999999998</v>
      </c>
      <c r="NN40" s="83">
        <v>106.041518</v>
      </c>
      <c r="NO40" s="83">
        <v>78.541173000000001</v>
      </c>
      <c r="NP40" s="83">
        <v>82.540940000000006</v>
      </c>
      <c r="NQ40" s="83">
        <v>87.498036999999997</v>
      </c>
      <c r="NR40" s="83">
        <v>86.647091000000003</v>
      </c>
      <c r="NS40" s="83">
        <v>88.958117999999999</v>
      </c>
      <c r="NT40" s="83">
        <v>88.348394999999996</v>
      </c>
      <c r="NU40" s="83">
        <v>107.56892499999999</v>
      </c>
      <c r="NV40" s="83">
        <v>92.161361999999997</v>
      </c>
      <c r="NW40" s="83">
        <v>124.440634</v>
      </c>
      <c r="NX40" s="83">
        <v>80.675787</v>
      </c>
      <c r="NY40" s="83">
        <v>81.260075999999998</v>
      </c>
      <c r="NZ40" s="83">
        <v>77.685108999999997</v>
      </c>
      <c r="OA40" s="83">
        <v>80.834387000000007</v>
      </c>
      <c r="OB40" s="83">
        <v>90.321016</v>
      </c>
      <c r="OC40" s="83">
        <v>89.653730999999993</v>
      </c>
      <c r="OD40" s="83">
        <v>98.276280999999997</v>
      </c>
      <c r="OE40" s="83">
        <v>90.945464000000001</v>
      </c>
      <c r="OF40" s="83">
        <v>89.582623999999996</v>
      </c>
      <c r="OG40" s="83">
        <v>90.336599000000007</v>
      </c>
      <c r="OH40" s="83">
        <v>97.381106000000003</v>
      </c>
      <c r="OI40" s="83">
        <v>110.78583399999999</v>
      </c>
      <c r="OJ40" s="83">
        <v>89.108825999999993</v>
      </c>
      <c r="OK40" s="83">
        <v>93.646753000000004</v>
      </c>
      <c r="OL40" s="83">
        <v>99.109606999999997</v>
      </c>
      <c r="OM40" s="83">
        <v>98.145734000000004</v>
      </c>
      <c r="ON40" s="83">
        <v>100.763436</v>
      </c>
      <c r="OO40" s="83">
        <v>100.072801</v>
      </c>
      <c r="OP40" s="83">
        <v>121.84401699999999</v>
      </c>
      <c r="OQ40" s="83">
        <v>87.910815999999997</v>
      </c>
      <c r="OR40" s="83">
        <v>118.701334</v>
      </c>
      <c r="OS40" s="83">
        <v>77.080168999999998</v>
      </c>
      <c r="OT40" s="83">
        <v>77.638425999999995</v>
      </c>
      <c r="OU40" s="83">
        <v>74.222776999999994</v>
      </c>
      <c r="OV40" s="83">
        <v>77.231689000000003</v>
      </c>
      <c r="OW40" s="83">
        <v>86.295513999999997</v>
      </c>
      <c r="OX40" s="83">
        <v>72.071860000000001</v>
      </c>
      <c r="OY40" s="83">
        <v>79.003452999999993</v>
      </c>
      <c r="OZ40" s="83">
        <v>73.110274000000004</v>
      </c>
      <c r="PA40" s="83">
        <v>72.014689000000004</v>
      </c>
      <c r="PB40" s="83">
        <v>72.620805000000004</v>
      </c>
      <c r="PC40" s="83">
        <v>78.283820000000006</v>
      </c>
      <c r="PD40" s="83">
        <v>89.059764999999999</v>
      </c>
      <c r="PE40" s="83">
        <v>82.474200999999994</v>
      </c>
      <c r="PF40" s="83">
        <v>86.674267</v>
      </c>
      <c r="PG40" s="83">
        <v>95.060381000000007</v>
      </c>
      <c r="PH40" s="83">
        <v>94.135889000000006</v>
      </c>
      <c r="PI40" s="83">
        <v>96.646647000000002</v>
      </c>
      <c r="PJ40" s="83">
        <v>95.984233000000003</v>
      </c>
      <c r="PK40" s="83">
        <v>116.865956</v>
      </c>
      <c r="PL40" s="83">
        <v>112.79106400000001</v>
      </c>
      <c r="PM40" s="83">
        <v>152.29584299999999</v>
      </c>
      <c r="PN40" s="83">
        <v>95.430809999999994</v>
      </c>
      <c r="PO40" s="83">
        <v>96.121966</v>
      </c>
      <c r="PP40" s="83">
        <v>91.893159999999995</v>
      </c>
      <c r="PQ40" s="83">
        <v>95.618418000000005</v>
      </c>
      <c r="PR40" s="83">
        <v>106.84007800000001</v>
      </c>
      <c r="PS40" s="83">
        <v>77.287477999999993</v>
      </c>
      <c r="PT40" s="83">
        <v>84.720695000000006</v>
      </c>
      <c r="PU40" s="83">
        <v>78.401049</v>
      </c>
      <c r="PV40" s="83">
        <v>77.226187999999993</v>
      </c>
      <c r="PW40" s="83">
        <v>77.876155999999995</v>
      </c>
      <c r="PX40" s="83">
        <v>83.948999000000001</v>
      </c>
      <c r="PY40" s="83">
        <v>95.504767999999999</v>
      </c>
      <c r="PZ40" s="83">
        <v>76.837609</v>
      </c>
      <c r="QA40" s="83">
        <v>80.750629000000004</v>
      </c>
      <c r="QB40" s="83">
        <v>76.157908000000006</v>
      </c>
      <c r="QC40" s="83">
        <v>75.417243999999997</v>
      </c>
      <c r="QD40" s="83">
        <v>77.428738999999993</v>
      </c>
      <c r="QE40" s="83">
        <v>76.898050999999995</v>
      </c>
      <c r="QF40" s="83">
        <v>93.627516</v>
      </c>
      <c r="QG40" s="83">
        <v>80.284256999999997</v>
      </c>
      <c r="QH40" s="83">
        <v>108.40361</v>
      </c>
      <c r="QI40" s="83">
        <v>78.992266999999998</v>
      </c>
      <c r="QJ40" s="83">
        <v>79.564361000000005</v>
      </c>
      <c r="QK40" s="83">
        <v>76.063992999999996</v>
      </c>
      <c r="QL40" s="83">
        <v>79.147548</v>
      </c>
      <c r="QM40" s="83">
        <v>88.436207999999993</v>
      </c>
      <c r="QN40" s="83">
        <v>76.555628999999996</v>
      </c>
      <c r="QO40" s="83">
        <v>83.918453999999997</v>
      </c>
      <c r="QP40" s="83">
        <v>77.658642999999998</v>
      </c>
      <c r="QQ40" s="83">
        <v>76.494909000000007</v>
      </c>
      <c r="QR40" s="83">
        <v>77.138726000000005</v>
      </c>
      <c r="QS40" s="83">
        <v>83.154054000000002</v>
      </c>
    </row>
    <row r="41" spans="6:461" x14ac:dyDescent="0.25">
      <c r="F41" s="82" t="str">
        <f xml:space="preserve"> _xll.EPMOlapMemberO("[PRDDESCR].[].[WONDER GFREE WHITE 470G]","","WONDER GFREE WHITE 470G","","000")</f>
        <v>WONDER GFREE WHITE 470G</v>
      </c>
      <c r="G41" s="82" t="str">
        <f xml:space="preserve"> _xll.EPMOlapMemberO("[PRDID].[].[179649]","","179649","","000")</f>
        <v>179649</v>
      </c>
      <c r="H41" s="82" t="str">
        <f xml:space="preserve"> _xll.EPMOlapMemberO("[LOCID].[].[6134]","","6134","","000")</f>
        <v>6134</v>
      </c>
      <c r="I41" s="82" t="str">
        <f xml:space="preserve"> _xll.EPMOlapMemberO("[LOCDESCR].[].[QBA-West Richmond SA]","","QBA-West Richmond SA","","000")</f>
        <v>QBA-West Richmond SA</v>
      </c>
      <c r="J41" s="82" t="str">
        <f xml:space="preserve"> _xll.EPMOlapMemberO("[KEY_FIGURES].[].[ZGFAPPROVEDFCSTQTY]","","Approved Forecast","","000")</f>
        <v>Approved Forecast</v>
      </c>
      <c r="K41" s="83">
        <v>126.820155</v>
      </c>
      <c r="L41" s="83">
        <v>381.850188</v>
      </c>
      <c r="M41" s="83">
        <v>176.196687</v>
      </c>
      <c r="N41" s="83">
        <v>104.66215699999999</v>
      </c>
      <c r="O41" s="83">
        <v>392.471068</v>
      </c>
      <c r="P41" s="83">
        <v>78.098558999999995</v>
      </c>
      <c r="Q41" s="83">
        <v>333.93444599999998</v>
      </c>
      <c r="R41" s="83">
        <v>113.408427</v>
      </c>
      <c r="S41" s="83">
        <v>344.220574</v>
      </c>
      <c r="T41" s="83">
        <v>151.06817699999999</v>
      </c>
      <c r="U41" s="83">
        <v>92.946636999999996</v>
      </c>
      <c r="V41" s="83">
        <v>400.967558</v>
      </c>
      <c r="W41" s="83">
        <v>80.766013000000001</v>
      </c>
      <c r="X41" s="83">
        <v>352.568623</v>
      </c>
      <c r="Y41" s="83">
        <v>119.60424</v>
      </c>
      <c r="Z41" s="83">
        <v>366.21600899999999</v>
      </c>
      <c r="AA41" s="83">
        <v>158.81996100000001</v>
      </c>
      <c r="AB41" s="83">
        <v>98.326313999999996</v>
      </c>
      <c r="AC41" s="83">
        <v>416.85413499999999</v>
      </c>
      <c r="AD41" s="83">
        <v>85.277840999999995</v>
      </c>
      <c r="AE41" s="83">
        <v>346.59225600000002</v>
      </c>
      <c r="AF41" s="83">
        <v>117.94438599999999</v>
      </c>
      <c r="AG41" s="83">
        <v>358.416224</v>
      </c>
      <c r="AH41" s="83">
        <v>157.015176</v>
      </c>
      <c r="AI41" s="83">
        <v>94.303982000000005</v>
      </c>
      <c r="AJ41" s="83">
        <v>407.22691300000002</v>
      </c>
      <c r="AK41" s="83">
        <v>79.574066000000002</v>
      </c>
      <c r="AL41" s="83">
        <v>346.17704700000002</v>
      </c>
      <c r="AM41" s="83">
        <v>117.63749799999999</v>
      </c>
      <c r="AN41" s="83">
        <v>358.72447899999997</v>
      </c>
      <c r="AO41" s="83">
        <v>156.55591899999999</v>
      </c>
      <c r="AP41" s="83">
        <v>93.447574000000003</v>
      </c>
      <c r="AQ41" s="83">
        <v>405.003063</v>
      </c>
      <c r="AR41" s="83">
        <v>78.214388</v>
      </c>
      <c r="AS41" s="83">
        <v>355.83665000000002</v>
      </c>
      <c r="AT41" s="83">
        <v>120.87792</v>
      </c>
      <c r="AU41" s="83">
        <v>368.21766000000002</v>
      </c>
      <c r="AV41" s="83">
        <v>160.96059500000001</v>
      </c>
      <c r="AW41" s="83">
        <v>96.229309000000001</v>
      </c>
      <c r="AX41" s="83">
        <v>440.27202</v>
      </c>
      <c r="AY41" s="83">
        <v>86.607892000000007</v>
      </c>
      <c r="AZ41" s="83">
        <v>362.07448499999998</v>
      </c>
      <c r="BA41" s="83">
        <v>122.51194700000001</v>
      </c>
      <c r="BB41" s="83">
        <v>375.36527699999999</v>
      </c>
      <c r="BC41" s="83">
        <v>163.20767599999999</v>
      </c>
      <c r="BD41" s="83">
        <v>96.496369999999999</v>
      </c>
      <c r="BE41" s="83">
        <v>404.56632000000002</v>
      </c>
      <c r="BF41" s="83">
        <v>78.640844999999999</v>
      </c>
      <c r="BG41" s="83">
        <v>343.50335100000001</v>
      </c>
      <c r="BH41" s="83">
        <v>116.396049</v>
      </c>
      <c r="BI41" s="83">
        <v>356.02774399999998</v>
      </c>
      <c r="BJ41" s="83">
        <v>155.01238499999999</v>
      </c>
      <c r="BK41" s="83">
        <v>91.958583000000004</v>
      </c>
      <c r="BL41" s="83">
        <v>398.63178399999998</v>
      </c>
      <c r="BM41" s="83">
        <v>79.722314999999995</v>
      </c>
      <c r="BN41" s="83">
        <v>352.73333200000002</v>
      </c>
      <c r="BO41" s="83">
        <v>120.778671</v>
      </c>
      <c r="BP41" s="83">
        <v>362.594649</v>
      </c>
      <c r="BQ41" s="83">
        <v>160.845189</v>
      </c>
      <c r="BR41" s="83">
        <v>98.726709999999997</v>
      </c>
      <c r="BS41" s="83">
        <v>483.64408300000002</v>
      </c>
      <c r="BT41" s="83">
        <v>95.511133999999998</v>
      </c>
      <c r="BU41" s="83">
        <v>401.78202499999998</v>
      </c>
      <c r="BV41" s="83">
        <v>136.62019000000001</v>
      </c>
      <c r="BW41" s="83">
        <v>416.51488899999998</v>
      </c>
      <c r="BX41" s="83">
        <v>181.76207500000001</v>
      </c>
      <c r="BY41" s="83">
        <v>108.560733</v>
      </c>
      <c r="BZ41" s="83">
        <v>386.182321</v>
      </c>
      <c r="CA41" s="83">
        <v>75.708410999999998</v>
      </c>
      <c r="CB41" s="83">
        <v>329.80333300000001</v>
      </c>
      <c r="CC41" s="83">
        <v>111.692267</v>
      </c>
      <c r="CD41" s="83">
        <v>340.62281000000002</v>
      </c>
      <c r="CE41" s="83">
        <v>148.95033699999999</v>
      </c>
      <c r="CF41" s="83">
        <v>88.778184999999993</v>
      </c>
      <c r="CG41" s="83">
        <v>453.23559899999998</v>
      </c>
      <c r="CH41" s="83">
        <v>86.268259</v>
      </c>
      <c r="CI41" s="83">
        <v>381.65243800000002</v>
      </c>
      <c r="CJ41" s="83">
        <v>128.45839100000001</v>
      </c>
      <c r="CK41" s="83">
        <v>397.05129699999998</v>
      </c>
      <c r="CL41" s="83">
        <v>171.16586599999999</v>
      </c>
      <c r="CM41" s="83">
        <v>99.511628999999999</v>
      </c>
      <c r="CN41" s="83">
        <v>421.158884</v>
      </c>
      <c r="CO41" s="83">
        <v>80.006901999999997</v>
      </c>
      <c r="CP41" s="83">
        <v>354.68296800000002</v>
      </c>
      <c r="CQ41" s="83">
        <v>119.16569699999999</v>
      </c>
      <c r="CR41" s="83">
        <v>368.85272600000002</v>
      </c>
      <c r="CS41" s="83">
        <v>158.882688</v>
      </c>
      <c r="CT41" s="83">
        <v>92.081235000000007</v>
      </c>
      <c r="CU41" s="83">
        <v>411.83632299999999</v>
      </c>
      <c r="CV41" s="83">
        <v>80.640985000000001</v>
      </c>
      <c r="CW41" s="83">
        <v>351.07938799999999</v>
      </c>
      <c r="CX41" s="83">
        <v>119.06379</v>
      </c>
      <c r="CY41" s="83">
        <v>363.07210700000002</v>
      </c>
      <c r="CZ41" s="83">
        <v>158.64963800000001</v>
      </c>
      <c r="DA41" s="83">
        <v>94.623913999999999</v>
      </c>
      <c r="DB41" s="83">
        <v>425.33792399999999</v>
      </c>
      <c r="DC41" s="83">
        <v>84.307176999999996</v>
      </c>
      <c r="DD41" s="83">
        <v>375.00625700000001</v>
      </c>
      <c r="DE41" s="83">
        <v>128.03813400000001</v>
      </c>
      <c r="DF41" s="83">
        <v>386.074321</v>
      </c>
      <c r="DG41" s="83">
        <v>170.557804</v>
      </c>
      <c r="DH41" s="83">
        <v>103.85547</v>
      </c>
      <c r="DI41" s="83">
        <v>438.97267299999999</v>
      </c>
      <c r="DJ41" s="83">
        <v>87.105857999999998</v>
      </c>
      <c r="DK41" s="83">
        <v>384.63073200000002</v>
      </c>
      <c r="DL41" s="83">
        <v>130.39338799999999</v>
      </c>
      <c r="DM41" s="83">
        <v>401.42479700000001</v>
      </c>
      <c r="DN41" s="83">
        <v>173.217375</v>
      </c>
      <c r="DO41" s="83">
        <v>101.673276</v>
      </c>
      <c r="DP41" s="83">
        <v>422.09238699999997</v>
      </c>
      <c r="DQ41" s="83">
        <v>80.405113999999998</v>
      </c>
      <c r="DR41" s="83">
        <v>336.60551700000002</v>
      </c>
      <c r="DS41" s="83">
        <v>114.20314999999999</v>
      </c>
      <c r="DT41" s="83">
        <v>348.24190700000003</v>
      </c>
      <c r="DU41" s="83">
        <v>152.134882</v>
      </c>
      <c r="DV41" s="83">
        <v>90.756445999999997</v>
      </c>
      <c r="DW41" s="83">
        <v>381.71361000000002</v>
      </c>
      <c r="DX41" s="83">
        <v>74.562111000000002</v>
      </c>
      <c r="DY41" s="83">
        <v>325.43490600000001</v>
      </c>
      <c r="DZ41" s="83">
        <v>110.123648</v>
      </c>
      <c r="EA41" s="83">
        <v>336.40012400000001</v>
      </c>
      <c r="EB41" s="83">
        <v>146.84751299999999</v>
      </c>
      <c r="EC41" s="83">
        <v>87.257684999999995</v>
      </c>
      <c r="ED41" s="83">
        <v>398.51754199999999</v>
      </c>
      <c r="EE41" s="83">
        <v>77.959764000000007</v>
      </c>
      <c r="EF41" s="83">
        <v>339.44263599999999</v>
      </c>
      <c r="EG41" s="83">
        <v>115.15388</v>
      </c>
      <c r="EH41" s="83">
        <v>351.23046299999999</v>
      </c>
      <c r="EI41" s="83">
        <v>153.39779200000001</v>
      </c>
      <c r="EJ41" s="83">
        <v>91.468180000000004</v>
      </c>
      <c r="EK41" s="83">
        <v>407.18550399999998</v>
      </c>
      <c r="EL41" s="83">
        <v>80.109955999999997</v>
      </c>
      <c r="EM41" s="83">
        <v>364.49981100000002</v>
      </c>
      <c r="EN41" s="83">
        <v>124.25126</v>
      </c>
      <c r="EO41" s="83">
        <v>374.98705999999999</v>
      </c>
      <c r="EP41" s="83">
        <v>165.62574799999999</v>
      </c>
      <c r="EQ41" s="83">
        <v>100.647954</v>
      </c>
      <c r="ER41" s="83">
        <v>416.44653299999999</v>
      </c>
      <c r="ES41" s="83">
        <v>82.706199999999995</v>
      </c>
      <c r="ET41" s="83">
        <v>342.21871900000002</v>
      </c>
      <c r="EU41" s="83">
        <v>115.734934</v>
      </c>
      <c r="EV41" s="83">
        <v>353.70734800000002</v>
      </c>
      <c r="EW41" s="83">
        <v>154.36094600000001</v>
      </c>
      <c r="EX41" s="83">
        <v>91.630162999999996</v>
      </c>
      <c r="EY41" s="83">
        <v>453.755988</v>
      </c>
      <c r="EZ41" s="83">
        <v>88.008043999999998</v>
      </c>
      <c r="FA41" s="83">
        <v>409.423878</v>
      </c>
      <c r="FB41" s="83">
        <v>138.540108</v>
      </c>
      <c r="FC41" s="83">
        <v>420.80487299999999</v>
      </c>
      <c r="FD41" s="83">
        <v>185.10259099999999</v>
      </c>
      <c r="FE41" s="83">
        <v>111.01310599999999</v>
      </c>
      <c r="FF41" s="83">
        <v>419.77759400000002</v>
      </c>
      <c r="FG41" s="83">
        <v>82.442176000000003</v>
      </c>
      <c r="FH41" s="83">
        <v>362.02604700000001</v>
      </c>
      <c r="FI41" s="83">
        <v>121.425371</v>
      </c>
      <c r="FJ41" s="83">
        <v>379.43468200000001</v>
      </c>
      <c r="FK41" s="83">
        <v>161.530193</v>
      </c>
      <c r="FL41" s="83">
        <v>92.013019999999997</v>
      </c>
      <c r="FM41" s="83">
        <v>441.26676099999997</v>
      </c>
      <c r="FN41" s="83">
        <v>82.837922000000006</v>
      </c>
      <c r="FO41" s="83">
        <v>360.19908299999997</v>
      </c>
      <c r="FP41" s="83">
        <v>122.069818</v>
      </c>
      <c r="FQ41" s="83">
        <v>371.33927599999998</v>
      </c>
      <c r="FR41" s="83">
        <v>162.86012500000001</v>
      </c>
      <c r="FS41" s="83">
        <v>97.492144999999994</v>
      </c>
      <c r="FT41" s="83">
        <v>460.274764</v>
      </c>
      <c r="FU41" s="83">
        <v>93.617592000000002</v>
      </c>
      <c r="FV41" s="83">
        <v>380.23425500000002</v>
      </c>
      <c r="FW41" s="83">
        <v>129.617323</v>
      </c>
      <c r="FX41" s="83">
        <v>391.45627899999999</v>
      </c>
      <c r="FY41" s="83">
        <v>172.73548400000001</v>
      </c>
      <c r="FZ41" s="83">
        <v>104.852529</v>
      </c>
      <c r="GA41" s="83">
        <v>416.21514500000001</v>
      </c>
      <c r="GB41" s="83">
        <v>79.274309000000002</v>
      </c>
      <c r="GC41" s="83">
        <v>349.94183399999997</v>
      </c>
      <c r="GD41" s="83">
        <v>118.094786</v>
      </c>
      <c r="GE41" s="83">
        <v>364.56077299999998</v>
      </c>
      <c r="GF41" s="83">
        <v>157.17062100000001</v>
      </c>
      <c r="GG41" s="83">
        <v>91.664418999999995</v>
      </c>
      <c r="GH41" s="83">
        <v>390.82578599999999</v>
      </c>
      <c r="GI41" s="83">
        <v>74.602596000000005</v>
      </c>
      <c r="GJ41" s="83">
        <v>355.77287999999999</v>
      </c>
      <c r="GK41" s="83">
        <v>120.875567</v>
      </c>
      <c r="GL41" s="83">
        <v>367.56025399999999</v>
      </c>
      <c r="GM41" s="83">
        <v>161.03886299999999</v>
      </c>
      <c r="GN41" s="83">
        <v>96.559493000000003</v>
      </c>
      <c r="GO41" s="83">
        <v>408.24208299999998</v>
      </c>
      <c r="GP41" s="83">
        <v>80.213686999999993</v>
      </c>
      <c r="GQ41" s="83">
        <v>322.614802</v>
      </c>
      <c r="GR41" s="83">
        <v>108.607007</v>
      </c>
      <c r="GS41" s="83">
        <v>335.62258000000003</v>
      </c>
      <c r="GT41" s="83">
        <v>144.708922</v>
      </c>
      <c r="GU41" s="83">
        <v>84.166229000000001</v>
      </c>
      <c r="GV41" s="83">
        <v>436.36345899999998</v>
      </c>
      <c r="GW41" s="83">
        <v>84.804495000000003</v>
      </c>
      <c r="GX41" s="83">
        <v>383.93667299999998</v>
      </c>
      <c r="GY41" s="83">
        <v>130.42781600000001</v>
      </c>
      <c r="GZ41" s="83">
        <v>396.53153600000002</v>
      </c>
      <c r="HA41" s="83">
        <v>173.78978599999999</v>
      </c>
      <c r="HB41" s="83">
        <v>104.231948</v>
      </c>
      <c r="HC41" s="83">
        <v>447.70289700000001</v>
      </c>
      <c r="HD41" s="83">
        <v>88.133643000000006</v>
      </c>
      <c r="HE41" s="83">
        <v>370.63867599999998</v>
      </c>
      <c r="HF41" s="83">
        <v>125.086246</v>
      </c>
      <c r="HG41" s="83">
        <v>383.295635</v>
      </c>
      <c r="HH41" s="83">
        <v>166.89520099999999</v>
      </c>
      <c r="HI41" s="83">
        <v>98.559229999999999</v>
      </c>
      <c r="HJ41" s="83">
        <v>435.597084</v>
      </c>
      <c r="HK41" s="83">
        <v>84.765533000000005</v>
      </c>
      <c r="HL41" s="83">
        <v>399.46818999999999</v>
      </c>
      <c r="HM41" s="83">
        <v>135.341139</v>
      </c>
      <c r="HN41" s="83">
        <v>415.72360900000001</v>
      </c>
      <c r="HO41" s="83">
        <v>179.99658099999999</v>
      </c>
      <c r="HP41" s="83">
        <v>106.027339</v>
      </c>
      <c r="HQ41" s="83">
        <v>469.68368600000002</v>
      </c>
      <c r="HR41" s="83">
        <v>90.420050000000003</v>
      </c>
      <c r="HS41" s="83">
        <v>378.024112</v>
      </c>
      <c r="HT41" s="83">
        <v>127.83437000000001</v>
      </c>
      <c r="HU41" s="83">
        <v>390.65252600000002</v>
      </c>
      <c r="HV41" s="83">
        <v>170.511066</v>
      </c>
      <c r="HW41" s="83">
        <v>101.227942</v>
      </c>
      <c r="HX41" s="83">
        <v>447.650916</v>
      </c>
      <c r="HY41" s="83">
        <v>87.041047000000006</v>
      </c>
      <c r="HZ41" s="83">
        <v>380.59088300000002</v>
      </c>
      <c r="IA41" s="83">
        <v>128.44401199999999</v>
      </c>
      <c r="IB41" s="83">
        <v>393.46579500000001</v>
      </c>
      <c r="IC41" s="83">
        <v>171.39383100000001</v>
      </c>
      <c r="ID41" s="83">
        <v>101.266464</v>
      </c>
      <c r="IE41" s="83">
        <v>439.09170899999998</v>
      </c>
      <c r="IF41" s="83">
        <v>85.341500999999994</v>
      </c>
      <c r="IG41" s="83">
        <v>363.57761399999998</v>
      </c>
      <c r="IH41" s="83">
        <v>122.689739</v>
      </c>
      <c r="II41" s="83">
        <v>376.19978300000002</v>
      </c>
      <c r="IJ41" s="83">
        <v>163.671716</v>
      </c>
      <c r="IK41" s="83">
        <v>96.545558</v>
      </c>
      <c r="IL41" s="83">
        <v>423.17716300000001</v>
      </c>
      <c r="IM41" s="83">
        <v>84.189057000000005</v>
      </c>
      <c r="IN41" s="83">
        <v>394.45624500000002</v>
      </c>
      <c r="IO41" s="83">
        <v>134.02719500000001</v>
      </c>
      <c r="IP41" s="83">
        <v>408.86801400000002</v>
      </c>
      <c r="IQ41" s="83">
        <v>178.356528</v>
      </c>
      <c r="IR41" s="83">
        <v>106.384677</v>
      </c>
      <c r="IS41" s="83">
        <v>468.59463899999997</v>
      </c>
      <c r="IT41" s="83">
        <v>90.021581999999995</v>
      </c>
      <c r="IU41" s="83">
        <v>364.07363900000001</v>
      </c>
      <c r="IV41" s="83">
        <v>123.262897</v>
      </c>
      <c r="IW41" s="83">
        <v>376.02180499999997</v>
      </c>
      <c r="IX41" s="83">
        <v>164.39259100000001</v>
      </c>
      <c r="IY41" s="83">
        <v>97.922912999999994</v>
      </c>
      <c r="IZ41" s="83">
        <v>451.53887400000002</v>
      </c>
      <c r="JA41" s="83">
        <v>88.642347000000001</v>
      </c>
      <c r="JB41" s="83">
        <v>386.11088100000001</v>
      </c>
      <c r="JC41" s="83">
        <v>130.69032100000001</v>
      </c>
      <c r="JD41" s="83">
        <v>398.43831999999998</v>
      </c>
      <c r="JE41" s="83">
        <v>174.361954</v>
      </c>
      <c r="JF41" s="83">
        <v>103.953991</v>
      </c>
      <c r="JG41" s="83">
        <v>405.57135899999997</v>
      </c>
      <c r="JH41" s="83">
        <v>77.993249000000006</v>
      </c>
      <c r="JI41" s="83">
        <v>342.75975599999998</v>
      </c>
      <c r="JJ41" s="83">
        <v>115.80916000000001</v>
      </c>
      <c r="JK41" s="83">
        <v>356.05711500000001</v>
      </c>
      <c r="JL41" s="83">
        <v>154.23159899999999</v>
      </c>
      <c r="JM41" s="83">
        <v>90.612594000000001</v>
      </c>
      <c r="JN41" s="83">
        <v>280.44340999999997</v>
      </c>
      <c r="JO41" s="83">
        <v>75.929691000000005</v>
      </c>
      <c r="JP41" s="83">
        <v>259.21223300000003</v>
      </c>
      <c r="JQ41" s="83">
        <v>102.171177</v>
      </c>
      <c r="JR41" s="83">
        <v>258.38302099999999</v>
      </c>
      <c r="JS41" s="83">
        <v>282.69332100000003</v>
      </c>
      <c r="JT41" s="83">
        <v>280.14458300000001</v>
      </c>
      <c r="JU41" s="83">
        <v>221.12095299999999</v>
      </c>
      <c r="JV41" s="83">
        <v>221.77861999999999</v>
      </c>
      <c r="JW41" s="83">
        <v>235.40219099999999</v>
      </c>
      <c r="JX41" s="83">
        <v>232.47672900000001</v>
      </c>
      <c r="JY41" s="83">
        <v>232.119024</v>
      </c>
      <c r="JZ41" s="83">
        <v>234.56709799999999</v>
      </c>
      <c r="KA41" s="83">
        <v>232.65233599999999</v>
      </c>
      <c r="KB41" s="83">
        <v>243.92793599999999</v>
      </c>
      <c r="KC41" s="83">
        <v>244.66193200000001</v>
      </c>
      <c r="KD41" s="83">
        <v>234.397538</v>
      </c>
      <c r="KE41" s="83">
        <v>231.13244599999999</v>
      </c>
      <c r="KF41" s="83">
        <v>230.73322999999999</v>
      </c>
      <c r="KG41" s="83">
        <v>233.46551700000001</v>
      </c>
      <c r="KH41" s="83">
        <v>231.32850999999999</v>
      </c>
      <c r="KI41" s="83">
        <v>222.24998400000001</v>
      </c>
      <c r="KJ41" s="83">
        <v>222.905765</v>
      </c>
      <c r="KK41" s="83">
        <v>237.61188799999999</v>
      </c>
      <c r="KL41" s="83">
        <v>234.694793</v>
      </c>
      <c r="KM41" s="83">
        <v>234.33813000000001</v>
      </c>
      <c r="KN41" s="83">
        <v>236.77913000000001</v>
      </c>
      <c r="KO41" s="83">
        <v>234.86993699999999</v>
      </c>
      <c r="KP41" s="83">
        <v>238.88860700000001</v>
      </c>
      <c r="KQ41" s="83">
        <v>239.652424</v>
      </c>
      <c r="KR41" s="83">
        <v>229.99852799999999</v>
      </c>
      <c r="KS41" s="83">
        <v>226.60092399999999</v>
      </c>
      <c r="KT41" s="83">
        <v>226.185473</v>
      </c>
      <c r="KU41" s="83">
        <v>229.02865</v>
      </c>
      <c r="KV41" s="83">
        <v>226.804925</v>
      </c>
      <c r="KW41" s="83">
        <v>222.01754199999999</v>
      </c>
      <c r="KX41" s="83">
        <v>222.72890000000001</v>
      </c>
      <c r="KY41" s="83">
        <v>224.748954</v>
      </c>
      <c r="KZ41" s="83">
        <v>221.58463599999999</v>
      </c>
      <c r="LA41" s="83">
        <v>221.19775999999999</v>
      </c>
      <c r="LB41" s="83">
        <v>223.84568999999999</v>
      </c>
      <c r="LC41" s="83">
        <v>221.774677</v>
      </c>
      <c r="LD41" s="83">
        <v>222.58914100000001</v>
      </c>
      <c r="LE41" s="83">
        <v>223.278018</v>
      </c>
      <c r="LF41" s="83">
        <v>233.68674300000001</v>
      </c>
      <c r="LG41" s="83">
        <v>230.62239299999999</v>
      </c>
      <c r="LH41" s="83">
        <v>230.24770100000001</v>
      </c>
      <c r="LI41" s="83">
        <v>232.812014</v>
      </c>
      <c r="LJ41" s="83">
        <v>230.80636899999999</v>
      </c>
      <c r="LK41" s="83">
        <v>227.534379</v>
      </c>
      <c r="LL41" s="83">
        <v>228.21718899999999</v>
      </c>
      <c r="LM41" s="83">
        <v>221.92146399999999</v>
      </c>
      <c r="LN41" s="83">
        <v>218.884218</v>
      </c>
      <c r="LO41" s="83">
        <v>218.51284999999999</v>
      </c>
      <c r="LP41" s="83">
        <v>221.05445499999999</v>
      </c>
      <c r="LQ41" s="83">
        <v>219.06657100000001</v>
      </c>
      <c r="LR41" s="83">
        <v>220.33833799999999</v>
      </c>
      <c r="LS41" s="83">
        <v>221.03866400000001</v>
      </c>
      <c r="LT41" s="83">
        <v>223.02744100000001</v>
      </c>
      <c r="LU41" s="83">
        <v>219.91215299999999</v>
      </c>
      <c r="LV41" s="83">
        <v>219.53125399999999</v>
      </c>
      <c r="LW41" s="83">
        <v>222.138158</v>
      </c>
      <c r="LX41" s="83">
        <v>220.09921399999999</v>
      </c>
      <c r="LY41" s="83">
        <v>214.06314800000001</v>
      </c>
      <c r="LZ41" s="83">
        <v>214.75263200000001</v>
      </c>
      <c r="MA41" s="83">
        <v>228.85491999999999</v>
      </c>
      <c r="MB41" s="83">
        <v>225.78791799999999</v>
      </c>
      <c r="MC41" s="83">
        <v>225.41292200000001</v>
      </c>
      <c r="MD41" s="83">
        <v>227.97941800000001</v>
      </c>
      <c r="ME41" s="83">
        <v>225.972071</v>
      </c>
      <c r="MF41" s="83">
        <v>248.24479299999999</v>
      </c>
      <c r="MG41" s="83">
        <v>248.95945399999999</v>
      </c>
      <c r="MH41" s="83">
        <v>235.570965</v>
      </c>
      <c r="MI41" s="83">
        <v>232.39187899999999</v>
      </c>
      <c r="MJ41" s="83">
        <v>232.00315399999999</v>
      </c>
      <c r="MK41" s="83">
        <v>234.66349399999999</v>
      </c>
      <c r="ML41" s="83">
        <v>232.58275699999999</v>
      </c>
      <c r="MM41" s="83">
        <v>220.19294600000001</v>
      </c>
      <c r="MN41" s="83">
        <v>220.911845</v>
      </c>
      <c r="MO41" s="83">
        <v>222.95331400000001</v>
      </c>
      <c r="MP41" s="83">
        <v>219.75548499999999</v>
      </c>
      <c r="MQ41" s="83">
        <v>219.36447999999999</v>
      </c>
      <c r="MR41" s="83">
        <v>222.040525</v>
      </c>
      <c r="MS41" s="83">
        <v>219.94749400000001</v>
      </c>
      <c r="MT41" s="83">
        <v>209.81270699999999</v>
      </c>
      <c r="MU41" s="83">
        <v>210.555114</v>
      </c>
      <c r="MV41" s="83">
        <v>224.43498299999999</v>
      </c>
      <c r="MW41" s="83">
        <v>221.132563</v>
      </c>
      <c r="MX41" s="83">
        <v>220.728759</v>
      </c>
      <c r="MY41" s="83">
        <v>223.492278</v>
      </c>
      <c r="MZ41" s="83">
        <v>221.33085800000001</v>
      </c>
      <c r="NA41" s="83">
        <v>256.11519399999997</v>
      </c>
      <c r="NB41" s="83">
        <v>256.88167800000002</v>
      </c>
      <c r="NC41" s="83">
        <v>242.25572</v>
      </c>
      <c r="ND41" s="83">
        <v>238.84609</v>
      </c>
      <c r="NE41" s="83">
        <v>238.42919699999999</v>
      </c>
      <c r="NF41" s="83">
        <v>241.28243000000001</v>
      </c>
      <c r="NG41" s="83">
        <v>239.05082300000001</v>
      </c>
      <c r="NH41" s="83">
        <v>239.15925100000001</v>
      </c>
      <c r="NI41" s="83">
        <v>239.952112</v>
      </c>
      <c r="NJ41" s="83">
        <v>242.203609</v>
      </c>
      <c r="NK41" s="83">
        <v>238.676773</v>
      </c>
      <c r="NL41" s="83">
        <v>238.24553499999999</v>
      </c>
      <c r="NM41" s="83">
        <v>241.196865</v>
      </c>
      <c r="NN41" s="83">
        <v>238.88853499999999</v>
      </c>
      <c r="NO41" s="83">
        <v>215.577212</v>
      </c>
      <c r="NP41" s="83">
        <v>216.25857600000001</v>
      </c>
      <c r="NQ41" s="83">
        <v>227.693748</v>
      </c>
      <c r="NR41" s="83">
        <v>224.66286500000001</v>
      </c>
      <c r="NS41" s="83">
        <v>224.292283</v>
      </c>
      <c r="NT41" s="83">
        <v>226.82856699999999</v>
      </c>
      <c r="NU41" s="83">
        <v>224.844865</v>
      </c>
      <c r="NV41" s="83">
        <v>228.17189300000001</v>
      </c>
      <c r="NW41" s="83">
        <v>228.86524499999999</v>
      </c>
      <c r="NX41" s="83">
        <v>221.870588</v>
      </c>
      <c r="NY41" s="83">
        <v>218.786586</v>
      </c>
      <c r="NZ41" s="83">
        <v>218.40949000000001</v>
      </c>
      <c r="OA41" s="83">
        <v>220.99024600000001</v>
      </c>
      <c r="OB41" s="83">
        <v>218.971766</v>
      </c>
      <c r="OC41" s="83">
        <v>222.44153900000001</v>
      </c>
      <c r="OD41" s="83">
        <v>223.13276999999999</v>
      </c>
      <c r="OE41" s="83">
        <v>225.09571500000001</v>
      </c>
      <c r="OF41" s="83">
        <v>222.02090999999999</v>
      </c>
      <c r="OG41" s="83">
        <v>221.64494199999999</v>
      </c>
      <c r="OH41" s="83">
        <v>224.217994</v>
      </c>
      <c r="OI41" s="83">
        <v>222.20551699999999</v>
      </c>
      <c r="OJ41" s="83">
        <v>222.28024400000001</v>
      </c>
      <c r="OK41" s="83">
        <v>222.99059099999999</v>
      </c>
      <c r="OL41" s="83">
        <v>234.39299600000001</v>
      </c>
      <c r="OM41" s="83">
        <v>231.23304300000001</v>
      </c>
      <c r="ON41" s="83">
        <v>230.846667</v>
      </c>
      <c r="OO41" s="83">
        <v>233.49096499999999</v>
      </c>
      <c r="OP41" s="83">
        <v>231.42277100000001</v>
      </c>
      <c r="OQ41" s="83">
        <v>228.62645000000001</v>
      </c>
      <c r="OR41" s="83">
        <v>229.342026</v>
      </c>
      <c r="OS41" s="83">
        <v>222.78099</v>
      </c>
      <c r="OT41" s="83">
        <v>219.59794299999999</v>
      </c>
      <c r="OU41" s="83">
        <v>219.20874000000001</v>
      </c>
      <c r="OV41" s="83">
        <v>221.872367</v>
      </c>
      <c r="OW41" s="83">
        <v>219.78906900000001</v>
      </c>
      <c r="OX41" s="83">
        <v>232.23014900000001</v>
      </c>
      <c r="OY41" s="83">
        <v>232.97568100000001</v>
      </c>
      <c r="OZ41" s="83">
        <v>235.09279799999999</v>
      </c>
      <c r="PA41" s="83">
        <v>231.77648400000001</v>
      </c>
      <c r="PB41" s="83">
        <v>231.371002</v>
      </c>
      <c r="PC41" s="83">
        <v>234.146141</v>
      </c>
      <c r="PD41" s="83">
        <v>231.975618</v>
      </c>
      <c r="PE41" s="83">
        <v>220.392189</v>
      </c>
      <c r="PF41" s="83">
        <v>221.09780699999999</v>
      </c>
      <c r="PG41" s="83">
        <v>234.971621</v>
      </c>
      <c r="PH41" s="83">
        <v>231.83293499999999</v>
      </c>
      <c r="PI41" s="83">
        <v>231.44916499999999</v>
      </c>
      <c r="PJ41" s="83">
        <v>234.07567</v>
      </c>
      <c r="PK41" s="83">
        <v>232.02138400000001</v>
      </c>
      <c r="PL41" s="83">
        <v>233.107619</v>
      </c>
      <c r="PM41" s="83">
        <v>233.75334699999999</v>
      </c>
      <c r="PN41" s="83">
        <v>222.30359300000001</v>
      </c>
      <c r="PO41" s="83">
        <v>219.43123499999999</v>
      </c>
      <c r="PP41" s="83">
        <v>219.08001400000001</v>
      </c>
      <c r="PQ41" s="83">
        <v>221.48364100000001</v>
      </c>
      <c r="PR41" s="83">
        <v>219.60368299999999</v>
      </c>
      <c r="PS41" s="83">
        <v>258.08018900000002</v>
      </c>
      <c r="PT41" s="83">
        <v>258.90977400000003</v>
      </c>
      <c r="PU41" s="83">
        <v>261.265602</v>
      </c>
      <c r="PV41" s="83">
        <v>257.575356</v>
      </c>
      <c r="PW41" s="83">
        <v>257.124145</v>
      </c>
      <c r="PX41" s="83">
        <v>260.21217899999999</v>
      </c>
      <c r="PY41" s="83">
        <v>257.79693800000001</v>
      </c>
      <c r="PZ41" s="83">
        <v>211.23904400000001</v>
      </c>
      <c r="QA41" s="83">
        <v>211.882519</v>
      </c>
      <c r="QB41" s="83">
        <v>213.70980399999999</v>
      </c>
      <c r="QC41" s="83">
        <v>210.84749500000001</v>
      </c>
      <c r="QD41" s="83">
        <v>210.497522</v>
      </c>
      <c r="QE41" s="83">
        <v>212.89273700000001</v>
      </c>
      <c r="QF41" s="83">
        <v>211.019361</v>
      </c>
      <c r="QG41" s="83">
        <v>244.77560399999999</v>
      </c>
      <c r="QH41" s="83">
        <v>245.597555</v>
      </c>
      <c r="QI41" s="83">
        <v>247.93176</v>
      </c>
      <c r="QJ41" s="83">
        <v>244.27542299999999</v>
      </c>
      <c r="QK41" s="83">
        <v>243.82836499999999</v>
      </c>
      <c r="QL41" s="83">
        <v>246.888026</v>
      </c>
      <c r="QM41" s="83">
        <v>244.494968</v>
      </c>
      <c r="QN41" s="83">
        <v>227.31663399999999</v>
      </c>
      <c r="QO41" s="83">
        <v>228.07569100000001</v>
      </c>
      <c r="QP41" s="83">
        <v>230.231211</v>
      </c>
      <c r="QQ41" s="83">
        <v>226.85472999999999</v>
      </c>
      <c r="QR41" s="83">
        <v>226.44189600000001</v>
      </c>
      <c r="QS41" s="83">
        <v>229.267359</v>
      </c>
    </row>
    <row r="42" spans="6:461" x14ac:dyDescent="0.25">
      <c r="F42" s="82" t="str">
        <f xml:space="preserve"> _xll.EPMOlapMemberO("[PRDDESCR].[].[WONDER GFREE WHOLEM 500G]","","WONDER GFREE WHOLEM 500G","","000")</f>
        <v>WONDER GFREE WHOLEM 500G</v>
      </c>
      <c r="G42" s="82" t="str">
        <f xml:space="preserve"> _xll.EPMOlapMemberO("[PRDID].[].[179650]","","179650","","000")</f>
        <v>179650</v>
      </c>
      <c r="H42" s="82" t="str">
        <f xml:space="preserve"> _xll.EPMOlapMemberO("[LOCID].[].[6103]","","6103","","000")</f>
        <v>6103</v>
      </c>
      <c r="I42" s="82" t="str">
        <f xml:space="preserve"> _xll.EPMOlapMemberO("[LOCDESCR].[].[QBA-Canberra]","","QBA-Canberra","","000")</f>
        <v>QBA-Canberra</v>
      </c>
      <c r="J42" s="82" t="str">
        <f xml:space="preserve"> _xll.EPMOlapMemberO("[KEY_FIGURES].[].[ZGFAPPROVEDFCSTQTY]","","Approved Forecast","","000")</f>
        <v>Approved Forecast</v>
      </c>
      <c r="K42" s="83">
        <v>48.16648</v>
      </c>
      <c r="L42" s="83">
        <v>60.631300000000003</v>
      </c>
      <c r="M42" s="83">
        <v>73.746370999999996</v>
      </c>
      <c r="N42" s="83">
        <v>48.145811000000002</v>
      </c>
      <c r="O42" s="83">
        <v>95.325311999999997</v>
      </c>
      <c r="P42" s="83">
        <v>54.961956999999998</v>
      </c>
      <c r="Q42" s="83">
        <v>59.953549000000002</v>
      </c>
      <c r="R42" s="83">
        <v>49.754430999999997</v>
      </c>
      <c r="S42" s="83">
        <v>63.288454999999999</v>
      </c>
      <c r="T42" s="83">
        <v>76.118474000000006</v>
      </c>
      <c r="U42" s="83">
        <v>48.587387</v>
      </c>
      <c r="V42" s="83">
        <v>98.950703000000004</v>
      </c>
      <c r="W42" s="83">
        <v>56.087674999999997</v>
      </c>
      <c r="X42" s="83">
        <v>63.329048999999998</v>
      </c>
      <c r="Y42" s="83">
        <v>58.103749999999998</v>
      </c>
      <c r="Z42" s="83">
        <v>65.494566000000006</v>
      </c>
      <c r="AA42" s="83">
        <v>82.720814000000004</v>
      </c>
      <c r="AB42" s="83">
        <v>52.313223000000001</v>
      </c>
      <c r="AC42" s="83">
        <v>107.55143700000001</v>
      </c>
      <c r="AD42" s="83">
        <v>60.880344999999998</v>
      </c>
      <c r="AE42" s="83">
        <v>64.074640000000002</v>
      </c>
      <c r="AF42" s="83">
        <v>51.044220000000003</v>
      </c>
      <c r="AG42" s="83">
        <v>61.490253000000003</v>
      </c>
      <c r="AH42" s="83">
        <v>88.339797000000004</v>
      </c>
      <c r="AI42" s="83">
        <v>50.405487000000001</v>
      </c>
      <c r="AJ42" s="83">
        <v>101.33378500000001</v>
      </c>
      <c r="AK42" s="83">
        <v>56.073025000000001</v>
      </c>
      <c r="AL42" s="83">
        <v>61.565472</v>
      </c>
      <c r="AM42" s="83">
        <v>50.329673999999997</v>
      </c>
      <c r="AN42" s="83">
        <v>60.272399999999998</v>
      </c>
      <c r="AO42" s="83">
        <v>80.081773999999996</v>
      </c>
      <c r="AP42" s="83">
        <v>47.549256999999997</v>
      </c>
      <c r="AQ42" s="83">
        <v>92.929244999999995</v>
      </c>
      <c r="AR42" s="83">
        <v>49.202213</v>
      </c>
      <c r="AS42" s="83">
        <v>57.146118000000001</v>
      </c>
      <c r="AT42" s="83">
        <v>46.610802999999997</v>
      </c>
      <c r="AU42" s="83">
        <v>56.121167999999997</v>
      </c>
      <c r="AV42" s="83">
        <v>75.124160000000003</v>
      </c>
      <c r="AW42" s="83">
        <v>44.779611000000003</v>
      </c>
      <c r="AX42" s="83">
        <v>106.555764</v>
      </c>
      <c r="AY42" s="83">
        <v>58.154542999999997</v>
      </c>
      <c r="AZ42" s="83">
        <v>66.106436000000002</v>
      </c>
      <c r="BA42" s="83">
        <v>50.812320999999997</v>
      </c>
      <c r="BB42" s="83">
        <v>62.081932999999999</v>
      </c>
      <c r="BC42" s="83">
        <v>84.517516999999998</v>
      </c>
      <c r="BD42" s="83">
        <v>50.872360999999998</v>
      </c>
      <c r="BE42" s="83">
        <v>91.817353999999995</v>
      </c>
      <c r="BF42" s="83">
        <v>50.732312999999998</v>
      </c>
      <c r="BG42" s="83">
        <v>54.950617000000001</v>
      </c>
      <c r="BH42" s="83">
        <v>44.375812000000003</v>
      </c>
      <c r="BI42" s="83">
        <v>56.946261</v>
      </c>
      <c r="BJ42" s="83">
        <v>72.221912000000003</v>
      </c>
      <c r="BK42" s="83">
        <v>44.116190000000003</v>
      </c>
      <c r="BL42" s="83">
        <v>94.970335000000006</v>
      </c>
      <c r="BM42" s="83">
        <v>52.257613999999997</v>
      </c>
      <c r="BN42" s="83">
        <v>59.423391000000002</v>
      </c>
      <c r="BO42" s="83">
        <v>48.737299999999998</v>
      </c>
      <c r="BP42" s="83">
        <v>57.380907000000001</v>
      </c>
      <c r="BQ42" s="83">
        <v>76.169627000000006</v>
      </c>
      <c r="BR42" s="83">
        <v>49.145401</v>
      </c>
      <c r="BS42" s="83">
        <v>98.109010999999995</v>
      </c>
      <c r="BT42" s="83">
        <v>55.369781000000003</v>
      </c>
      <c r="BU42" s="83">
        <v>59.350591000000001</v>
      </c>
      <c r="BV42" s="83">
        <v>47.741633</v>
      </c>
      <c r="BW42" s="83">
        <v>58.233091000000002</v>
      </c>
      <c r="BX42" s="83">
        <v>77.949962999999997</v>
      </c>
      <c r="BY42" s="83">
        <v>45.977049000000001</v>
      </c>
      <c r="BZ42" s="83">
        <v>94.311839000000006</v>
      </c>
      <c r="CA42" s="83">
        <v>55.042293000000001</v>
      </c>
      <c r="CB42" s="83">
        <v>57.599666999999997</v>
      </c>
      <c r="CC42" s="83">
        <v>47.755285000000001</v>
      </c>
      <c r="CD42" s="83">
        <v>58.050744000000002</v>
      </c>
      <c r="CE42" s="83">
        <v>77.547948000000005</v>
      </c>
      <c r="CF42" s="83">
        <v>46.602336999999999</v>
      </c>
      <c r="CG42" s="83">
        <v>94.772255999999999</v>
      </c>
      <c r="CH42" s="83">
        <v>51.884416999999999</v>
      </c>
      <c r="CI42" s="83">
        <v>56.241298999999998</v>
      </c>
      <c r="CJ42" s="83">
        <v>48.828114999999997</v>
      </c>
      <c r="CK42" s="83">
        <v>56.119168000000002</v>
      </c>
      <c r="CL42" s="83">
        <v>76.427646999999993</v>
      </c>
      <c r="CM42" s="83">
        <v>45.655166000000001</v>
      </c>
      <c r="CN42" s="83">
        <v>100.354553</v>
      </c>
      <c r="CO42" s="83">
        <v>55.726056999999997</v>
      </c>
      <c r="CP42" s="83">
        <v>60.664118000000002</v>
      </c>
      <c r="CQ42" s="83">
        <v>47.963531000000003</v>
      </c>
      <c r="CR42" s="83">
        <v>59.120677000000001</v>
      </c>
      <c r="CS42" s="83">
        <v>83.100183999999999</v>
      </c>
      <c r="CT42" s="83">
        <v>47.037999999999997</v>
      </c>
      <c r="CU42" s="83">
        <v>100.89102699999999</v>
      </c>
      <c r="CV42" s="83">
        <v>55.916575999999999</v>
      </c>
      <c r="CW42" s="83">
        <v>61.161689000000003</v>
      </c>
      <c r="CX42" s="83">
        <v>49.859972999999997</v>
      </c>
      <c r="CY42" s="83">
        <v>60.102525999999997</v>
      </c>
      <c r="CZ42" s="83">
        <v>79.550955999999999</v>
      </c>
      <c r="DA42" s="83">
        <v>47.020598999999997</v>
      </c>
      <c r="DB42" s="83">
        <v>93.288703999999996</v>
      </c>
      <c r="DC42" s="83">
        <v>49.085107999999998</v>
      </c>
      <c r="DD42" s="83">
        <v>56.915576000000001</v>
      </c>
      <c r="DE42" s="83">
        <v>46.872152</v>
      </c>
      <c r="DF42" s="83">
        <v>55.640726000000001</v>
      </c>
      <c r="DG42" s="83">
        <v>74.658074999999997</v>
      </c>
      <c r="DH42" s="83">
        <v>44.575400999999999</v>
      </c>
      <c r="DI42" s="83">
        <v>109.41045</v>
      </c>
      <c r="DJ42" s="83">
        <v>59.983507000000003</v>
      </c>
      <c r="DK42" s="83">
        <v>70.203841999999995</v>
      </c>
      <c r="DL42" s="83">
        <v>54.370632000000001</v>
      </c>
      <c r="DM42" s="83">
        <v>66.546283000000003</v>
      </c>
      <c r="DN42" s="83">
        <v>89.245225000000005</v>
      </c>
      <c r="DO42" s="83">
        <v>52.571319000000003</v>
      </c>
      <c r="DP42" s="83">
        <v>101.002077</v>
      </c>
      <c r="DQ42" s="83">
        <v>56.082422999999999</v>
      </c>
      <c r="DR42" s="83">
        <v>59.033997999999997</v>
      </c>
      <c r="DS42" s="83">
        <v>47.861581999999999</v>
      </c>
      <c r="DT42" s="83">
        <v>60.988542000000002</v>
      </c>
      <c r="DU42" s="83">
        <v>77.551491999999996</v>
      </c>
      <c r="DV42" s="83">
        <v>47.544173999999998</v>
      </c>
      <c r="DW42" s="83">
        <v>96.778412000000003</v>
      </c>
      <c r="DX42" s="83">
        <v>53.231191000000003</v>
      </c>
      <c r="DY42" s="83">
        <v>58.655743999999999</v>
      </c>
      <c r="DZ42" s="83">
        <v>47.739206000000003</v>
      </c>
      <c r="EA42" s="83">
        <v>56.916007</v>
      </c>
      <c r="EB42" s="83">
        <v>75.429767999999996</v>
      </c>
      <c r="EC42" s="83">
        <v>48.390022999999999</v>
      </c>
      <c r="ED42" s="83">
        <v>99.123135000000005</v>
      </c>
      <c r="EE42" s="83">
        <v>56.061306999999999</v>
      </c>
      <c r="EF42" s="83">
        <v>62.129776</v>
      </c>
      <c r="EG42" s="83">
        <v>50.727479000000002</v>
      </c>
      <c r="EH42" s="83">
        <v>60.423279999999998</v>
      </c>
      <c r="EI42" s="83">
        <v>81.261272000000005</v>
      </c>
      <c r="EJ42" s="83">
        <v>47.944459999999999</v>
      </c>
      <c r="EK42" s="83">
        <v>98.533558999999997</v>
      </c>
      <c r="EL42" s="83">
        <v>57.703420999999999</v>
      </c>
      <c r="EM42" s="83">
        <v>63.407136000000001</v>
      </c>
      <c r="EN42" s="83">
        <v>53.310971000000002</v>
      </c>
      <c r="EO42" s="83">
        <v>63.584645999999999</v>
      </c>
      <c r="EP42" s="83">
        <v>85.241907999999995</v>
      </c>
      <c r="EQ42" s="83">
        <v>51.217255000000002</v>
      </c>
      <c r="ER42" s="83">
        <v>96.534754000000007</v>
      </c>
      <c r="ES42" s="83">
        <v>52.579036000000002</v>
      </c>
      <c r="ET42" s="83">
        <v>54.613751999999998</v>
      </c>
      <c r="EU42" s="83">
        <v>47.471156000000001</v>
      </c>
      <c r="EV42" s="83">
        <v>54.416507000000003</v>
      </c>
      <c r="EW42" s="83">
        <v>74.358143999999996</v>
      </c>
      <c r="EX42" s="83">
        <v>44.641778000000002</v>
      </c>
      <c r="EY42" s="83">
        <v>100.99174499999999</v>
      </c>
      <c r="EZ42" s="83">
        <v>55.830956999999998</v>
      </c>
      <c r="FA42" s="83">
        <v>66.431645000000003</v>
      </c>
      <c r="FB42" s="83">
        <v>53.474837999999998</v>
      </c>
      <c r="FC42" s="83">
        <v>62.995265000000003</v>
      </c>
      <c r="FD42" s="83">
        <v>91.922171000000006</v>
      </c>
      <c r="FE42" s="83">
        <v>52.495280999999999</v>
      </c>
      <c r="FF42" s="83">
        <v>110.136241</v>
      </c>
      <c r="FG42" s="83">
        <v>60.760331999999998</v>
      </c>
      <c r="FH42" s="83">
        <v>63.976142000000003</v>
      </c>
      <c r="FI42" s="83">
        <v>51.826915999999997</v>
      </c>
      <c r="FJ42" s="83">
        <v>63.069941</v>
      </c>
      <c r="FK42" s="83">
        <v>83.317177000000001</v>
      </c>
      <c r="FL42" s="83">
        <v>49.059528999999998</v>
      </c>
      <c r="FM42" s="83">
        <v>104.69275399999999</v>
      </c>
      <c r="FN42" s="83">
        <v>55.801093999999999</v>
      </c>
      <c r="FO42" s="83">
        <v>62.973427000000001</v>
      </c>
      <c r="FP42" s="83">
        <v>51.01885</v>
      </c>
      <c r="FQ42" s="83">
        <v>61.514408000000003</v>
      </c>
      <c r="FR42" s="83">
        <v>83.130200000000002</v>
      </c>
      <c r="FS42" s="83">
        <v>50.002591000000002</v>
      </c>
      <c r="FT42" s="83">
        <v>99.931104000000005</v>
      </c>
      <c r="FU42" s="83">
        <v>54.639913999999997</v>
      </c>
      <c r="FV42" s="83">
        <v>61.386977999999999</v>
      </c>
      <c r="FW42" s="83">
        <v>47.284277000000003</v>
      </c>
      <c r="FX42" s="83">
        <v>58.100656000000001</v>
      </c>
      <c r="FY42" s="83">
        <v>78.362457000000006</v>
      </c>
      <c r="FZ42" s="83">
        <v>46.761543000000003</v>
      </c>
      <c r="GA42" s="83">
        <v>94.729335000000006</v>
      </c>
      <c r="GB42" s="83">
        <v>52.282082000000003</v>
      </c>
      <c r="GC42" s="83">
        <v>56.757717</v>
      </c>
      <c r="GD42" s="83">
        <v>45.722064000000003</v>
      </c>
      <c r="GE42" s="83">
        <v>58.656671000000003</v>
      </c>
      <c r="GF42" s="83">
        <v>74.748789000000002</v>
      </c>
      <c r="GG42" s="83">
        <v>45.896861000000001</v>
      </c>
      <c r="GH42" s="83">
        <v>99.002819000000002</v>
      </c>
      <c r="GI42" s="83">
        <v>54.448355999999997</v>
      </c>
      <c r="GJ42" s="83">
        <v>66.223423999999994</v>
      </c>
      <c r="GK42" s="83">
        <v>54.252485</v>
      </c>
      <c r="GL42" s="83">
        <v>63.266193999999999</v>
      </c>
      <c r="GM42" s="83">
        <v>85.133612999999997</v>
      </c>
      <c r="GN42" s="83">
        <v>55.770319000000001</v>
      </c>
      <c r="GO42" s="83">
        <v>100.10296200000001</v>
      </c>
      <c r="GP42" s="83">
        <v>56.374004999999997</v>
      </c>
      <c r="GQ42" s="83">
        <v>57.013534999999997</v>
      </c>
      <c r="GR42" s="83">
        <v>45.705708000000001</v>
      </c>
      <c r="GS42" s="83">
        <v>55.923999000000002</v>
      </c>
      <c r="GT42" s="83">
        <v>75.056648999999993</v>
      </c>
      <c r="GU42" s="83">
        <v>44.519671000000002</v>
      </c>
      <c r="GV42" s="83">
        <v>98.931961000000001</v>
      </c>
      <c r="GW42" s="83">
        <v>57.781019000000001</v>
      </c>
      <c r="GX42" s="83">
        <v>62.973360999999997</v>
      </c>
      <c r="GY42" s="83">
        <v>52.591555</v>
      </c>
      <c r="GZ42" s="83">
        <v>63.071233999999997</v>
      </c>
      <c r="HA42" s="83">
        <v>84.888724999999994</v>
      </c>
      <c r="HB42" s="83">
        <v>51.304115000000003</v>
      </c>
      <c r="HC42" s="83">
        <v>96.519830999999996</v>
      </c>
      <c r="HD42" s="83">
        <v>52.674677000000003</v>
      </c>
      <c r="HE42" s="83">
        <v>55.184536999999999</v>
      </c>
      <c r="HF42" s="83">
        <v>47.854773999999999</v>
      </c>
      <c r="HG42" s="83">
        <v>55.059548999999997</v>
      </c>
      <c r="HH42" s="83">
        <v>75.056061999999997</v>
      </c>
      <c r="HI42" s="83">
        <v>44.933219000000001</v>
      </c>
      <c r="HJ42" s="83">
        <v>98.615645000000001</v>
      </c>
      <c r="HK42" s="83">
        <v>54.499803</v>
      </c>
      <c r="HL42" s="83">
        <v>63.715888999999997</v>
      </c>
      <c r="HM42" s="83">
        <v>51.485084999999998</v>
      </c>
      <c r="HN42" s="83">
        <v>60.959310000000002</v>
      </c>
      <c r="HO42" s="83">
        <v>87.640654999999995</v>
      </c>
      <c r="HP42" s="83">
        <v>49.366326000000001</v>
      </c>
      <c r="HQ42" s="83">
        <v>110.23263799999999</v>
      </c>
      <c r="HR42" s="83">
        <v>61.093173</v>
      </c>
      <c r="HS42" s="83">
        <v>65.838324</v>
      </c>
      <c r="HT42" s="83">
        <v>53.332605000000001</v>
      </c>
      <c r="HU42" s="83">
        <v>64.350480000000005</v>
      </c>
      <c r="HV42" s="83">
        <v>86.024673000000007</v>
      </c>
      <c r="HW42" s="83">
        <v>51.395851999999998</v>
      </c>
      <c r="HX42" s="83">
        <v>115.169522</v>
      </c>
      <c r="HY42" s="83">
        <v>60.757703999999997</v>
      </c>
      <c r="HZ42" s="83">
        <v>68.074102999999994</v>
      </c>
      <c r="IA42" s="83">
        <v>55.085143000000002</v>
      </c>
      <c r="IB42" s="83">
        <v>66.376785999999996</v>
      </c>
      <c r="IC42" s="83">
        <v>89.892403000000002</v>
      </c>
      <c r="ID42" s="83">
        <v>54.070175999999996</v>
      </c>
      <c r="IE42" s="83">
        <v>103.636082</v>
      </c>
      <c r="IF42" s="83">
        <v>56.85331</v>
      </c>
      <c r="IG42" s="83">
        <v>63.812151999999998</v>
      </c>
      <c r="IH42" s="83">
        <v>48.644522000000002</v>
      </c>
      <c r="II42" s="83">
        <v>60.690136000000003</v>
      </c>
      <c r="IJ42" s="83">
        <v>82.123133999999993</v>
      </c>
      <c r="IK42" s="83">
        <v>49.271658000000002</v>
      </c>
      <c r="IL42" s="83">
        <v>108.767222</v>
      </c>
      <c r="IM42" s="83">
        <v>59.817357000000001</v>
      </c>
      <c r="IN42" s="83">
        <v>69.139695000000003</v>
      </c>
      <c r="IO42" s="83">
        <v>55.869190000000003</v>
      </c>
      <c r="IP42" s="83">
        <v>70.821710999999993</v>
      </c>
      <c r="IQ42" s="83">
        <v>91.196444999999997</v>
      </c>
      <c r="IR42" s="83">
        <v>56.614004000000001</v>
      </c>
      <c r="IS42" s="83">
        <v>111.167512</v>
      </c>
      <c r="IT42" s="83">
        <v>61.297026000000002</v>
      </c>
      <c r="IU42" s="83">
        <v>63.912672999999998</v>
      </c>
      <c r="IV42" s="83">
        <v>51.736525</v>
      </c>
      <c r="IW42" s="83">
        <v>61.728101000000002</v>
      </c>
      <c r="IX42" s="83">
        <v>82.503521000000006</v>
      </c>
      <c r="IY42" s="83">
        <v>53.263981000000001</v>
      </c>
      <c r="IZ42" s="83">
        <v>96.451184999999995</v>
      </c>
      <c r="JA42" s="83">
        <v>54.459575000000001</v>
      </c>
      <c r="JB42" s="83">
        <v>60.077773999999998</v>
      </c>
      <c r="JC42" s="83">
        <v>48.573332000000001</v>
      </c>
      <c r="JD42" s="83">
        <v>58.757281999999996</v>
      </c>
      <c r="JE42" s="83">
        <v>78.804312999999993</v>
      </c>
      <c r="JF42" s="83">
        <v>46.511366000000002</v>
      </c>
      <c r="JG42" s="83">
        <v>106.173249</v>
      </c>
      <c r="JH42" s="83">
        <v>62.117291000000002</v>
      </c>
      <c r="JI42" s="83">
        <v>64.867024999999998</v>
      </c>
      <c r="JJ42" s="83">
        <v>53.749679</v>
      </c>
      <c r="JK42" s="83">
        <v>65.287587000000002</v>
      </c>
      <c r="JL42" s="83">
        <v>87.179398000000006</v>
      </c>
      <c r="JM42" s="83">
        <v>52.117247999999996</v>
      </c>
      <c r="JN42" s="83">
        <v>79.590496000000002</v>
      </c>
      <c r="JO42" s="83">
        <v>82.174346999999997</v>
      </c>
      <c r="JP42" s="83">
        <v>53.140645999999997</v>
      </c>
      <c r="JQ42" s="83">
        <v>51.300870000000003</v>
      </c>
      <c r="JR42" s="83">
        <v>51.252026999999998</v>
      </c>
      <c r="JS42" s="83">
        <v>80.080939000000001</v>
      </c>
      <c r="JT42" s="83">
        <v>80.176959999999994</v>
      </c>
      <c r="JU42" s="83">
        <v>63.507981000000001</v>
      </c>
      <c r="JV42" s="83">
        <v>63.567537000000002</v>
      </c>
      <c r="JW42" s="83">
        <v>67.194458999999995</v>
      </c>
      <c r="JX42" s="83">
        <v>66.238461000000001</v>
      </c>
      <c r="JY42" s="83">
        <v>65.605483000000007</v>
      </c>
      <c r="JZ42" s="83">
        <v>69.901893999999999</v>
      </c>
      <c r="KA42" s="83">
        <v>66.077129999999997</v>
      </c>
      <c r="KB42" s="83">
        <v>71.989464999999996</v>
      </c>
      <c r="KC42" s="83">
        <v>72.090233999999995</v>
      </c>
      <c r="KD42" s="83">
        <v>67.037620000000004</v>
      </c>
      <c r="KE42" s="83">
        <v>67.109297999999995</v>
      </c>
      <c r="KF42" s="83">
        <v>66.963002000000003</v>
      </c>
      <c r="KG42" s="83">
        <v>65.972731999999993</v>
      </c>
      <c r="KH42" s="83">
        <v>65.317057000000005</v>
      </c>
      <c r="KI42" s="83">
        <v>68.627787999999995</v>
      </c>
      <c r="KJ42" s="83">
        <v>65.033544000000006</v>
      </c>
      <c r="KK42" s="83">
        <v>70.671537999999998</v>
      </c>
      <c r="KL42" s="83">
        <v>70.763041999999999</v>
      </c>
      <c r="KM42" s="83">
        <v>70.282719</v>
      </c>
      <c r="KN42" s="83">
        <v>70.358349000000004</v>
      </c>
      <c r="KO42" s="83">
        <v>70.203999999999994</v>
      </c>
      <c r="KP42" s="83">
        <v>63.516761000000002</v>
      </c>
      <c r="KQ42" s="83">
        <v>62.888185</v>
      </c>
      <c r="KR42" s="83">
        <v>63.033805999999998</v>
      </c>
      <c r="KS42" s="83">
        <v>59.767947999999997</v>
      </c>
      <c r="KT42" s="83">
        <v>61.087178000000002</v>
      </c>
      <c r="KU42" s="83">
        <v>61.158672000000003</v>
      </c>
      <c r="KV42" s="83">
        <v>60.783405000000002</v>
      </c>
      <c r="KW42" s="83">
        <v>63.609515999999999</v>
      </c>
      <c r="KX42" s="83">
        <v>63.492303999999997</v>
      </c>
      <c r="KY42" s="83">
        <v>62.698908000000003</v>
      </c>
      <c r="KZ42" s="83">
        <v>62.173591999999999</v>
      </c>
      <c r="LA42" s="83">
        <v>65.739215000000002</v>
      </c>
      <c r="LB42" s="83">
        <v>62.565012000000003</v>
      </c>
      <c r="LC42" s="83">
        <v>63.847220999999998</v>
      </c>
      <c r="LD42" s="83">
        <v>60.465676999999999</v>
      </c>
      <c r="LE42" s="83">
        <v>60.075172999999999</v>
      </c>
      <c r="LF42" s="83">
        <v>62.757694000000001</v>
      </c>
      <c r="LG42" s="83">
        <v>62.618513</v>
      </c>
      <c r="LH42" s="83">
        <v>61.676417999999998</v>
      </c>
      <c r="LI42" s="83">
        <v>61.052644000000001</v>
      </c>
      <c r="LJ42" s="83">
        <v>65.286596000000003</v>
      </c>
      <c r="LK42" s="83">
        <v>61.815136000000003</v>
      </c>
      <c r="LL42" s="83">
        <v>63.311723999999998</v>
      </c>
      <c r="LM42" s="83">
        <v>60.781182999999999</v>
      </c>
      <c r="LN42" s="83">
        <v>60.397334000000001</v>
      </c>
      <c r="LO42" s="83">
        <v>60.457765999999999</v>
      </c>
      <c r="LP42" s="83">
        <v>60.334420000000001</v>
      </c>
      <c r="LQ42" s="83">
        <v>59.499465999999998</v>
      </c>
      <c r="LR42" s="83">
        <v>60.194566999999999</v>
      </c>
      <c r="LS42" s="83">
        <v>64.266386999999995</v>
      </c>
      <c r="LT42" s="83">
        <v>60.641551999999997</v>
      </c>
      <c r="LU42" s="83">
        <v>62.105784999999997</v>
      </c>
      <c r="LV42" s="83">
        <v>62.185133999999998</v>
      </c>
      <c r="LW42" s="83">
        <v>61.768616000000002</v>
      </c>
      <c r="LX42" s="83">
        <v>61.834204</v>
      </c>
      <c r="LY42" s="83">
        <v>58.385463000000001</v>
      </c>
      <c r="LZ42" s="83">
        <v>57.656731000000001</v>
      </c>
      <c r="MA42" s="83">
        <v>60.639009000000001</v>
      </c>
      <c r="MB42" s="83">
        <v>64.502188000000004</v>
      </c>
      <c r="MC42" s="83">
        <v>61.063094</v>
      </c>
      <c r="MD42" s="83">
        <v>62.452300999999999</v>
      </c>
      <c r="ME42" s="83">
        <v>62.527582000000002</v>
      </c>
      <c r="MF42" s="83">
        <v>70.618643000000006</v>
      </c>
      <c r="MG42" s="83">
        <v>70.705422999999996</v>
      </c>
      <c r="MH42" s="83">
        <v>65.392518999999993</v>
      </c>
      <c r="MI42" s="83">
        <v>64.376142000000002</v>
      </c>
      <c r="MJ42" s="83">
        <v>63.703181999999998</v>
      </c>
      <c r="MK42" s="83">
        <v>68.270982000000004</v>
      </c>
      <c r="ML42" s="83">
        <v>64.204628999999997</v>
      </c>
      <c r="MM42" s="83">
        <v>64.876966999999993</v>
      </c>
      <c r="MN42" s="83">
        <v>64.951547000000005</v>
      </c>
      <c r="MO42" s="83">
        <v>64.560024999999996</v>
      </c>
      <c r="MP42" s="83">
        <v>64.621668999999997</v>
      </c>
      <c r="MQ42" s="83">
        <v>64.495855000000006</v>
      </c>
      <c r="MR42" s="83">
        <v>63.644208999999996</v>
      </c>
      <c r="MS42" s="83">
        <v>63.080320999999998</v>
      </c>
      <c r="MT42" s="83">
        <v>58.860574</v>
      </c>
      <c r="MU42" s="83">
        <v>56.127285999999998</v>
      </c>
      <c r="MV42" s="83">
        <v>60.915523999999998</v>
      </c>
      <c r="MW42" s="83">
        <v>60.986643000000001</v>
      </c>
      <c r="MX42" s="83">
        <v>60.613323000000001</v>
      </c>
      <c r="MY42" s="83">
        <v>60.672103</v>
      </c>
      <c r="MZ42" s="83">
        <v>60.552137000000002</v>
      </c>
      <c r="NA42" s="83">
        <v>62.909215000000003</v>
      </c>
      <c r="NB42" s="83">
        <v>62.234034000000001</v>
      </c>
      <c r="NC42" s="83">
        <v>61.804636000000002</v>
      </c>
      <c r="ND42" s="83">
        <v>58.372359000000003</v>
      </c>
      <c r="NE42" s="83">
        <v>59.758817000000001</v>
      </c>
      <c r="NF42" s="83">
        <v>59.833953000000001</v>
      </c>
      <c r="NG42" s="83">
        <v>59.439565000000002</v>
      </c>
      <c r="NH42" s="83">
        <v>61.861459000000004</v>
      </c>
      <c r="NI42" s="83">
        <v>61.729681999999997</v>
      </c>
      <c r="NJ42" s="83">
        <v>60.837634000000001</v>
      </c>
      <c r="NK42" s="83">
        <v>60.247008999999998</v>
      </c>
      <c r="NL42" s="83">
        <v>64.255968999999993</v>
      </c>
      <c r="NM42" s="83">
        <v>60.687097999999999</v>
      </c>
      <c r="NN42" s="83">
        <v>62.128736000000004</v>
      </c>
      <c r="NO42" s="83">
        <v>64.045280000000005</v>
      </c>
      <c r="NP42" s="83">
        <v>63.622287</v>
      </c>
      <c r="NQ42" s="83">
        <v>66.915723</v>
      </c>
      <c r="NR42" s="83">
        <v>66.762941999999995</v>
      </c>
      <c r="NS42" s="83">
        <v>65.728757000000002</v>
      </c>
      <c r="NT42" s="83">
        <v>65.04401</v>
      </c>
      <c r="NU42" s="83">
        <v>69.691827000000004</v>
      </c>
      <c r="NV42" s="83">
        <v>67.316604999999996</v>
      </c>
      <c r="NW42" s="83">
        <v>68.962106000000006</v>
      </c>
      <c r="NX42" s="83">
        <v>65.830877000000001</v>
      </c>
      <c r="NY42" s="83">
        <v>65.414426000000006</v>
      </c>
      <c r="NZ42" s="83">
        <v>65.48</v>
      </c>
      <c r="OA42" s="83">
        <v>65.346177999999995</v>
      </c>
      <c r="OB42" s="83">
        <v>64.440319000000002</v>
      </c>
      <c r="OC42" s="83">
        <v>66.747281999999998</v>
      </c>
      <c r="OD42" s="83">
        <v>70.945867000000007</v>
      </c>
      <c r="OE42" s="83">
        <v>67.208173000000002</v>
      </c>
      <c r="OF42" s="83">
        <v>68.717994000000004</v>
      </c>
      <c r="OG42" s="83">
        <v>68.799813999999998</v>
      </c>
      <c r="OH42" s="83">
        <v>68.370330999999993</v>
      </c>
      <c r="OI42" s="83">
        <v>68.437956999999997</v>
      </c>
      <c r="OJ42" s="83">
        <v>65.510490000000004</v>
      </c>
      <c r="OK42" s="83">
        <v>64.575168000000005</v>
      </c>
      <c r="OL42" s="83">
        <v>66.980969000000002</v>
      </c>
      <c r="OM42" s="83">
        <v>71.697940000000003</v>
      </c>
      <c r="ON42" s="83">
        <v>67.498784999999998</v>
      </c>
      <c r="OO42" s="83">
        <v>69.195023000000006</v>
      </c>
      <c r="OP42" s="83">
        <v>69.286942999999994</v>
      </c>
      <c r="OQ42" s="83">
        <v>60.721165999999997</v>
      </c>
      <c r="OR42" s="83">
        <v>60.780918999999997</v>
      </c>
      <c r="OS42" s="83">
        <v>58.130135000000003</v>
      </c>
      <c r="OT42" s="83">
        <v>57.394437000000003</v>
      </c>
      <c r="OU42" s="83">
        <v>56.907324000000003</v>
      </c>
      <c r="OV42" s="83">
        <v>60.213661999999999</v>
      </c>
      <c r="OW42" s="83">
        <v>57.270279000000002</v>
      </c>
      <c r="OX42" s="83">
        <v>67.879136000000003</v>
      </c>
      <c r="OY42" s="83">
        <v>67.967591999999996</v>
      </c>
      <c r="OZ42" s="83">
        <v>67.503243999999995</v>
      </c>
      <c r="PA42" s="83">
        <v>67.576356000000004</v>
      </c>
      <c r="PB42" s="83">
        <v>67.427143999999998</v>
      </c>
      <c r="PC42" s="83">
        <v>66.417101000000002</v>
      </c>
      <c r="PD42" s="83">
        <v>65.748339999999999</v>
      </c>
      <c r="PE42" s="83">
        <v>61.795022000000003</v>
      </c>
      <c r="PF42" s="83">
        <v>58.460479999999997</v>
      </c>
      <c r="PG42" s="83">
        <v>63.688454</v>
      </c>
      <c r="PH42" s="83">
        <v>63.773342999999997</v>
      </c>
      <c r="PI42" s="83">
        <v>63.327767999999999</v>
      </c>
      <c r="PJ42" s="83">
        <v>63.397925999999998</v>
      </c>
      <c r="PK42" s="83">
        <v>63.254747000000002</v>
      </c>
      <c r="PL42" s="83">
        <v>64.178054000000003</v>
      </c>
      <c r="PM42" s="83">
        <v>63.510516000000003</v>
      </c>
      <c r="PN42" s="83">
        <v>63.667721999999998</v>
      </c>
      <c r="PO42" s="83">
        <v>60.199106999999998</v>
      </c>
      <c r="PP42" s="83">
        <v>61.600240999999997</v>
      </c>
      <c r="PQ42" s="83">
        <v>61.676172999999999</v>
      </c>
      <c r="PR42" s="83">
        <v>61.277608000000001</v>
      </c>
      <c r="PS42" s="83">
        <v>62.986927000000001</v>
      </c>
      <c r="PT42" s="83">
        <v>62.864753</v>
      </c>
      <c r="PU42" s="83">
        <v>62.037745999999999</v>
      </c>
      <c r="PV42" s="83">
        <v>61.490167</v>
      </c>
      <c r="PW42" s="83">
        <v>65.206891999999996</v>
      </c>
      <c r="PX42" s="83">
        <v>61.898176999999997</v>
      </c>
      <c r="PY42" s="83">
        <v>63.234724</v>
      </c>
      <c r="PZ42" s="83">
        <v>62.895786000000001</v>
      </c>
      <c r="QA42" s="83">
        <v>62.512393000000003</v>
      </c>
      <c r="QB42" s="83">
        <v>62.572749000000002</v>
      </c>
      <c r="QC42" s="83">
        <v>62.449544000000003</v>
      </c>
      <c r="QD42" s="83">
        <v>61.615577000000002</v>
      </c>
      <c r="QE42" s="83">
        <v>61.063400000000001</v>
      </c>
      <c r="QF42" s="83">
        <v>64.811398999999994</v>
      </c>
      <c r="QG42" s="83">
        <v>60.434007999999999</v>
      </c>
      <c r="QH42" s="83">
        <v>61.753476999999997</v>
      </c>
      <c r="QI42" s="83">
        <v>61.824972000000002</v>
      </c>
      <c r="QJ42" s="83">
        <v>61.449638</v>
      </c>
      <c r="QK42" s="83">
        <v>61.50873</v>
      </c>
      <c r="QL42" s="83">
        <v>61.388114999999999</v>
      </c>
      <c r="QM42" s="83">
        <v>60.571668000000003</v>
      </c>
      <c r="QN42" s="83">
        <v>63.500689999999999</v>
      </c>
      <c r="QO42" s="83">
        <v>66.980773999999997</v>
      </c>
      <c r="QP42" s="83">
        <v>63.882708000000001</v>
      </c>
      <c r="QQ42" s="83">
        <v>65.134162000000003</v>
      </c>
      <c r="QR42" s="83">
        <v>65.201976000000002</v>
      </c>
      <c r="QS42" s="83">
        <v>64.845991999999995</v>
      </c>
    </row>
    <row r="43" spans="6:461" x14ac:dyDescent="0.25">
      <c r="F43" s="82" t="str">
        <f xml:space="preserve"> _xll.EPMOlapMemberO("[PRDDESCR].[].[WONDER GFREE WHOLEM 500G]","","WONDER GFREE WHOLEM 500G","","000")</f>
        <v>WONDER GFREE WHOLEM 500G</v>
      </c>
      <c r="G43" s="82" t="str">
        <f xml:space="preserve"> _xll.EPMOlapMemberO("[PRDID].[].[179650]","","179650","","000")</f>
        <v>179650</v>
      </c>
      <c r="H43" s="82" t="str">
        <f xml:space="preserve"> _xll.EPMOlapMemberO("[LOCID].[].[6104]","","6104","","000")</f>
        <v>6104</v>
      </c>
      <c r="I43" s="82" t="str">
        <f xml:space="preserve"> _xll.EPMOlapMemberO("[LOCDESCR].[].[QBA-Moorebank]","","QBA-Moorebank","","000")</f>
        <v>QBA-Moorebank</v>
      </c>
      <c r="J43" s="82" t="str">
        <f xml:space="preserve"> _xll.EPMOlapMemberO("[KEY_FIGURES].[].[ZGFAPPROVEDFCSTQTY]","","Approved Forecast","","000")</f>
        <v>Approved Forecast</v>
      </c>
      <c r="K43" s="83">
        <v>244.42349300000001</v>
      </c>
      <c r="L43" s="83">
        <v>373.04416600000002</v>
      </c>
      <c r="M43" s="83">
        <v>189.54710800000001</v>
      </c>
      <c r="N43" s="83">
        <v>196.16061199999999</v>
      </c>
      <c r="O43" s="83">
        <v>478.49973799999998</v>
      </c>
      <c r="P43" s="83">
        <v>203.149002</v>
      </c>
      <c r="Q43" s="83">
        <v>323.881168</v>
      </c>
      <c r="R43" s="83">
        <v>254.43006099999999</v>
      </c>
      <c r="S43" s="83">
        <v>365.45565800000003</v>
      </c>
      <c r="T43" s="83">
        <v>188.29852700000001</v>
      </c>
      <c r="U43" s="83">
        <v>191.29987800000001</v>
      </c>
      <c r="V43" s="83">
        <v>511.99855300000002</v>
      </c>
      <c r="W43" s="83">
        <v>225.96676099999999</v>
      </c>
      <c r="X43" s="83">
        <v>382.12265300000001</v>
      </c>
      <c r="Y43" s="83">
        <v>294.01284399999997</v>
      </c>
      <c r="Z43" s="83">
        <v>400.84390000000002</v>
      </c>
      <c r="AA43" s="83">
        <v>208.53697500000001</v>
      </c>
      <c r="AB43" s="83">
        <v>209.515761</v>
      </c>
      <c r="AC43" s="83">
        <v>549.42353500000002</v>
      </c>
      <c r="AD43" s="83">
        <v>232.15862300000001</v>
      </c>
      <c r="AE43" s="83">
        <v>351.02288499999997</v>
      </c>
      <c r="AF43" s="83">
        <v>272.12095099999999</v>
      </c>
      <c r="AG43" s="83">
        <v>397.40996899999999</v>
      </c>
      <c r="AH43" s="83">
        <v>200.62043299999999</v>
      </c>
      <c r="AI43" s="83">
        <v>204.030315</v>
      </c>
      <c r="AJ43" s="83">
        <v>511.088325</v>
      </c>
      <c r="AK43" s="83">
        <v>214.628467</v>
      </c>
      <c r="AL43" s="83">
        <v>341.16453100000001</v>
      </c>
      <c r="AM43" s="83">
        <v>263.33018800000002</v>
      </c>
      <c r="AN43" s="83">
        <v>385.59754400000003</v>
      </c>
      <c r="AO43" s="83">
        <v>194.620093</v>
      </c>
      <c r="AP43" s="83">
        <v>198.36551299999999</v>
      </c>
      <c r="AQ43" s="83">
        <v>514.50608199999999</v>
      </c>
      <c r="AR43" s="83">
        <v>217.32609600000001</v>
      </c>
      <c r="AS43" s="83">
        <v>363.68123400000002</v>
      </c>
      <c r="AT43" s="83">
        <v>281.340642</v>
      </c>
      <c r="AU43" s="83">
        <v>409.30542400000002</v>
      </c>
      <c r="AV43" s="83">
        <v>208.545861</v>
      </c>
      <c r="AW43" s="83">
        <v>211.994876</v>
      </c>
      <c r="AX43" s="83">
        <v>546.21282900000006</v>
      </c>
      <c r="AY43" s="83">
        <v>230.85435899999999</v>
      </c>
      <c r="AZ43" s="83">
        <v>347.31919199999999</v>
      </c>
      <c r="BA43" s="83">
        <v>268.66177299999998</v>
      </c>
      <c r="BB43" s="83">
        <v>391.37418000000002</v>
      </c>
      <c r="BC43" s="83">
        <v>198.96228099999999</v>
      </c>
      <c r="BD43" s="83">
        <v>202.33064400000001</v>
      </c>
      <c r="BE43" s="83">
        <v>485.85225200000002</v>
      </c>
      <c r="BF43" s="83">
        <v>204.96860100000001</v>
      </c>
      <c r="BG43" s="83">
        <v>321.96030999999999</v>
      </c>
      <c r="BH43" s="83">
        <v>250.60036299999999</v>
      </c>
      <c r="BI43" s="83">
        <v>364.890738</v>
      </c>
      <c r="BJ43" s="83">
        <v>184.45698300000001</v>
      </c>
      <c r="BK43" s="83">
        <v>187.15823</v>
      </c>
      <c r="BL43" s="83">
        <v>520.78047400000003</v>
      </c>
      <c r="BM43" s="83">
        <v>220.80689599999999</v>
      </c>
      <c r="BN43" s="83">
        <v>359.62939499999999</v>
      </c>
      <c r="BO43" s="83">
        <v>280.28557899999998</v>
      </c>
      <c r="BP43" s="83">
        <v>405.88431400000002</v>
      </c>
      <c r="BQ43" s="83">
        <v>206.927786</v>
      </c>
      <c r="BR43" s="83">
        <v>209.540516</v>
      </c>
      <c r="BS43" s="83">
        <v>569.93578600000001</v>
      </c>
      <c r="BT43" s="83">
        <v>240.23392899999999</v>
      </c>
      <c r="BU43" s="83">
        <v>363.425883</v>
      </c>
      <c r="BV43" s="83">
        <v>283.693983</v>
      </c>
      <c r="BW43" s="83">
        <v>413.068467</v>
      </c>
      <c r="BX43" s="83">
        <v>208.121297</v>
      </c>
      <c r="BY43" s="83">
        <v>210.990073</v>
      </c>
      <c r="BZ43" s="83">
        <v>511.414152</v>
      </c>
      <c r="CA43" s="83">
        <v>215.58460400000001</v>
      </c>
      <c r="CB43" s="83">
        <v>330.22167200000001</v>
      </c>
      <c r="CC43" s="83">
        <v>261.08568100000002</v>
      </c>
      <c r="CD43" s="83">
        <v>378.87613900000002</v>
      </c>
      <c r="CE43" s="83">
        <v>189.51597799999999</v>
      </c>
      <c r="CF43" s="83">
        <v>191.09978000000001</v>
      </c>
      <c r="CG43" s="83">
        <v>498.325333</v>
      </c>
      <c r="CH43" s="83">
        <v>210.644194</v>
      </c>
      <c r="CI43" s="83">
        <v>327.75157300000001</v>
      </c>
      <c r="CJ43" s="83">
        <v>256.775149</v>
      </c>
      <c r="CK43" s="83">
        <v>372.61987800000003</v>
      </c>
      <c r="CL43" s="83">
        <v>188.22063800000001</v>
      </c>
      <c r="CM43" s="83">
        <v>190.373458</v>
      </c>
      <c r="CN43" s="83">
        <v>516.71211800000003</v>
      </c>
      <c r="CO43" s="83">
        <v>218.525218</v>
      </c>
      <c r="CP43" s="83">
        <v>339.28548499999999</v>
      </c>
      <c r="CQ43" s="83">
        <v>266.23736100000002</v>
      </c>
      <c r="CR43" s="83">
        <v>385.96762000000001</v>
      </c>
      <c r="CS43" s="83">
        <v>194.973344</v>
      </c>
      <c r="CT43" s="83">
        <v>197.045208</v>
      </c>
      <c r="CU43" s="83">
        <v>531.10267199999998</v>
      </c>
      <c r="CV43" s="83">
        <v>224.12002200000001</v>
      </c>
      <c r="CW43" s="83">
        <v>357.425544</v>
      </c>
      <c r="CX43" s="83">
        <v>275.71716500000002</v>
      </c>
      <c r="CY43" s="83">
        <v>402.07298600000001</v>
      </c>
      <c r="CZ43" s="83">
        <v>204.59965199999999</v>
      </c>
      <c r="DA43" s="83">
        <v>208.32213300000001</v>
      </c>
      <c r="DB43" s="83">
        <v>530.01752199999999</v>
      </c>
      <c r="DC43" s="83">
        <v>224.802898</v>
      </c>
      <c r="DD43" s="83">
        <v>371.233248</v>
      </c>
      <c r="DE43" s="83">
        <v>287.47695599999997</v>
      </c>
      <c r="DF43" s="83">
        <v>416.78793400000001</v>
      </c>
      <c r="DG43" s="83">
        <v>213.47265400000001</v>
      </c>
      <c r="DH43" s="83">
        <v>216.70716200000001</v>
      </c>
      <c r="DI43" s="83">
        <v>534.52281100000005</v>
      </c>
      <c r="DJ43" s="83">
        <v>226.097307</v>
      </c>
      <c r="DK43" s="83">
        <v>347.76265899999999</v>
      </c>
      <c r="DL43" s="83">
        <v>275.82690500000001</v>
      </c>
      <c r="DM43" s="83">
        <v>396.48511300000001</v>
      </c>
      <c r="DN43" s="83">
        <v>201.139827</v>
      </c>
      <c r="DO43" s="83">
        <v>202.032703</v>
      </c>
      <c r="DP43" s="83">
        <v>534.19156699999996</v>
      </c>
      <c r="DQ43" s="83">
        <v>226.346394</v>
      </c>
      <c r="DR43" s="83">
        <v>344.74891500000001</v>
      </c>
      <c r="DS43" s="83">
        <v>266.43344999999999</v>
      </c>
      <c r="DT43" s="83">
        <v>389.44373200000001</v>
      </c>
      <c r="DU43" s="83">
        <v>196.941146</v>
      </c>
      <c r="DV43" s="83">
        <v>200.540187</v>
      </c>
      <c r="DW43" s="83">
        <v>482.87423899999999</v>
      </c>
      <c r="DX43" s="83">
        <v>203.877984</v>
      </c>
      <c r="DY43" s="83">
        <v>318.12397700000002</v>
      </c>
      <c r="DZ43" s="83">
        <v>248.68724900000001</v>
      </c>
      <c r="EA43" s="83">
        <v>361.487371</v>
      </c>
      <c r="EB43" s="83">
        <v>182.472354</v>
      </c>
      <c r="EC43" s="83">
        <v>184.782321</v>
      </c>
      <c r="ED43" s="83">
        <v>527.20245899999998</v>
      </c>
      <c r="EE43" s="83">
        <v>221.88195899999999</v>
      </c>
      <c r="EF43" s="83">
        <v>353.66322700000001</v>
      </c>
      <c r="EG43" s="83">
        <v>272.706165</v>
      </c>
      <c r="EH43" s="83">
        <v>398.62568499999998</v>
      </c>
      <c r="EI43" s="83">
        <v>202.05121299999999</v>
      </c>
      <c r="EJ43" s="83">
        <v>205.90132399999999</v>
      </c>
      <c r="EK43" s="83">
        <v>490.15736199999998</v>
      </c>
      <c r="EL43" s="83">
        <v>206.72404900000001</v>
      </c>
      <c r="EM43" s="83">
        <v>347.59725900000001</v>
      </c>
      <c r="EN43" s="83">
        <v>269.17216100000002</v>
      </c>
      <c r="EO43" s="83">
        <v>392.01656000000003</v>
      </c>
      <c r="EP43" s="83">
        <v>199.148853</v>
      </c>
      <c r="EQ43" s="83">
        <v>202.43235899999999</v>
      </c>
      <c r="ER43" s="83">
        <v>511.90323799999999</v>
      </c>
      <c r="ES43" s="83">
        <v>216.09537599999999</v>
      </c>
      <c r="ET43" s="83">
        <v>316.62172500000003</v>
      </c>
      <c r="EU43" s="83">
        <v>248.37225699999999</v>
      </c>
      <c r="EV43" s="83">
        <v>361.11187000000001</v>
      </c>
      <c r="EW43" s="83">
        <v>181.53288599999999</v>
      </c>
      <c r="EX43" s="83">
        <v>183.631595</v>
      </c>
      <c r="EY43" s="83">
        <v>528.49413200000004</v>
      </c>
      <c r="EZ43" s="83">
        <v>221.31866500000001</v>
      </c>
      <c r="FA43" s="83">
        <v>378.97342300000003</v>
      </c>
      <c r="FB43" s="83">
        <v>292.796538</v>
      </c>
      <c r="FC43" s="83">
        <v>428.74043</v>
      </c>
      <c r="FD43" s="83">
        <v>216.12950599999999</v>
      </c>
      <c r="FE43" s="83">
        <v>220.23905600000001</v>
      </c>
      <c r="FF43" s="83">
        <v>545.75478499999997</v>
      </c>
      <c r="FG43" s="83">
        <v>227.908895</v>
      </c>
      <c r="FH43" s="83">
        <v>338.48430200000001</v>
      </c>
      <c r="FI43" s="83">
        <v>269.355795</v>
      </c>
      <c r="FJ43" s="83">
        <v>390.801537</v>
      </c>
      <c r="FK43" s="83">
        <v>194.19227699999999</v>
      </c>
      <c r="FL43" s="83">
        <v>195.379561</v>
      </c>
      <c r="FM43" s="83">
        <v>534.22733300000004</v>
      </c>
      <c r="FN43" s="83">
        <v>226.26316199999999</v>
      </c>
      <c r="FO43" s="83">
        <v>366.64067499999999</v>
      </c>
      <c r="FP43" s="83">
        <v>280.806444</v>
      </c>
      <c r="FQ43" s="83">
        <v>411.58750099999997</v>
      </c>
      <c r="FR43" s="83">
        <v>209.07416000000001</v>
      </c>
      <c r="FS43" s="83">
        <v>213.708146</v>
      </c>
      <c r="FT43" s="83">
        <v>552.76968099999999</v>
      </c>
      <c r="FU43" s="83">
        <v>232.655258</v>
      </c>
      <c r="FV43" s="83">
        <v>347.33134000000001</v>
      </c>
      <c r="FW43" s="83">
        <v>269.06877500000002</v>
      </c>
      <c r="FX43" s="83">
        <v>393.28646800000001</v>
      </c>
      <c r="FY43" s="83">
        <v>198.381722</v>
      </c>
      <c r="FZ43" s="83">
        <v>201.850798</v>
      </c>
      <c r="GA43" s="83">
        <v>525.30435</v>
      </c>
      <c r="GB43" s="83">
        <v>220.11550500000001</v>
      </c>
      <c r="GC43" s="83">
        <v>350.40926400000001</v>
      </c>
      <c r="GD43" s="83">
        <v>270.08508</v>
      </c>
      <c r="GE43" s="83">
        <v>396.30210599999998</v>
      </c>
      <c r="GF43" s="83">
        <v>199.555328</v>
      </c>
      <c r="GG43" s="83">
        <v>203.622321</v>
      </c>
      <c r="GH43" s="83">
        <v>491.722689</v>
      </c>
      <c r="GI43" s="83">
        <v>207.051413</v>
      </c>
      <c r="GJ43" s="83">
        <v>364.38579900000002</v>
      </c>
      <c r="GK43" s="83">
        <v>282.06678499999998</v>
      </c>
      <c r="GL43" s="83">
        <v>410.96238799999998</v>
      </c>
      <c r="GM43" s="83">
        <v>208.68195399999999</v>
      </c>
      <c r="GN43" s="83">
        <v>212.18355</v>
      </c>
      <c r="GO43" s="83">
        <v>525.96811000000002</v>
      </c>
      <c r="GP43" s="83">
        <v>220.93396100000001</v>
      </c>
      <c r="GQ43" s="83">
        <v>312.36174899999997</v>
      </c>
      <c r="GR43" s="83">
        <v>243.03694899999999</v>
      </c>
      <c r="GS43" s="83">
        <v>356.01919199999998</v>
      </c>
      <c r="GT43" s="83">
        <v>178.05578199999999</v>
      </c>
      <c r="GU43" s="83">
        <v>181.01590200000001</v>
      </c>
      <c r="GV43" s="83">
        <v>548.584518</v>
      </c>
      <c r="GW43" s="83">
        <v>230.5215</v>
      </c>
      <c r="GX43" s="83">
        <v>389.02792699999998</v>
      </c>
      <c r="GY43" s="83">
        <v>298.35506199999998</v>
      </c>
      <c r="GZ43" s="83">
        <v>436.69400999999999</v>
      </c>
      <c r="HA43" s="83">
        <v>222.05650499999999</v>
      </c>
      <c r="HB43" s="83">
        <v>226.793215</v>
      </c>
      <c r="HC43" s="83">
        <v>547.25519699999995</v>
      </c>
      <c r="HD43" s="83">
        <v>230.16362100000001</v>
      </c>
      <c r="HE43" s="83">
        <v>343.824928</v>
      </c>
      <c r="HF43" s="83">
        <v>268.45214199999998</v>
      </c>
      <c r="HG43" s="83">
        <v>391.79369400000002</v>
      </c>
      <c r="HH43" s="83">
        <v>196.52141</v>
      </c>
      <c r="HI43" s="83">
        <v>199.34951599999999</v>
      </c>
      <c r="HJ43" s="83">
        <v>557.93623100000002</v>
      </c>
      <c r="HK43" s="83">
        <v>233.99679900000001</v>
      </c>
      <c r="HL43" s="83">
        <v>395.04677500000003</v>
      </c>
      <c r="HM43" s="83">
        <v>308.69199900000001</v>
      </c>
      <c r="HN43" s="83">
        <v>448.074636</v>
      </c>
      <c r="HO43" s="83">
        <v>226.774316</v>
      </c>
      <c r="HP43" s="83">
        <v>229.62124700000001</v>
      </c>
      <c r="HQ43" s="83">
        <v>580.51777300000003</v>
      </c>
      <c r="HR43" s="83">
        <v>245.17040600000001</v>
      </c>
      <c r="HS43" s="83">
        <v>368.35674499999999</v>
      </c>
      <c r="HT43" s="83">
        <v>285.15006799999998</v>
      </c>
      <c r="HU43" s="83">
        <v>419.41057699999999</v>
      </c>
      <c r="HV43" s="83">
        <v>209.25373200000001</v>
      </c>
      <c r="HW43" s="83">
        <v>213.387643</v>
      </c>
      <c r="HX43" s="83">
        <v>559.60495100000003</v>
      </c>
      <c r="HY43" s="83">
        <v>233.987225</v>
      </c>
      <c r="HZ43" s="83">
        <v>365.792348</v>
      </c>
      <c r="IA43" s="83">
        <v>284.74183099999999</v>
      </c>
      <c r="IB43" s="83">
        <v>417.35941700000001</v>
      </c>
      <c r="IC43" s="83">
        <v>208.32931400000001</v>
      </c>
      <c r="ID43" s="83">
        <v>211.830353</v>
      </c>
      <c r="IE43" s="83">
        <v>569.99772499999995</v>
      </c>
      <c r="IF43" s="83">
        <v>237.152804</v>
      </c>
      <c r="IG43" s="83">
        <v>366.120949</v>
      </c>
      <c r="IH43" s="83">
        <v>282.91268400000001</v>
      </c>
      <c r="II43" s="83">
        <v>415.78923700000001</v>
      </c>
      <c r="IJ43" s="83">
        <v>208.15793300000001</v>
      </c>
      <c r="IK43" s="83">
        <v>212.339654</v>
      </c>
      <c r="IL43" s="83">
        <v>554.47964100000002</v>
      </c>
      <c r="IM43" s="83">
        <v>231.31037699999999</v>
      </c>
      <c r="IN43" s="83">
        <v>385.34162099999998</v>
      </c>
      <c r="IO43" s="83">
        <v>303.81735700000002</v>
      </c>
      <c r="IP43" s="83">
        <v>441.252229</v>
      </c>
      <c r="IQ43" s="83">
        <v>220.967039</v>
      </c>
      <c r="IR43" s="83">
        <v>223.108869</v>
      </c>
      <c r="IS43" s="83">
        <v>618.02506400000004</v>
      </c>
      <c r="IT43" s="83">
        <v>260.72416900000002</v>
      </c>
      <c r="IU43" s="83">
        <v>380.542528</v>
      </c>
      <c r="IV43" s="83">
        <v>294.44237800000002</v>
      </c>
      <c r="IW43" s="83">
        <v>432.41337099999998</v>
      </c>
      <c r="IX43" s="83">
        <v>216.45626999999999</v>
      </c>
      <c r="IY43" s="83">
        <v>220.667181</v>
      </c>
      <c r="IZ43" s="83">
        <v>560.80031699999995</v>
      </c>
      <c r="JA43" s="83">
        <v>234.18649600000001</v>
      </c>
      <c r="JB43" s="83">
        <v>373.13748600000002</v>
      </c>
      <c r="JC43" s="83">
        <v>287.24791199999999</v>
      </c>
      <c r="JD43" s="83">
        <v>422.70116400000001</v>
      </c>
      <c r="JE43" s="83">
        <v>211.97101900000001</v>
      </c>
      <c r="JF43" s="83">
        <v>216.582818</v>
      </c>
      <c r="JG43" s="83">
        <v>534.18441600000006</v>
      </c>
      <c r="JH43" s="83">
        <v>223.85867500000001</v>
      </c>
      <c r="JI43" s="83">
        <v>344.82848999999999</v>
      </c>
      <c r="JJ43" s="83">
        <v>271.28727900000001</v>
      </c>
      <c r="JK43" s="83">
        <v>396.05990300000002</v>
      </c>
      <c r="JL43" s="83">
        <v>196.92766399999999</v>
      </c>
      <c r="JM43" s="83">
        <v>199.27965499999999</v>
      </c>
      <c r="JN43" s="83">
        <v>379.19564800000001</v>
      </c>
      <c r="JO43" s="83">
        <v>227.131685</v>
      </c>
      <c r="JP43" s="83">
        <v>296.783593</v>
      </c>
      <c r="JQ43" s="83">
        <v>238.54149100000001</v>
      </c>
      <c r="JR43" s="83">
        <v>338.643078</v>
      </c>
      <c r="JS43" s="83">
        <v>413.24894999999998</v>
      </c>
      <c r="JT43" s="83">
        <v>417.73919599999999</v>
      </c>
      <c r="JU43" s="83">
        <v>298.74330500000002</v>
      </c>
      <c r="JV43" s="83">
        <v>358.78363100000001</v>
      </c>
      <c r="JW43" s="83">
        <v>359.06826000000001</v>
      </c>
      <c r="JX43" s="83">
        <v>360.00870900000001</v>
      </c>
      <c r="JY43" s="83">
        <v>304.34092600000002</v>
      </c>
      <c r="JZ43" s="83">
        <v>347.50444700000003</v>
      </c>
      <c r="KA43" s="83">
        <v>350.53440499999999</v>
      </c>
      <c r="KB43" s="83">
        <v>339.308426</v>
      </c>
      <c r="KC43" s="83">
        <v>405.102329</v>
      </c>
      <c r="KD43" s="83">
        <v>354.54812199999998</v>
      </c>
      <c r="KE43" s="83">
        <v>355.02797399999997</v>
      </c>
      <c r="KF43" s="83">
        <v>300.00841400000002</v>
      </c>
      <c r="KG43" s="83">
        <v>343.53716400000002</v>
      </c>
      <c r="KH43" s="83">
        <v>346.82345700000002</v>
      </c>
      <c r="KI43" s="83">
        <v>289.363269</v>
      </c>
      <c r="KJ43" s="83">
        <v>346.08315599999997</v>
      </c>
      <c r="KK43" s="83">
        <v>349.57944900000001</v>
      </c>
      <c r="KL43" s="83">
        <v>350.06309900000002</v>
      </c>
      <c r="KM43" s="83">
        <v>297.01719600000001</v>
      </c>
      <c r="KN43" s="83">
        <v>337.910256</v>
      </c>
      <c r="KO43" s="83">
        <v>340.06899299999998</v>
      </c>
      <c r="KP43" s="83">
        <v>302.54728499999999</v>
      </c>
      <c r="KQ43" s="83">
        <v>361.45162800000003</v>
      </c>
      <c r="KR43" s="83">
        <v>316.54397299999999</v>
      </c>
      <c r="KS43" s="83">
        <v>316.86623700000001</v>
      </c>
      <c r="KT43" s="83">
        <v>267.66714200000001</v>
      </c>
      <c r="KU43" s="83">
        <v>306.859083</v>
      </c>
      <c r="KV43" s="83">
        <v>309.92665399999998</v>
      </c>
      <c r="KW43" s="83">
        <v>261.916968</v>
      </c>
      <c r="KX43" s="83">
        <v>313.96897899999999</v>
      </c>
      <c r="KY43" s="83">
        <v>294.54065200000002</v>
      </c>
      <c r="KZ43" s="83">
        <v>294.59299399999998</v>
      </c>
      <c r="LA43" s="83">
        <v>248.98773700000001</v>
      </c>
      <c r="LB43" s="83">
        <v>285.62159100000002</v>
      </c>
      <c r="LC43" s="83">
        <v>288.46027400000003</v>
      </c>
      <c r="LD43" s="83">
        <v>289.720977</v>
      </c>
      <c r="LE43" s="83">
        <v>345.59147999999999</v>
      </c>
      <c r="LF43" s="83">
        <v>342.30697500000002</v>
      </c>
      <c r="LG43" s="83">
        <v>342.70696299999997</v>
      </c>
      <c r="LH43" s="83">
        <v>291.13171799999998</v>
      </c>
      <c r="LI43" s="83">
        <v>330.69705599999998</v>
      </c>
      <c r="LJ43" s="83">
        <v>332.52388000000002</v>
      </c>
      <c r="LK43" s="83">
        <v>285.09058199999998</v>
      </c>
      <c r="LL43" s="83">
        <v>339.698489</v>
      </c>
      <c r="LM43" s="83">
        <v>303.67140599999999</v>
      </c>
      <c r="LN43" s="83">
        <v>303.720347</v>
      </c>
      <c r="LO43" s="83">
        <v>257.38339300000001</v>
      </c>
      <c r="LP43" s="83">
        <v>294.02176100000003</v>
      </c>
      <c r="LQ43" s="83">
        <v>296.33887499999997</v>
      </c>
      <c r="LR43" s="83">
        <v>264.91665699999999</v>
      </c>
      <c r="LS43" s="83">
        <v>316.82725299999998</v>
      </c>
      <c r="LT43" s="83">
        <v>297.32932299999999</v>
      </c>
      <c r="LU43" s="83">
        <v>297.70028500000001</v>
      </c>
      <c r="LV43" s="83">
        <v>251.93443400000001</v>
      </c>
      <c r="LW43" s="83">
        <v>287.88046800000001</v>
      </c>
      <c r="LX43" s="83">
        <v>290.32782200000003</v>
      </c>
      <c r="LY43" s="83">
        <v>263.19371000000001</v>
      </c>
      <c r="LZ43" s="83">
        <v>315.55029500000001</v>
      </c>
      <c r="MA43" s="83">
        <v>319.39670899999999</v>
      </c>
      <c r="MB43" s="83">
        <v>319.69254100000001</v>
      </c>
      <c r="MC43" s="83">
        <v>270.87636800000001</v>
      </c>
      <c r="MD43" s="83">
        <v>309.09538300000003</v>
      </c>
      <c r="ME43" s="83">
        <v>311.46650599999998</v>
      </c>
      <c r="MF43" s="83">
        <v>320.00966099999999</v>
      </c>
      <c r="MG43" s="83">
        <v>380.03409599999998</v>
      </c>
      <c r="MH43" s="83">
        <v>328.16581000000002</v>
      </c>
      <c r="MI43" s="83">
        <v>328.688626</v>
      </c>
      <c r="MJ43" s="83">
        <v>278.75431300000002</v>
      </c>
      <c r="MK43" s="83">
        <v>317.25028700000001</v>
      </c>
      <c r="ML43" s="83">
        <v>319.36577399999999</v>
      </c>
      <c r="MM43" s="83">
        <v>278.70308799999998</v>
      </c>
      <c r="MN43" s="83">
        <v>333.44070799999997</v>
      </c>
      <c r="MO43" s="83">
        <v>312.75971800000002</v>
      </c>
      <c r="MP43" s="83">
        <v>313.30538200000001</v>
      </c>
      <c r="MQ43" s="83">
        <v>265.00782199999998</v>
      </c>
      <c r="MR43" s="83">
        <v>302.79357700000003</v>
      </c>
      <c r="MS43" s="83">
        <v>305.41967699999998</v>
      </c>
      <c r="MT43" s="83">
        <v>253.71430899999999</v>
      </c>
      <c r="MU43" s="83">
        <v>304.533861</v>
      </c>
      <c r="MV43" s="83">
        <v>308.60480699999999</v>
      </c>
      <c r="MW43" s="83">
        <v>308.85566899999998</v>
      </c>
      <c r="MX43" s="83">
        <v>261.51645300000001</v>
      </c>
      <c r="MY43" s="83">
        <v>298.797889</v>
      </c>
      <c r="MZ43" s="83">
        <v>301.26442700000001</v>
      </c>
      <c r="NA43" s="83">
        <v>307.34330299999999</v>
      </c>
      <c r="NB43" s="83">
        <v>364.51145600000001</v>
      </c>
      <c r="NC43" s="83">
        <v>313.665818</v>
      </c>
      <c r="ND43" s="83">
        <v>313.486941</v>
      </c>
      <c r="NE43" s="83">
        <v>266.34648099999998</v>
      </c>
      <c r="NF43" s="83">
        <v>303.40370799999999</v>
      </c>
      <c r="NG43" s="83">
        <v>305.275441</v>
      </c>
      <c r="NH43" s="83">
        <v>276.35945500000003</v>
      </c>
      <c r="NI43" s="83">
        <v>329.76552500000003</v>
      </c>
      <c r="NJ43" s="83">
        <v>310.02256</v>
      </c>
      <c r="NK43" s="83">
        <v>310.08376700000002</v>
      </c>
      <c r="NL43" s="83">
        <v>262.977193</v>
      </c>
      <c r="NM43" s="83">
        <v>300.02703100000002</v>
      </c>
      <c r="NN43" s="83">
        <v>302.20662499999997</v>
      </c>
      <c r="NO43" s="83">
        <v>277.42053700000002</v>
      </c>
      <c r="NP43" s="83">
        <v>330.683919</v>
      </c>
      <c r="NQ43" s="83">
        <v>330.16337299999998</v>
      </c>
      <c r="NR43" s="83">
        <v>330.66251499999998</v>
      </c>
      <c r="NS43" s="83">
        <v>281.07371799999999</v>
      </c>
      <c r="NT43" s="83">
        <v>318.76867600000003</v>
      </c>
      <c r="NU43" s="83">
        <v>320.330037</v>
      </c>
      <c r="NV43" s="83">
        <v>305.744192</v>
      </c>
      <c r="NW43" s="83">
        <v>363.80477200000001</v>
      </c>
      <c r="NX43" s="83">
        <v>322.35157099999998</v>
      </c>
      <c r="NY43" s="83">
        <v>322.94227100000001</v>
      </c>
      <c r="NZ43" s="83">
        <v>273.68721799999997</v>
      </c>
      <c r="OA43" s="83">
        <v>311.70410700000002</v>
      </c>
      <c r="OB43" s="83">
        <v>313.92458499999998</v>
      </c>
      <c r="OC43" s="83">
        <v>295.61670600000002</v>
      </c>
      <c r="OD43" s="83">
        <v>353.129008</v>
      </c>
      <c r="OE43" s="83">
        <v>331.45624900000001</v>
      </c>
      <c r="OF43" s="83">
        <v>332.05215600000002</v>
      </c>
      <c r="OG43" s="83">
        <v>281.1823</v>
      </c>
      <c r="OH43" s="83">
        <v>320.665502</v>
      </c>
      <c r="OI43" s="83">
        <v>323.15355099999999</v>
      </c>
      <c r="OJ43" s="83">
        <v>286.56657999999999</v>
      </c>
      <c r="OK43" s="83">
        <v>342.33468499999998</v>
      </c>
      <c r="OL43" s="83">
        <v>340.10875099999998</v>
      </c>
      <c r="OM43" s="83">
        <v>340.980457</v>
      </c>
      <c r="ON43" s="83">
        <v>289.23494799999997</v>
      </c>
      <c r="OO43" s="83">
        <v>328.51675</v>
      </c>
      <c r="OP43" s="83">
        <v>330.520309</v>
      </c>
      <c r="OQ43" s="83">
        <v>306.119418</v>
      </c>
      <c r="OR43" s="83">
        <v>364.08234900000002</v>
      </c>
      <c r="OS43" s="83">
        <v>323.01572599999997</v>
      </c>
      <c r="OT43" s="83">
        <v>323.30101100000002</v>
      </c>
      <c r="OU43" s="83">
        <v>274.20919199999997</v>
      </c>
      <c r="OV43" s="83">
        <v>312.42284000000001</v>
      </c>
      <c r="OW43" s="83">
        <v>314.57942700000001</v>
      </c>
      <c r="OX43" s="83">
        <v>291.82266700000002</v>
      </c>
      <c r="OY43" s="83">
        <v>347.45293700000002</v>
      </c>
      <c r="OZ43" s="83">
        <v>326.72378400000002</v>
      </c>
      <c r="PA43" s="83">
        <v>327.17708299999998</v>
      </c>
      <c r="PB43" s="83">
        <v>277.78391199999999</v>
      </c>
      <c r="PC43" s="83">
        <v>315.69683600000002</v>
      </c>
      <c r="PD43" s="83">
        <v>317.55224800000002</v>
      </c>
      <c r="PE43" s="83">
        <v>271.78616399999999</v>
      </c>
      <c r="PF43" s="83">
        <v>324.41069399999998</v>
      </c>
      <c r="PG43" s="83">
        <v>328.963415</v>
      </c>
      <c r="PH43" s="83">
        <v>329.45644299999998</v>
      </c>
      <c r="PI43" s="83">
        <v>279.93611199999998</v>
      </c>
      <c r="PJ43" s="83">
        <v>317.68869699999999</v>
      </c>
      <c r="PK43" s="83">
        <v>319.34698400000002</v>
      </c>
      <c r="PL43" s="83">
        <v>316.251553</v>
      </c>
      <c r="PM43" s="83">
        <v>375.383397</v>
      </c>
      <c r="PN43" s="83">
        <v>326.80715199999997</v>
      </c>
      <c r="PO43" s="83">
        <v>326.78734200000002</v>
      </c>
      <c r="PP43" s="83">
        <v>277.52035100000001</v>
      </c>
      <c r="PQ43" s="83">
        <v>316.076144</v>
      </c>
      <c r="PR43" s="83">
        <v>318.06794300000001</v>
      </c>
      <c r="PS43" s="83">
        <v>307.43689999999998</v>
      </c>
      <c r="PT43" s="83">
        <v>367.597241</v>
      </c>
      <c r="PU43" s="83">
        <v>345.040863</v>
      </c>
      <c r="PV43" s="83">
        <v>345.43024800000001</v>
      </c>
      <c r="PW43" s="83">
        <v>292.388124</v>
      </c>
      <c r="PX43" s="83">
        <v>334.055025</v>
      </c>
      <c r="PY43" s="83">
        <v>336.84793300000001</v>
      </c>
      <c r="PZ43" s="83">
        <v>281.86457100000001</v>
      </c>
      <c r="QA43" s="83">
        <v>338.10032999999999</v>
      </c>
      <c r="QB43" s="83">
        <v>317.07574</v>
      </c>
      <c r="QC43" s="83">
        <v>317.14298100000002</v>
      </c>
      <c r="QD43" s="83">
        <v>267.91130800000002</v>
      </c>
      <c r="QE43" s="83">
        <v>307.552526</v>
      </c>
      <c r="QF43" s="83">
        <v>310.72083900000001</v>
      </c>
      <c r="QG43" s="83">
        <v>277.80789099999998</v>
      </c>
      <c r="QH43" s="83">
        <v>331.72458399999999</v>
      </c>
      <c r="QI43" s="83">
        <v>311.71998400000001</v>
      </c>
      <c r="QJ43" s="83">
        <v>311.84384499999999</v>
      </c>
      <c r="QK43" s="83">
        <v>264.30950100000001</v>
      </c>
      <c r="QL43" s="83">
        <v>301.73149000000001</v>
      </c>
      <c r="QM43" s="83">
        <v>304.04051299999998</v>
      </c>
      <c r="QN43" s="83">
        <v>287.85479299999997</v>
      </c>
      <c r="QO43" s="83">
        <v>343.73132900000002</v>
      </c>
      <c r="QP43" s="83">
        <v>323.04157800000002</v>
      </c>
      <c r="QQ43" s="83">
        <v>323.10709700000001</v>
      </c>
      <c r="QR43" s="83">
        <v>273.87258300000002</v>
      </c>
      <c r="QS43" s="83">
        <v>312.72260499999999</v>
      </c>
    </row>
    <row r="44" spans="6:461" x14ac:dyDescent="0.25">
      <c r="F44" s="82" t="str">
        <f xml:space="preserve"> _xll.EPMOlapMemberO("[PRDDESCR].[].[WONDER GFREE WHOLEM 500G]","","WONDER GFREE WHOLEM 500G","","000")</f>
        <v>WONDER GFREE WHOLEM 500G</v>
      </c>
      <c r="G44" s="82" t="str">
        <f xml:space="preserve"> _xll.EPMOlapMemberO("[PRDID].[].[179650]","","179650","","000")</f>
        <v>179650</v>
      </c>
      <c r="H44" s="82" t="str">
        <f xml:space="preserve"> _xll.EPMOlapMemberO("[LOCID].[].[6105]","","6105","","000")</f>
        <v>6105</v>
      </c>
      <c r="I44" s="82" t="str">
        <f xml:space="preserve"> _xll.EPMOlapMemberO("[LOCDESCR].[].[QBA-Rydalmere]","","QBA-Rydalmere","","000")</f>
        <v>QBA-Rydalmere</v>
      </c>
      <c r="J44" s="82" t="str">
        <f xml:space="preserve"> _xll.EPMOlapMemberO("[KEY_FIGURES].[].[ZGFAPPROVEDFCSTQTY]","","Approved Forecast","","000")</f>
        <v>Approved Forecast</v>
      </c>
      <c r="K44" s="83">
        <v>156.78813700000001</v>
      </c>
      <c r="L44" s="83">
        <v>170.70834099999999</v>
      </c>
      <c r="M44" s="83">
        <v>182.374628</v>
      </c>
      <c r="N44" s="83">
        <v>149.525869</v>
      </c>
      <c r="O44" s="83">
        <v>284.56229300000001</v>
      </c>
      <c r="P44" s="83">
        <v>206.53068099999999</v>
      </c>
      <c r="Q44" s="83">
        <v>157.66525799999999</v>
      </c>
      <c r="R44" s="83">
        <v>160.61782199999999</v>
      </c>
      <c r="S44" s="83">
        <v>185.71712199999999</v>
      </c>
      <c r="T44" s="83">
        <v>185.05328399999999</v>
      </c>
      <c r="U44" s="83">
        <v>154.07476600000001</v>
      </c>
      <c r="V44" s="83">
        <v>253.679935</v>
      </c>
      <c r="W44" s="83">
        <v>184.62059500000001</v>
      </c>
      <c r="X44" s="83">
        <v>149.24032500000001</v>
      </c>
      <c r="Y44" s="83">
        <v>155.96584100000001</v>
      </c>
      <c r="Z44" s="83">
        <v>172.62804700000001</v>
      </c>
      <c r="AA44" s="83">
        <v>177.30118100000001</v>
      </c>
      <c r="AB44" s="83">
        <v>147.240118</v>
      </c>
      <c r="AC44" s="83">
        <v>295.04634499999997</v>
      </c>
      <c r="AD44" s="83">
        <v>212.60530800000001</v>
      </c>
      <c r="AE44" s="83">
        <v>154.11311699999999</v>
      </c>
      <c r="AF44" s="83">
        <v>164.746962</v>
      </c>
      <c r="AG44" s="83">
        <v>181.86947499999999</v>
      </c>
      <c r="AH44" s="83">
        <v>191.081658</v>
      </c>
      <c r="AI44" s="83">
        <v>155.633532</v>
      </c>
      <c r="AJ44" s="83">
        <v>274.822562</v>
      </c>
      <c r="AK44" s="83">
        <v>200.27693400000001</v>
      </c>
      <c r="AL44" s="83">
        <v>149.85572500000001</v>
      </c>
      <c r="AM44" s="83">
        <v>161.42695000000001</v>
      </c>
      <c r="AN44" s="83">
        <v>176.22992300000001</v>
      </c>
      <c r="AO44" s="83">
        <v>185.651375</v>
      </c>
      <c r="AP44" s="83">
        <v>151.39966200000001</v>
      </c>
      <c r="AQ44" s="83">
        <v>269.38064700000001</v>
      </c>
      <c r="AR44" s="83">
        <v>197.61524499999999</v>
      </c>
      <c r="AS44" s="83">
        <v>154.40650199999999</v>
      </c>
      <c r="AT44" s="83">
        <v>165.48397399999999</v>
      </c>
      <c r="AU44" s="83">
        <v>181.93409600000001</v>
      </c>
      <c r="AV44" s="83">
        <v>191.339831</v>
      </c>
      <c r="AW44" s="83">
        <v>155.978004</v>
      </c>
      <c r="AX44" s="83">
        <v>283.03328399999998</v>
      </c>
      <c r="AY44" s="83">
        <v>203.50548800000001</v>
      </c>
      <c r="AZ44" s="83">
        <v>145.718074</v>
      </c>
      <c r="BA44" s="83">
        <v>156.10750100000001</v>
      </c>
      <c r="BB44" s="83">
        <v>171.82631900000001</v>
      </c>
      <c r="BC44" s="83">
        <v>180.64922799999999</v>
      </c>
      <c r="BD44" s="83">
        <v>147.16510199999999</v>
      </c>
      <c r="BE44" s="83">
        <v>255.036539</v>
      </c>
      <c r="BF44" s="83">
        <v>188.579983</v>
      </c>
      <c r="BG44" s="83">
        <v>138.611422</v>
      </c>
      <c r="BH44" s="83">
        <v>150.00246799999999</v>
      </c>
      <c r="BI44" s="83">
        <v>163.98270400000001</v>
      </c>
      <c r="BJ44" s="83">
        <v>172.667259</v>
      </c>
      <c r="BK44" s="83">
        <v>139.57900000000001</v>
      </c>
      <c r="BL44" s="83">
        <v>261.777556</v>
      </c>
      <c r="BM44" s="83">
        <v>192.06253100000001</v>
      </c>
      <c r="BN44" s="83">
        <v>147.58667700000001</v>
      </c>
      <c r="BO44" s="83">
        <v>158.83971299999999</v>
      </c>
      <c r="BP44" s="83">
        <v>173.71999199999999</v>
      </c>
      <c r="BQ44" s="83">
        <v>182.923744</v>
      </c>
      <c r="BR44" s="83">
        <v>149.06790599999999</v>
      </c>
      <c r="BS44" s="83">
        <v>283.84900800000003</v>
      </c>
      <c r="BT44" s="83">
        <v>207.53277700000001</v>
      </c>
      <c r="BU44" s="83">
        <v>149.63017500000001</v>
      </c>
      <c r="BV44" s="83">
        <v>162.00508600000001</v>
      </c>
      <c r="BW44" s="83">
        <v>176.32466700000001</v>
      </c>
      <c r="BX44" s="83">
        <v>185.88019399999999</v>
      </c>
      <c r="BY44" s="83">
        <v>150.921448</v>
      </c>
      <c r="BZ44" s="83">
        <v>251.35887700000001</v>
      </c>
      <c r="CA44" s="83">
        <v>183.72285099999999</v>
      </c>
      <c r="CB44" s="83">
        <v>136.58496400000001</v>
      </c>
      <c r="CC44" s="83">
        <v>146.79378800000001</v>
      </c>
      <c r="CD44" s="83">
        <v>161.33435700000001</v>
      </c>
      <c r="CE44" s="83">
        <v>169.66485499999999</v>
      </c>
      <c r="CF44" s="83">
        <v>137.77553599999999</v>
      </c>
      <c r="CG44" s="83">
        <v>256.15428600000001</v>
      </c>
      <c r="CH44" s="83">
        <v>187.17103599999999</v>
      </c>
      <c r="CI44" s="83">
        <v>138.82119299999999</v>
      </c>
      <c r="CJ44" s="83">
        <v>148.510313</v>
      </c>
      <c r="CK44" s="83">
        <v>164.55654200000001</v>
      </c>
      <c r="CL44" s="83">
        <v>172.71424400000001</v>
      </c>
      <c r="CM44" s="83">
        <v>139.90410499999999</v>
      </c>
      <c r="CN44" s="83">
        <v>258.21979399999998</v>
      </c>
      <c r="CO44" s="83">
        <v>188.63820699999999</v>
      </c>
      <c r="CP44" s="83">
        <v>140.55162200000001</v>
      </c>
      <c r="CQ44" s="83">
        <v>151.34393700000001</v>
      </c>
      <c r="CR44" s="83">
        <v>165.66897800000001</v>
      </c>
      <c r="CS44" s="83">
        <v>174.39887899999999</v>
      </c>
      <c r="CT44" s="83">
        <v>141.86812399999999</v>
      </c>
      <c r="CU44" s="83">
        <v>255.66415000000001</v>
      </c>
      <c r="CV44" s="83">
        <v>187.03775099999999</v>
      </c>
      <c r="CW44" s="83">
        <v>139.31882899999999</v>
      </c>
      <c r="CX44" s="83">
        <v>150.42826600000001</v>
      </c>
      <c r="CY44" s="83">
        <v>163.99701300000001</v>
      </c>
      <c r="CZ44" s="83">
        <v>172.80821399999999</v>
      </c>
      <c r="DA44" s="83">
        <v>140.65061299999999</v>
      </c>
      <c r="DB44" s="83">
        <v>247.01829499999999</v>
      </c>
      <c r="DC44" s="83">
        <v>181.92767599999999</v>
      </c>
      <c r="DD44" s="83">
        <v>139.106494</v>
      </c>
      <c r="DE44" s="83">
        <v>149.58748399999999</v>
      </c>
      <c r="DF44" s="83">
        <v>164.278842</v>
      </c>
      <c r="DG44" s="83">
        <v>172.79593399999999</v>
      </c>
      <c r="DH44" s="83">
        <v>140.318884</v>
      </c>
      <c r="DI44" s="83">
        <v>267.61673100000002</v>
      </c>
      <c r="DJ44" s="83">
        <v>193.93879699999999</v>
      </c>
      <c r="DK44" s="83">
        <v>142.41557399999999</v>
      </c>
      <c r="DL44" s="83">
        <v>152.543744</v>
      </c>
      <c r="DM44" s="83">
        <v>170.32812899999999</v>
      </c>
      <c r="DN44" s="83">
        <v>178.43180100000001</v>
      </c>
      <c r="DO44" s="83">
        <v>142.92435399999999</v>
      </c>
      <c r="DP44" s="83">
        <v>279.38233600000001</v>
      </c>
      <c r="DQ44" s="83">
        <v>205.57917499999999</v>
      </c>
      <c r="DR44" s="83">
        <v>149.13829699999999</v>
      </c>
      <c r="DS44" s="83">
        <v>160.36705900000001</v>
      </c>
      <c r="DT44" s="83">
        <v>174.96975399999999</v>
      </c>
      <c r="DU44" s="83">
        <v>184.355198</v>
      </c>
      <c r="DV44" s="83">
        <v>150.873187</v>
      </c>
      <c r="DW44" s="83">
        <v>269.17381599999999</v>
      </c>
      <c r="DX44" s="83">
        <v>195.90256600000001</v>
      </c>
      <c r="DY44" s="83">
        <v>146.997589</v>
      </c>
      <c r="DZ44" s="83">
        <v>158.644139</v>
      </c>
      <c r="EA44" s="83">
        <v>172.47350700000001</v>
      </c>
      <c r="EB44" s="83">
        <v>181.877409</v>
      </c>
      <c r="EC44" s="83">
        <v>148.62272899999999</v>
      </c>
      <c r="ED44" s="83">
        <v>280.41763300000002</v>
      </c>
      <c r="EE44" s="83">
        <v>204.52163100000001</v>
      </c>
      <c r="EF44" s="83">
        <v>153.50134299999999</v>
      </c>
      <c r="EG44" s="83">
        <v>166.37444600000001</v>
      </c>
      <c r="EH44" s="83">
        <v>179.649182</v>
      </c>
      <c r="EI44" s="83">
        <v>189.76733100000001</v>
      </c>
      <c r="EJ44" s="83">
        <v>155.269565</v>
      </c>
      <c r="EK44" s="83">
        <v>279.52513299999998</v>
      </c>
      <c r="EL44" s="83">
        <v>202.88844800000001</v>
      </c>
      <c r="EM44" s="83">
        <v>162.429925</v>
      </c>
      <c r="EN44" s="83">
        <v>172.64989199999999</v>
      </c>
      <c r="EO44" s="83">
        <v>191.11464100000001</v>
      </c>
      <c r="EP44" s="83">
        <v>200.682436</v>
      </c>
      <c r="EQ44" s="83">
        <v>164.38147699999999</v>
      </c>
      <c r="ER44" s="83">
        <v>261.94637299999999</v>
      </c>
      <c r="ES44" s="83">
        <v>192.87697700000001</v>
      </c>
      <c r="ET44" s="83">
        <v>134.42711800000001</v>
      </c>
      <c r="EU44" s="83">
        <v>145.904967</v>
      </c>
      <c r="EV44" s="83">
        <v>159.42554100000001</v>
      </c>
      <c r="EW44" s="83">
        <v>167.877836</v>
      </c>
      <c r="EX44" s="83">
        <v>135.15876600000001</v>
      </c>
      <c r="EY44" s="83">
        <v>300.461094</v>
      </c>
      <c r="EZ44" s="83">
        <v>217.35940199999999</v>
      </c>
      <c r="FA44" s="83">
        <v>179.91360700000001</v>
      </c>
      <c r="FB44" s="83">
        <v>191.10759100000001</v>
      </c>
      <c r="FC44" s="83">
        <v>210.65974399999999</v>
      </c>
      <c r="FD44" s="83">
        <v>221.45695699999999</v>
      </c>
      <c r="FE44" s="83">
        <v>182.47448299999999</v>
      </c>
      <c r="FF44" s="83">
        <v>319.54611399999999</v>
      </c>
      <c r="FG44" s="83">
        <v>232.07281599999999</v>
      </c>
      <c r="FH44" s="83">
        <v>166.08557099999999</v>
      </c>
      <c r="FI44" s="83">
        <v>181.608226</v>
      </c>
      <c r="FJ44" s="83">
        <v>196.62670499999999</v>
      </c>
      <c r="FK44" s="83">
        <v>207.54549499999999</v>
      </c>
      <c r="FL44" s="83">
        <v>166.91683</v>
      </c>
      <c r="FM44" s="83">
        <v>272.24062900000001</v>
      </c>
      <c r="FN44" s="83">
        <v>202.61829900000001</v>
      </c>
      <c r="FO44" s="83">
        <v>153.34736100000001</v>
      </c>
      <c r="FP44" s="83">
        <v>165.176672</v>
      </c>
      <c r="FQ44" s="83">
        <v>179.22590400000001</v>
      </c>
      <c r="FR44" s="83">
        <v>189.102934</v>
      </c>
      <c r="FS44" s="83">
        <v>155.34873400000001</v>
      </c>
      <c r="FT44" s="83">
        <v>308.12809700000003</v>
      </c>
      <c r="FU44" s="83">
        <v>220.91370900000001</v>
      </c>
      <c r="FV44" s="83">
        <v>158.26755499999999</v>
      </c>
      <c r="FW44" s="83">
        <v>170.25731099999999</v>
      </c>
      <c r="FX44" s="83">
        <v>185.67334500000001</v>
      </c>
      <c r="FY44" s="83">
        <v>195.664062</v>
      </c>
      <c r="FZ44" s="83">
        <v>160.096204</v>
      </c>
      <c r="GA44" s="83">
        <v>280.48590899999999</v>
      </c>
      <c r="GB44" s="83">
        <v>205.168531</v>
      </c>
      <c r="GC44" s="83">
        <v>152.342173</v>
      </c>
      <c r="GD44" s="83">
        <v>163.41490200000001</v>
      </c>
      <c r="GE44" s="83">
        <v>180.19744600000001</v>
      </c>
      <c r="GF44" s="83">
        <v>189.36694199999999</v>
      </c>
      <c r="GG44" s="83">
        <v>153.60940400000001</v>
      </c>
      <c r="GH44" s="83">
        <v>257.101654</v>
      </c>
      <c r="GI44" s="83">
        <v>189.82186999999999</v>
      </c>
      <c r="GJ44" s="83">
        <v>156.433457</v>
      </c>
      <c r="GK44" s="83">
        <v>166.34940700000001</v>
      </c>
      <c r="GL44" s="83">
        <v>184.84132500000001</v>
      </c>
      <c r="GM44" s="83">
        <v>193.90431599999999</v>
      </c>
      <c r="GN44" s="83">
        <v>158.00827000000001</v>
      </c>
      <c r="GO44" s="83">
        <v>286.13227799999999</v>
      </c>
      <c r="GP44" s="83">
        <v>205.007576</v>
      </c>
      <c r="GQ44" s="83">
        <v>139.437893</v>
      </c>
      <c r="GR44" s="83">
        <v>150.81338600000001</v>
      </c>
      <c r="GS44" s="83">
        <v>163.922121</v>
      </c>
      <c r="GT44" s="83">
        <v>172.856876</v>
      </c>
      <c r="GU44" s="83">
        <v>140.816768</v>
      </c>
      <c r="GV44" s="83">
        <v>300.44143100000002</v>
      </c>
      <c r="GW44" s="83">
        <v>216.615443</v>
      </c>
      <c r="GX44" s="83">
        <v>173.08901599999999</v>
      </c>
      <c r="GY44" s="83">
        <v>185.35944499999999</v>
      </c>
      <c r="GZ44" s="83">
        <v>201.86654799999999</v>
      </c>
      <c r="HA44" s="83">
        <v>212.82995500000001</v>
      </c>
      <c r="HB44" s="83">
        <v>175.65263100000001</v>
      </c>
      <c r="HC44" s="83">
        <v>284.44441699999999</v>
      </c>
      <c r="HD44" s="83">
        <v>208.70681999999999</v>
      </c>
      <c r="HE44" s="83">
        <v>148.01392200000001</v>
      </c>
      <c r="HF44" s="83">
        <v>160.529957</v>
      </c>
      <c r="HG44" s="83">
        <v>174.858745</v>
      </c>
      <c r="HH44" s="83">
        <v>184.29146499999999</v>
      </c>
      <c r="HI44" s="83">
        <v>149.08709999999999</v>
      </c>
      <c r="HJ44" s="83">
        <v>308.42084899999998</v>
      </c>
      <c r="HK44" s="83">
        <v>223.37690900000001</v>
      </c>
      <c r="HL44" s="83">
        <v>178.80156700000001</v>
      </c>
      <c r="HM44" s="83">
        <v>192.41328799999999</v>
      </c>
      <c r="HN44" s="83">
        <v>210.14870199999999</v>
      </c>
      <c r="HO44" s="83">
        <v>221.39136300000001</v>
      </c>
      <c r="HP44" s="83">
        <v>180.70204100000001</v>
      </c>
      <c r="HQ44" s="83">
        <v>317.27301299999999</v>
      </c>
      <c r="HR44" s="83">
        <v>233.24082799999999</v>
      </c>
      <c r="HS44" s="83">
        <v>168.93519699999999</v>
      </c>
      <c r="HT44" s="83">
        <v>183.41642200000001</v>
      </c>
      <c r="HU44" s="83">
        <v>197.517763</v>
      </c>
      <c r="HV44" s="83">
        <v>208.795379</v>
      </c>
      <c r="HW44" s="83">
        <v>170.903842</v>
      </c>
      <c r="HX44" s="83">
        <v>320.24980099999999</v>
      </c>
      <c r="HY44" s="83">
        <v>234.62272200000001</v>
      </c>
      <c r="HZ44" s="83">
        <v>175.255245</v>
      </c>
      <c r="IA44" s="83">
        <v>190.65751399999999</v>
      </c>
      <c r="IB44" s="83">
        <v>204.89757700000001</v>
      </c>
      <c r="IC44" s="83">
        <v>216.70869099999999</v>
      </c>
      <c r="ID44" s="83">
        <v>177.24580499999999</v>
      </c>
      <c r="IE44" s="83">
        <v>305.35997500000002</v>
      </c>
      <c r="IF44" s="83">
        <v>222.58305200000001</v>
      </c>
      <c r="IG44" s="83">
        <v>162.29280399999999</v>
      </c>
      <c r="IH44" s="83">
        <v>176.513586</v>
      </c>
      <c r="II44" s="83">
        <v>189.244968</v>
      </c>
      <c r="IJ44" s="83">
        <v>200.26551000000001</v>
      </c>
      <c r="IK44" s="83">
        <v>164.336758</v>
      </c>
      <c r="IL44" s="83">
        <v>324.41272199999997</v>
      </c>
      <c r="IM44" s="83">
        <v>232.331075</v>
      </c>
      <c r="IN44" s="83">
        <v>188.011359</v>
      </c>
      <c r="IO44" s="83">
        <v>201.28293300000001</v>
      </c>
      <c r="IP44" s="83">
        <v>220.834656</v>
      </c>
      <c r="IQ44" s="83">
        <v>232.40830600000001</v>
      </c>
      <c r="IR44" s="83">
        <v>190.20262</v>
      </c>
      <c r="IS44" s="83">
        <v>333.68658099999999</v>
      </c>
      <c r="IT44" s="83">
        <v>242.988856</v>
      </c>
      <c r="IU44" s="83">
        <v>172.709217</v>
      </c>
      <c r="IV44" s="83">
        <v>186.699479</v>
      </c>
      <c r="IW44" s="83">
        <v>200.98873800000001</v>
      </c>
      <c r="IX44" s="83">
        <v>212.498549</v>
      </c>
      <c r="IY44" s="83">
        <v>175.19075000000001</v>
      </c>
      <c r="IZ44" s="83">
        <v>304.648347</v>
      </c>
      <c r="JA44" s="83">
        <v>221.45621199999999</v>
      </c>
      <c r="JB44" s="83">
        <v>167.34871200000001</v>
      </c>
      <c r="JC44" s="83">
        <v>181.801537</v>
      </c>
      <c r="JD44" s="83">
        <v>194.96024600000001</v>
      </c>
      <c r="JE44" s="83">
        <v>206.30927</v>
      </c>
      <c r="JF44" s="83">
        <v>169.55170699999999</v>
      </c>
      <c r="JG44" s="83">
        <v>286.07730500000002</v>
      </c>
      <c r="JH44" s="83">
        <v>210.86291800000001</v>
      </c>
      <c r="JI44" s="83">
        <v>156.180902</v>
      </c>
      <c r="JJ44" s="83">
        <v>169.576911</v>
      </c>
      <c r="JK44" s="83">
        <v>183.73383200000001</v>
      </c>
      <c r="JL44" s="83">
        <v>193.91132999999999</v>
      </c>
      <c r="JM44" s="83">
        <v>157.57670400000001</v>
      </c>
      <c r="JN44" s="83">
        <v>218.95500899999999</v>
      </c>
      <c r="JO44" s="83">
        <v>280.42134099999998</v>
      </c>
      <c r="JP44" s="83">
        <v>138.565012</v>
      </c>
      <c r="JQ44" s="83">
        <v>164.79943800000001</v>
      </c>
      <c r="JR44" s="83">
        <v>153.47632400000001</v>
      </c>
      <c r="JS44" s="83">
        <v>218.95483899999999</v>
      </c>
      <c r="JT44" s="83">
        <v>218.95482000000001</v>
      </c>
      <c r="JU44" s="83">
        <v>195.785326</v>
      </c>
      <c r="JV44" s="83">
        <v>195.78527099999999</v>
      </c>
      <c r="JW44" s="83">
        <v>208.90272100000001</v>
      </c>
      <c r="JX44" s="83">
        <v>208.90266600000001</v>
      </c>
      <c r="JY44" s="83">
        <v>208.90263100000001</v>
      </c>
      <c r="JZ44" s="83">
        <v>208.90259399999999</v>
      </c>
      <c r="KA44" s="83">
        <v>208.90255199999999</v>
      </c>
      <c r="KB44" s="83">
        <v>224.59146000000001</v>
      </c>
      <c r="KC44" s="83">
        <v>224.59140600000001</v>
      </c>
      <c r="KD44" s="83">
        <v>210.10816</v>
      </c>
      <c r="KE44" s="83">
        <v>210.10811000000001</v>
      </c>
      <c r="KF44" s="83">
        <v>210.108071</v>
      </c>
      <c r="KG44" s="83">
        <v>210.10803799999999</v>
      </c>
      <c r="KH44" s="83">
        <v>210.10799900000001</v>
      </c>
      <c r="KI44" s="83">
        <v>190.980727</v>
      </c>
      <c r="KJ44" s="83">
        <v>190.98067599999999</v>
      </c>
      <c r="KK44" s="83">
        <v>204.084248</v>
      </c>
      <c r="KL44" s="83">
        <v>204.08420100000001</v>
      </c>
      <c r="KM44" s="83">
        <v>204.08416299999999</v>
      </c>
      <c r="KN44" s="83">
        <v>204.08412300000001</v>
      </c>
      <c r="KO44" s="83">
        <v>204.08409</v>
      </c>
      <c r="KP44" s="83">
        <v>199.189705</v>
      </c>
      <c r="KQ44" s="83">
        <v>199.189651</v>
      </c>
      <c r="KR44" s="83">
        <v>186.394409</v>
      </c>
      <c r="KS44" s="83">
        <v>186.39436499999999</v>
      </c>
      <c r="KT44" s="83">
        <v>186.394329</v>
      </c>
      <c r="KU44" s="83">
        <v>186.394295</v>
      </c>
      <c r="KV44" s="83">
        <v>186.39426599999999</v>
      </c>
      <c r="KW44" s="83">
        <v>176.873312</v>
      </c>
      <c r="KX44" s="83">
        <v>176.87326200000001</v>
      </c>
      <c r="KY44" s="83">
        <v>176.87321900000001</v>
      </c>
      <c r="KZ44" s="83">
        <v>176.873175</v>
      </c>
      <c r="LA44" s="83">
        <v>176.87314000000001</v>
      </c>
      <c r="LB44" s="83">
        <v>176.87311299999999</v>
      </c>
      <c r="LC44" s="83">
        <v>176.87308300000001</v>
      </c>
      <c r="LD44" s="83">
        <v>199.07747800000001</v>
      </c>
      <c r="LE44" s="83">
        <v>199.07742999999999</v>
      </c>
      <c r="LF44" s="83">
        <v>208.88196199999999</v>
      </c>
      <c r="LG44" s="83">
        <v>208.88190700000001</v>
      </c>
      <c r="LH44" s="83">
        <v>208.881866</v>
      </c>
      <c r="LI44" s="83">
        <v>208.881834</v>
      </c>
      <c r="LJ44" s="83">
        <v>208.881801</v>
      </c>
      <c r="LK44" s="83">
        <v>185.49842799999999</v>
      </c>
      <c r="LL44" s="83">
        <v>185.498378</v>
      </c>
      <c r="LM44" s="83">
        <v>176.90027499999999</v>
      </c>
      <c r="LN44" s="83">
        <v>176.90022200000001</v>
      </c>
      <c r="LO44" s="83">
        <v>176.90019000000001</v>
      </c>
      <c r="LP44" s="83">
        <v>176.900159</v>
      </c>
      <c r="LQ44" s="83">
        <v>176.900127</v>
      </c>
      <c r="LR44" s="83">
        <v>168.98746800000001</v>
      </c>
      <c r="LS44" s="83">
        <v>168.987438</v>
      </c>
      <c r="LT44" s="83">
        <v>168.98741100000001</v>
      </c>
      <c r="LU44" s="83">
        <v>168.98736299999999</v>
      </c>
      <c r="LV44" s="83">
        <v>168.98733100000001</v>
      </c>
      <c r="LW44" s="83">
        <v>168.98730599999999</v>
      </c>
      <c r="LX44" s="83">
        <v>168.98727400000001</v>
      </c>
      <c r="LY44" s="83">
        <v>161.14357999999999</v>
      </c>
      <c r="LZ44" s="83">
        <v>161.143541</v>
      </c>
      <c r="MA44" s="83">
        <v>172.75266300000001</v>
      </c>
      <c r="MB44" s="83">
        <v>172.75262000000001</v>
      </c>
      <c r="MC44" s="83">
        <v>172.75258700000001</v>
      </c>
      <c r="MD44" s="83">
        <v>172.75255799999999</v>
      </c>
      <c r="ME44" s="83">
        <v>172.75252900000001</v>
      </c>
      <c r="MF44" s="83">
        <v>199.76666900000001</v>
      </c>
      <c r="MG44" s="83">
        <v>199.76661899999999</v>
      </c>
      <c r="MH44" s="83">
        <v>184.43294399999999</v>
      </c>
      <c r="MI44" s="83">
        <v>184.43289799999999</v>
      </c>
      <c r="MJ44" s="83">
        <v>184.43286000000001</v>
      </c>
      <c r="MK44" s="83">
        <v>184.43282300000001</v>
      </c>
      <c r="ML44" s="83">
        <v>184.432795</v>
      </c>
      <c r="MM44" s="83">
        <v>176.82132300000001</v>
      </c>
      <c r="MN44" s="83">
        <v>176.82130100000001</v>
      </c>
      <c r="MO44" s="83">
        <v>176.82128299999999</v>
      </c>
      <c r="MP44" s="83">
        <v>176.82124899999999</v>
      </c>
      <c r="MQ44" s="83">
        <v>176.82122200000001</v>
      </c>
      <c r="MR44" s="83">
        <v>176.821191</v>
      </c>
      <c r="MS44" s="83">
        <v>176.821158</v>
      </c>
      <c r="MT44" s="83">
        <v>161.96505300000001</v>
      </c>
      <c r="MU44" s="83">
        <v>161.96500499999999</v>
      </c>
      <c r="MV44" s="83">
        <v>175.025969</v>
      </c>
      <c r="MW44" s="83">
        <v>175.02592799999999</v>
      </c>
      <c r="MX44" s="83">
        <v>175.02589699999999</v>
      </c>
      <c r="MY44" s="83">
        <v>175.025868</v>
      </c>
      <c r="MZ44" s="83">
        <v>175.02583799999999</v>
      </c>
      <c r="NA44" s="83">
        <v>193.87065200000001</v>
      </c>
      <c r="NB44" s="83">
        <v>193.870608</v>
      </c>
      <c r="NC44" s="83">
        <v>177.90650600000001</v>
      </c>
      <c r="ND44" s="83">
        <v>177.90647100000001</v>
      </c>
      <c r="NE44" s="83">
        <v>177.90643499999999</v>
      </c>
      <c r="NF44" s="83">
        <v>177.906408</v>
      </c>
      <c r="NG44" s="83">
        <v>177.90637599999999</v>
      </c>
      <c r="NH44" s="83">
        <v>180.164399</v>
      </c>
      <c r="NI44" s="83">
        <v>180.16435100000001</v>
      </c>
      <c r="NJ44" s="83">
        <v>180.1643</v>
      </c>
      <c r="NK44" s="83">
        <v>180.16425599999999</v>
      </c>
      <c r="NL44" s="83">
        <v>180.16422299999999</v>
      </c>
      <c r="NM44" s="83">
        <v>180.16419200000001</v>
      </c>
      <c r="NN44" s="83">
        <v>180.16416100000001</v>
      </c>
      <c r="NO44" s="83">
        <v>189.17172099999999</v>
      </c>
      <c r="NP44" s="83">
        <v>189.171674</v>
      </c>
      <c r="NQ44" s="83">
        <v>199.80896000000001</v>
      </c>
      <c r="NR44" s="83">
        <v>199.80891399999999</v>
      </c>
      <c r="NS44" s="83">
        <v>199.80887799999999</v>
      </c>
      <c r="NT44" s="83">
        <v>199.808841</v>
      </c>
      <c r="NU44" s="83">
        <v>199.808808</v>
      </c>
      <c r="NV44" s="83">
        <v>180.08357599999999</v>
      </c>
      <c r="NW44" s="83">
        <v>180.08352400000001</v>
      </c>
      <c r="NX44" s="83">
        <v>170.793318</v>
      </c>
      <c r="NY44" s="83">
        <v>170.79327699999999</v>
      </c>
      <c r="NZ44" s="83">
        <v>170.79324099999999</v>
      </c>
      <c r="OA44" s="83">
        <v>170.79321400000001</v>
      </c>
      <c r="OB44" s="83">
        <v>170.79318499999999</v>
      </c>
      <c r="OC44" s="83">
        <v>190.94786099999999</v>
      </c>
      <c r="OD44" s="83">
        <v>190.9478</v>
      </c>
      <c r="OE44" s="83">
        <v>190.94774699999999</v>
      </c>
      <c r="OF44" s="83">
        <v>190.947699</v>
      </c>
      <c r="OG44" s="83">
        <v>190.94766000000001</v>
      </c>
      <c r="OH44" s="83">
        <v>190.947631</v>
      </c>
      <c r="OI44" s="83">
        <v>190.94760099999999</v>
      </c>
      <c r="OJ44" s="83">
        <v>185.66628</v>
      </c>
      <c r="OK44" s="83">
        <v>185.666235</v>
      </c>
      <c r="OL44" s="83">
        <v>195.59191999999999</v>
      </c>
      <c r="OM44" s="83">
        <v>195.591871</v>
      </c>
      <c r="ON44" s="83">
        <v>195.59182899999999</v>
      </c>
      <c r="OO44" s="83">
        <v>195.59179499999999</v>
      </c>
      <c r="OP44" s="83">
        <v>195.591758</v>
      </c>
      <c r="OQ44" s="83">
        <v>191.602957</v>
      </c>
      <c r="OR44" s="83">
        <v>191.602901</v>
      </c>
      <c r="OS44" s="83">
        <v>182.05828399999999</v>
      </c>
      <c r="OT44" s="83">
        <v>182.058243</v>
      </c>
      <c r="OU44" s="83">
        <v>182.05820499999999</v>
      </c>
      <c r="OV44" s="83">
        <v>182.058176</v>
      </c>
      <c r="OW44" s="83">
        <v>182.05814599999999</v>
      </c>
      <c r="OX44" s="83">
        <v>180.57045400000001</v>
      </c>
      <c r="OY44" s="83">
        <v>180.57040599999999</v>
      </c>
      <c r="OZ44" s="83">
        <v>180.57036500000001</v>
      </c>
      <c r="PA44" s="83">
        <v>180.57031599999999</v>
      </c>
      <c r="PB44" s="83">
        <v>180.57028099999999</v>
      </c>
      <c r="PC44" s="83">
        <v>180.57025100000001</v>
      </c>
      <c r="PD44" s="83">
        <v>180.570221</v>
      </c>
      <c r="PE44" s="83">
        <v>172.63716199999999</v>
      </c>
      <c r="PF44" s="83">
        <v>172.637112</v>
      </c>
      <c r="PG44" s="83">
        <v>184.13775000000001</v>
      </c>
      <c r="PH44" s="83">
        <v>184.137699</v>
      </c>
      <c r="PI44" s="83">
        <v>184.13766799999999</v>
      </c>
      <c r="PJ44" s="83">
        <v>184.13763700000001</v>
      </c>
      <c r="PK44" s="83">
        <v>184.137607</v>
      </c>
      <c r="PL44" s="83">
        <v>189.22645199999999</v>
      </c>
      <c r="PM44" s="83">
        <v>189.22640899999999</v>
      </c>
      <c r="PN44" s="83">
        <v>177.05905999999999</v>
      </c>
      <c r="PO44" s="83">
        <v>177.05901700000001</v>
      </c>
      <c r="PP44" s="83">
        <v>177.05898300000001</v>
      </c>
      <c r="PQ44" s="83">
        <v>177.05895899999999</v>
      </c>
      <c r="PR44" s="83">
        <v>177.05892299999999</v>
      </c>
      <c r="PS44" s="83">
        <v>185.905992</v>
      </c>
      <c r="PT44" s="83">
        <v>185.90593799999999</v>
      </c>
      <c r="PU44" s="83">
        <v>185.90588500000001</v>
      </c>
      <c r="PV44" s="83">
        <v>185.905843</v>
      </c>
      <c r="PW44" s="83">
        <v>185.90580800000001</v>
      </c>
      <c r="PX44" s="83">
        <v>185.90577500000001</v>
      </c>
      <c r="PY44" s="83">
        <v>185.905743</v>
      </c>
      <c r="PZ44" s="83">
        <v>169.60512600000001</v>
      </c>
      <c r="QA44" s="83">
        <v>169.60507899999999</v>
      </c>
      <c r="QB44" s="83">
        <v>169.605028</v>
      </c>
      <c r="QC44" s="83">
        <v>169.60497799999999</v>
      </c>
      <c r="QD44" s="83">
        <v>169.60494600000001</v>
      </c>
      <c r="QE44" s="83">
        <v>169.60491400000001</v>
      </c>
      <c r="QF44" s="83">
        <v>169.60489100000001</v>
      </c>
      <c r="QG44" s="83">
        <v>172.54746700000001</v>
      </c>
      <c r="QH44" s="83">
        <v>172.547415</v>
      </c>
      <c r="QI44" s="83">
        <v>172.54737600000001</v>
      </c>
      <c r="QJ44" s="83">
        <v>172.547336</v>
      </c>
      <c r="QK44" s="83">
        <v>172.547303</v>
      </c>
      <c r="QL44" s="83">
        <v>172.54727500000001</v>
      </c>
      <c r="QM44" s="83">
        <v>172.547245</v>
      </c>
      <c r="QN44" s="83">
        <v>174.384308</v>
      </c>
      <c r="QO44" s="83">
        <v>174.384266</v>
      </c>
      <c r="QP44" s="83">
        <v>174.38421299999999</v>
      </c>
      <c r="QQ44" s="83">
        <v>174.384173</v>
      </c>
      <c r="QR44" s="83">
        <v>174.384129</v>
      </c>
      <c r="QS44" s="83">
        <v>174.38410200000001</v>
      </c>
    </row>
    <row r="45" spans="6:461" x14ac:dyDescent="0.25">
      <c r="F45" s="82" t="str">
        <f xml:space="preserve"> _xll.EPMOlapMemberO("[PRDDESCR].[].[WONDER GFREE WHOLEM 500G]","","WONDER GFREE WHOLEM 500G","","000")</f>
        <v>WONDER GFREE WHOLEM 500G</v>
      </c>
      <c r="G45" s="82" t="str">
        <f xml:space="preserve"> _xll.EPMOlapMemberO("[PRDID].[].[179650]","","179650","","000")</f>
        <v>179650</v>
      </c>
      <c r="H45" s="82" t="str">
        <f xml:space="preserve"> _xll.EPMOlapMemberO("[LOCID].[].[6110]","","6110","","000")</f>
        <v>6110</v>
      </c>
      <c r="I45" s="82" t="str">
        <f xml:space="preserve"> _xll.EPMOlapMemberO("[LOCDESCR].[].[QBA-Burleigh Heads]","","QBA-Burleigh Heads","","000")</f>
        <v>QBA-Burleigh Heads</v>
      </c>
      <c r="J45" s="82" t="str">
        <f xml:space="preserve"> _xll.EPMOlapMemberO("[KEY_FIGURES].[].[ZGFAPPROVEDFCSTQTY]","","Approved Forecast","","000")</f>
        <v>Approved Forecast</v>
      </c>
      <c r="K45" s="83">
        <v>418.11513200000002</v>
      </c>
      <c r="L45" s="83">
        <v>271.00830300000001</v>
      </c>
      <c r="M45" s="83">
        <v>416.50811399999998</v>
      </c>
      <c r="N45" s="83">
        <v>303.133531</v>
      </c>
      <c r="O45" s="83">
        <v>0.147371</v>
      </c>
      <c r="P45" s="83">
        <v>580.74983399999996</v>
      </c>
      <c r="Q45" s="83">
        <v>258.638643</v>
      </c>
      <c r="R45" s="83">
        <v>418.36771800000002</v>
      </c>
      <c r="S45" s="83">
        <v>272.04949199999999</v>
      </c>
      <c r="T45" s="83">
        <v>413.59700299999997</v>
      </c>
      <c r="U45" s="83">
        <v>292.74464699999999</v>
      </c>
      <c r="V45" s="83">
        <v>0.132909</v>
      </c>
      <c r="W45" s="83">
        <v>584.73551899999995</v>
      </c>
      <c r="X45" s="83">
        <v>280.83817599999998</v>
      </c>
      <c r="Y45" s="83">
        <v>453.63976600000001</v>
      </c>
      <c r="Z45" s="83">
        <v>291.14810799999998</v>
      </c>
      <c r="AA45" s="83">
        <v>434.308876</v>
      </c>
      <c r="AB45" s="83">
        <v>311.45390300000003</v>
      </c>
      <c r="AC45" s="83">
        <v>0.132415</v>
      </c>
      <c r="AD45" s="83">
        <v>580.25813100000005</v>
      </c>
      <c r="AE45" s="83">
        <v>246.11844400000001</v>
      </c>
      <c r="AF45" s="83">
        <v>404.58371899999997</v>
      </c>
      <c r="AG45" s="83">
        <v>270.32661400000001</v>
      </c>
      <c r="AH45" s="83">
        <v>390.20259399999998</v>
      </c>
      <c r="AI45" s="83">
        <v>275.653097</v>
      </c>
      <c r="AJ45" s="83">
        <v>0.13255800000000001</v>
      </c>
      <c r="AK45" s="83">
        <v>543.67223999999999</v>
      </c>
      <c r="AL45" s="83">
        <v>240.402648</v>
      </c>
      <c r="AM45" s="83">
        <v>393.23087099999998</v>
      </c>
      <c r="AN45" s="83">
        <v>264.283705</v>
      </c>
      <c r="AO45" s="83">
        <v>379.421764</v>
      </c>
      <c r="AP45" s="83">
        <v>267.00953700000002</v>
      </c>
      <c r="AQ45" s="83">
        <v>0.13824600000000001</v>
      </c>
      <c r="AR45" s="83">
        <v>605.98584900000003</v>
      </c>
      <c r="AS45" s="83">
        <v>282.29601700000001</v>
      </c>
      <c r="AT45" s="83">
        <v>464.81041900000002</v>
      </c>
      <c r="AU45" s="83">
        <v>308.97556200000002</v>
      </c>
      <c r="AV45" s="83">
        <v>449.85970300000002</v>
      </c>
      <c r="AW45" s="83">
        <v>323.74099200000001</v>
      </c>
      <c r="AX45" s="83">
        <v>0.140352</v>
      </c>
      <c r="AY45" s="83">
        <v>611.65462300000002</v>
      </c>
      <c r="AZ45" s="83">
        <v>259.37068399999998</v>
      </c>
      <c r="BA45" s="83">
        <v>424.31682899999998</v>
      </c>
      <c r="BB45" s="83">
        <v>284.96026499999999</v>
      </c>
      <c r="BC45" s="83">
        <v>409.79451999999998</v>
      </c>
      <c r="BD45" s="83">
        <v>289.611064</v>
      </c>
      <c r="BE45" s="83">
        <v>0.131637</v>
      </c>
      <c r="BF45" s="83">
        <v>535.058446</v>
      </c>
      <c r="BG45" s="83">
        <v>235.68728200000001</v>
      </c>
      <c r="BH45" s="83">
        <v>386.06980900000002</v>
      </c>
      <c r="BI45" s="83">
        <v>259.24377500000003</v>
      </c>
      <c r="BJ45" s="83">
        <v>372.12489599999998</v>
      </c>
      <c r="BK45" s="83">
        <v>261.008489</v>
      </c>
      <c r="BL45" s="83">
        <v>0.13436500000000001</v>
      </c>
      <c r="BM45" s="83">
        <v>584.40668600000004</v>
      </c>
      <c r="BN45" s="83">
        <v>269.026815</v>
      </c>
      <c r="BO45" s="83">
        <v>441.34535699999998</v>
      </c>
      <c r="BP45" s="83">
        <v>294.621714</v>
      </c>
      <c r="BQ45" s="83">
        <v>427.27416599999998</v>
      </c>
      <c r="BR45" s="83">
        <v>306.64961899999997</v>
      </c>
      <c r="BS45" s="83">
        <v>0.140323</v>
      </c>
      <c r="BT45" s="83">
        <v>585.15185599999995</v>
      </c>
      <c r="BU45" s="83">
        <v>251.69300699999999</v>
      </c>
      <c r="BV45" s="83">
        <v>411.288139</v>
      </c>
      <c r="BW45" s="83">
        <v>276.86138499999998</v>
      </c>
      <c r="BX45" s="83">
        <v>396.821414</v>
      </c>
      <c r="BY45" s="83">
        <v>278.70694700000001</v>
      </c>
      <c r="BZ45" s="83">
        <v>0.14433399999999999</v>
      </c>
      <c r="CA45" s="83">
        <v>583.17390599999999</v>
      </c>
      <c r="CB45" s="83">
        <v>259.27515499999998</v>
      </c>
      <c r="CC45" s="83">
        <v>422.76702399999999</v>
      </c>
      <c r="CD45" s="83">
        <v>285.19011499999999</v>
      </c>
      <c r="CE45" s="83">
        <v>408.22130700000002</v>
      </c>
      <c r="CF45" s="83">
        <v>287.02036199999998</v>
      </c>
      <c r="CG45" s="83">
        <v>0.13522100000000001</v>
      </c>
      <c r="CH45" s="83">
        <v>569.26949999999999</v>
      </c>
      <c r="CI45" s="83">
        <v>253.10747000000001</v>
      </c>
      <c r="CJ45" s="83">
        <v>413.69102900000001</v>
      </c>
      <c r="CK45" s="83">
        <v>277.89942400000001</v>
      </c>
      <c r="CL45" s="83">
        <v>399.83611100000002</v>
      </c>
      <c r="CM45" s="83">
        <v>283.39017799999999</v>
      </c>
      <c r="CN45" s="83">
        <v>0.15445500000000001</v>
      </c>
      <c r="CO45" s="83">
        <v>642.60571600000003</v>
      </c>
      <c r="CP45" s="83">
        <v>285.20990499999999</v>
      </c>
      <c r="CQ45" s="83">
        <v>467.19237900000002</v>
      </c>
      <c r="CR45" s="83">
        <v>313.44581399999998</v>
      </c>
      <c r="CS45" s="83">
        <v>451.09672899999998</v>
      </c>
      <c r="CT45" s="83">
        <v>318.71548000000001</v>
      </c>
      <c r="CU45" s="83">
        <v>0.14265900000000001</v>
      </c>
      <c r="CV45" s="83">
        <v>598.11126100000001</v>
      </c>
      <c r="CW45" s="83">
        <v>266.00120600000002</v>
      </c>
      <c r="CX45" s="83">
        <v>434.92931900000002</v>
      </c>
      <c r="CY45" s="83">
        <v>292.14661599999999</v>
      </c>
      <c r="CZ45" s="83">
        <v>420.29310700000002</v>
      </c>
      <c r="DA45" s="83">
        <v>297.66286600000001</v>
      </c>
      <c r="DB45" s="83">
        <v>0.13844999999999999</v>
      </c>
      <c r="DC45" s="83">
        <v>567.39498500000002</v>
      </c>
      <c r="DD45" s="83">
        <v>260.07725599999998</v>
      </c>
      <c r="DE45" s="83">
        <v>425.56295999999998</v>
      </c>
      <c r="DF45" s="83">
        <v>285.53722099999999</v>
      </c>
      <c r="DG45" s="83">
        <v>411.25205699999998</v>
      </c>
      <c r="DH45" s="83">
        <v>291.623806</v>
      </c>
      <c r="DI45" s="83">
        <v>0.129911</v>
      </c>
      <c r="DJ45" s="83">
        <v>574.78293499999995</v>
      </c>
      <c r="DK45" s="83">
        <v>257.635604</v>
      </c>
      <c r="DL45" s="83">
        <v>416.18056100000001</v>
      </c>
      <c r="DM45" s="83">
        <v>284.193623</v>
      </c>
      <c r="DN45" s="83">
        <v>401.81799699999999</v>
      </c>
      <c r="DO45" s="83">
        <v>278.97996899999998</v>
      </c>
      <c r="DP45" s="83">
        <v>0.16417799999999999</v>
      </c>
      <c r="DQ45" s="83">
        <v>599.04744500000004</v>
      </c>
      <c r="DR45" s="83">
        <v>256.607101</v>
      </c>
      <c r="DS45" s="83">
        <v>419.69600100000002</v>
      </c>
      <c r="DT45" s="83">
        <v>281.938648</v>
      </c>
      <c r="DU45" s="83">
        <v>405.31872299999998</v>
      </c>
      <c r="DV45" s="83">
        <v>286.339562</v>
      </c>
      <c r="DW45" s="83">
        <v>0.13399</v>
      </c>
      <c r="DX45" s="83">
        <v>551.05190400000004</v>
      </c>
      <c r="DY45" s="83">
        <v>244.03657200000001</v>
      </c>
      <c r="DZ45" s="83">
        <v>398.97479800000002</v>
      </c>
      <c r="EA45" s="83">
        <v>268.23627299999998</v>
      </c>
      <c r="EB45" s="83">
        <v>385.10659299999998</v>
      </c>
      <c r="EC45" s="83">
        <v>271.31421399999999</v>
      </c>
      <c r="ED45" s="83">
        <v>0.13059499999999999</v>
      </c>
      <c r="EE45" s="83">
        <v>543.17254400000002</v>
      </c>
      <c r="EF45" s="83">
        <v>240.24637300000001</v>
      </c>
      <c r="EG45" s="83">
        <v>393.281272</v>
      </c>
      <c r="EH45" s="83">
        <v>263.94982800000002</v>
      </c>
      <c r="EI45" s="83">
        <v>379.60768000000002</v>
      </c>
      <c r="EJ45" s="83">
        <v>267.89898399999998</v>
      </c>
      <c r="EK45" s="83">
        <v>0.13509499999999999</v>
      </c>
      <c r="EL45" s="83">
        <v>624.58300199999996</v>
      </c>
      <c r="EM45" s="83">
        <v>297.87962700000003</v>
      </c>
      <c r="EN45" s="83">
        <v>490.25867799999997</v>
      </c>
      <c r="EO45" s="83">
        <v>325.11220300000002</v>
      </c>
      <c r="EP45" s="83">
        <v>475.91859699999998</v>
      </c>
      <c r="EQ45" s="83">
        <v>347.28782799999999</v>
      </c>
      <c r="ER45" s="83">
        <v>0.14097000000000001</v>
      </c>
      <c r="ES45" s="83">
        <v>631.52842599999997</v>
      </c>
      <c r="ET45" s="83">
        <v>264.462266</v>
      </c>
      <c r="EU45" s="83">
        <v>435.39495299999999</v>
      </c>
      <c r="EV45" s="83">
        <v>290.425723</v>
      </c>
      <c r="EW45" s="83">
        <v>419.95063099999999</v>
      </c>
      <c r="EX45" s="83">
        <v>297.177887</v>
      </c>
      <c r="EY45" s="83">
        <v>0.16317200000000001</v>
      </c>
      <c r="EZ45" s="83">
        <v>635.98612600000001</v>
      </c>
      <c r="FA45" s="83">
        <v>299.85820699999999</v>
      </c>
      <c r="FB45" s="83">
        <v>492.72877</v>
      </c>
      <c r="FC45" s="83">
        <v>329.67932300000001</v>
      </c>
      <c r="FD45" s="83">
        <v>475.24330099999997</v>
      </c>
      <c r="FE45" s="83">
        <v>335.16422599999999</v>
      </c>
      <c r="FF45" s="83">
        <v>0.13681299999999999</v>
      </c>
      <c r="FG45" s="83">
        <v>691.35679900000002</v>
      </c>
      <c r="FH45" s="83">
        <v>295.46392300000002</v>
      </c>
      <c r="FI45" s="83">
        <v>485.60430600000001</v>
      </c>
      <c r="FJ45" s="83">
        <v>325.48953299999999</v>
      </c>
      <c r="FK45" s="83">
        <v>467.435768</v>
      </c>
      <c r="FL45" s="83">
        <v>326.42030699999998</v>
      </c>
      <c r="FM45" s="83">
        <v>0.15781999999999999</v>
      </c>
      <c r="FN45" s="83">
        <v>653.076909</v>
      </c>
      <c r="FO45" s="83">
        <v>293.98657700000001</v>
      </c>
      <c r="FP45" s="83">
        <v>489.08845300000002</v>
      </c>
      <c r="FQ45" s="83">
        <v>320.50717600000002</v>
      </c>
      <c r="FR45" s="83">
        <v>473.77662199999997</v>
      </c>
      <c r="FS45" s="83">
        <v>346.68249700000001</v>
      </c>
      <c r="FT45" s="83">
        <v>0.13631699999999999</v>
      </c>
      <c r="FU45" s="83">
        <v>632.902826</v>
      </c>
      <c r="FV45" s="83">
        <v>265.81501500000002</v>
      </c>
      <c r="FW45" s="83">
        <v>437.02394900000002</v>
      </c>
      <c r="FX45" s="83">
        <v>291.42722700000002</v>
      </c>
      <c r="FY45" s="83">
        <v>422.36023499999999</v>
      </c>
      <c r="FZ45" s="83">
        <v>301.36001800000003</v>
      </c>
      <c r="GA45" s="83">
        <v>0.14200099999999999</v>
      </c>
      <c r="GB45" s="83">
        <v>583.78594199999998</v>
      </c>
      <c r="GC45" s="83">
        <v>258.884683</v>
      </c>
      <c r="GD45" s="83">
        <v>423.30432400000001</v>
      </c>
      <c r="GE45" s="83">
        <v>284.59151900000001</v>
      </c>
      <c r="GF45" s="83">
        <v>408.64641499999999</v>
      </c>
      <c r="GG45" s="83">
        <v>288.00580500000001</v>
      </c>
      <c r="GH45" s="83">
        <v>0.13573499999999999</v>
      </c>
      <c r="GI45" s="83">
        <v>531.57337500000006</v>
      </c>
      <c r="GJ45" s="83">
        <v>260.69166100000001</v>
      </c>
      <c r="GK45" s="83">
        <v>426.16349100000002</v>
      </c>
      <c r="GL45" s="83">
        <v>285.93642</v>
      </c>
      <c r="GM45" s="83">
        <v>412.326978</v>
      </c>
      <c r="GN45" s="83">
        <v>293.80110500000001</v>
      </c>
      <c r="GO45" s="83">
        <v>0.137437</v>
      </c>
      <c r="GP45" s="83">
        <v>592.73351500000001</v>
      </c>
      <c r="GQ45" s="83">
        <v>238.863911</v>
      </c>
      <c r="GR45" s="83">
        <v>388.69157100000001</v>
      </c>
      <c r="GS45" s="83">
        <v>263.06189599999999</v>
      </c>
      <c r="GT45" s="83">
        <v>374.93878599999999</v>
      </c>
      <c r="GU45" s="83">
        <v>261.75243799999998</v>
      </c>
      <c r="GV45" s="83">
        <v>0.15834799999999999</v>
      </c>
      <c r="GW45" s="83">
        <v>648.98821799999996</v>
      </c>
      <c r="GX45" s="83">
        <v>303.42219799999998</v>
      </c>
      <c r="GY45" s="83">
        <v>495.85191300000002</v>
      </c>
      <c r="GZ45" s="83">
        <v>332.95920999999998</v>
      </c>
      <c r="HA45" s="83">
        <v>479.90519799999998</v>
      </c>
      <c r="HB45" s="83">
        <v>341.98045000000002</v>
      </c>
      <c r="HC45" s="83">
        <v>0.145145</v>
      </c>
      <c r="HD45" s="83">
        <v>637.67233499999998</v>
      </c>
      <c r="HE45" s="83">
        <v>270.91099600000001</v>
      </c>
      <c r="HF45" s="83">
        <v>444.36312099999998</v>
      </c>
      <c r="HG45" s="83">
        <v>297.56372800000003</v>
      </c>
      <c r="HH45" s="83">
        <v>429.02288299999998</v>
      </c>
      <c r="HI45" s="83">
        <v>303.63667500000003</v>
      </c>
      <c r="HJ45" s="83">
        <v>0.140679</v>
      </c>
      <c r="HK45" s="83">
        <v>646.67591600000003</v>
      </c>
      <c r="HL45" s="83">
        <v>311.34413599999999</v>
      </c>
      <c r="HM45" s="83">
        <v>507.20373499999999</v>
      </c>
      <c r="HN45" s="83">
        <v>341.73313300000001</v>
      </c>
      <c r="HO45" s="83">
        <v>491.27434199999999</v>
      </c>
      <c r="HP45" s="83">
        <v>350.00760200000002</v>
      </c>
      <c r="HQ45" s="83">
        <v>0.16622300000000001</v>
      </c>
      <c r="HR45" s="83">
        <v>641.52949899999999</v>
      </c>
      <c r="HS45" s="83">
        <v>272.681104</v>
      </c>
      <c r="HT45" s="83">
        <v>449.682141</v>
      </c>
      <c r="HU45" s="83">
        <v>299.28330599999998</v>
      </c>
      <c r="HV45" s="83">
        <v>433.81479999999999</v>
      </c>
      <c r="HW45" s="83">
        <v>307.86899899999997</v>
      </c>
      <c r="HX45" s="83">
        <v>0.14249899999999999</v>
      </c>
      <c r="HY45" s="83">
        <v>638.39395400000001</v>
      </c>
      <c r="HZ45" s="83">
        <v>278.99296500000003</v>
      </c>
      <c r="IA45" s="83">
        <v>462.88220100000001</v>
      </c>
      <c r="IB45" s="83">
        <v>305.93247200000002</v>
      </c>
      <c r="IC45" s="83">
        <v>446.21022499999998</v>
      </c>
      <c r="ID45" s="83">
        <v>317.79571600000003</v>
      </c>
      <c r="IE45" s="83">
        <v>0.13816600000000001</v>
      </c>
      <c r="IF45" s="83">
        <v>644.34491400000002</v>
      </c>
      <c r="IG45" s="83">
        <v>275.60764399999999</v>
      </c>
      <c r="IH45" s="83">
        <v>455.761999</v>
      </c>
      <c r="II45" s="83">
        <v>301.954294</v>
      </c>
      <c r="IJ45" s="83">
        <v>440.09992899999997</v>
      </c>
      <c r="IK45" s="83">
        <v>314.88326000000001</v>
      </c>
      <c r="IL45" s="83">
        <v>0.13211999999999999</v>
      </c>
      <c r="IM45" s="83">
        <v>652.83712500000001</v>
      </c>
      <c r="IN45" s="83">
        <v>311.62324999999998</v>
      </c>
      <c r="IO45" s="83">
        <v>511.01099799999997</v>
      </c>
      <c r="IP45" s="83">
        <v>341.725346</v>
      </c>
      <c r="IQ45" s="83">
        <v>494.46176500000001</v>
      </c>
      <c r="IR45" s="83">
        <v>353.40405900000002</v>
      </c>
      <c r="IS45" s="83">
        <v>0.16331699999999999</v>
      </c>
      <c r="IT45" s="83">
        <v>657.72423500000002</v>
      </c>
      <c r="IU45" s="83">
        <v>270.290099</v>
      </c>
      <c r="IV45" s="83">
        <v>447.86839300000003</v>
      </c>
      <c r="IW45" s="83">
        <v>296.11409200000003</v>
      </c>
      <c r="IX45" s="83">
        <v>432.21176100000002</v>
      </c>
      <c r="IY45" s="83">
        <v>309.10465399999998</v>
      </c>
      <c r="IZ45" s="83">
        <v>0.148756</v>
      </c>
      <c r="JA45" s="83">
        <v>662.89066600000001</v>
      </c>
      <c r="JB45" s="83">
        <v>294.21284600000001</v>
      </c>
      <c r="JC45" s="83">
        <v>484.32656300000002</v>
      </c>
      <c r="JD45" s="83">
        <v>322.46451999999999</v>
      </c>
      <c r="JE45" s="83">
        <v>468.24681399999997</v>
      </c>
      <c r="JF45" s="83">
        <v>334.99768299999999</v>
      </c>
      <c r="JG45" s="83">
        <v>0.15115300000000001</v>
      </c>
      <c r="JH45" s="83">
        <v>588.76845800000001</v>
      </c>
      <c r="JI45" s="83">
        <v>261.79897</v>
      </c>
      <c r="JJ45" s="83">
        <v>425.800635</v>
      </c>
      <c r="JK45" s="83">
        <v>288.43628899999999</v>
      </c>
      <c r="JL45" s="83">
        <v>410.82129900000001</v>
      </c>
      <c r="JM45" s="83">
        <v>286.70693999999997</v>
      </c>
      <c r="JN45" s="83">
        <v>0.16736100000000001</v>
      </c>
      <c r="JO45" s="83">
        <v>1015.278089</v>
      </c>
      <c r="JP45" s="83">
        <v>433.63923799999998</v>
      </c>
      <c r="JQ45" s="83">
        <v>759.90614400000004</v>
      </c>
      <c r="JR45" s="83">
        <v>454.604534</v>
      </c>
      <c r="JS45" s="83">
        <v>0.18365200000000001</v>
      </c>
      <c r="JT45" s="83">
        <v>0.22592499999999999</v>
      </c>
      <c r="JU45" s="83">
        <v>294.84554600000001</v>
      </c>
      <c r="JV45" s="83">
        <v>335.27414099999999</v>
      </c>
      <c r="JW45" s="83">
        <v>422.929483</v>
      </c>
      <c r="JX45" s="83">
        <v>377.82202899999999</v>
      </c>
      <c r="JY45" s="83">
        <v>359.42072899999999</v>
      </c>
      <c r="JZ45" s="83">
        <v>325.48665299999999</v>
      </c>
      <c r="KA45" s="83">
        <v>376.39216399999998</v>
      </c>
      <c r="KB45" s="83">
        <v>333.02713899999998</v>
      </c>
      <c r="KC45" s="83">
        <v>376.29629599999998</v>
      </c>
      <c r="KD45" s="83">
        <v>416.993694</v>
      </c>
      <c r="KE45" s="83">
        <v>372.54073799999998</v>
      </c>
      <c r="KF45" s="83">
        <v>354.38826</v>
      </c>
      <c r="KG45" s="83">
        <v>320.70995699999997</v>
      </c>
      <c r="KH45" s="83">
        <v>371.16831500000001</v>
      </c>
      <c r="KI45" s="83">
        <v>289.16903600000001</v>
      </c>
      <c r="KJ45" s="83">
        <v>328.37973</v>
      </c>
      <c r="KK45" s="83">
        <v>415.16659099999998</v>
      </c>
      <c r="KL45" s="83">
        <v>370.81699700000001</v>
      </c>
      <c r="KM45" s="83">
        <v>352.58324699999997</v>
      </c>
      <c r="KN45" s="83">
        <v>319.85514699999999</v>
      </c>
      <c r="KO45" s="83">
        <v>369.558965</v>
      </c>
      <c r="KP45" s="83">
        <v>316.05320799999998</v>
      </c>
      <c r="KQ45" s="83">
        <v>358.045502</v>
      </c>
      <c r="KR45" s="83">
        <v>399.33801999999997</v>
      </c>
      <c r="KS45" s="83">
        <v>356.26125400000001</v>
      </c>
      <c r="KT45" s="83">
        <v>336.736355</v>
      </c>
      <c r="KU45" s="83">
        <v>307.10924899999998</v>
      </c>
      <c r="KV45" s="83">
        <v>357.267202</v>
      </c>
      <c r="KW45" s="83">
        <v>288.615454</v>
      </c>
      <c r="KX45" s="83">
        <v>327.74262499999998</v>
      </c>
      <c r="KY45" s="83">
        <v>388.630743</v>
      </c>
      <c r="KZ45" s="83">
        <v>346.823352</v>
      </c>
      <c r="LA45" s="83">
        <v>328.32198699999998</v>
      </c>
      <c r="LB45" s="83">
        <v>299.01071200000001</v>
      </c>
      <c r="LC45" s="83">
        <v>347.25068599999997</v>
      </c>
      <c r="LD45" s="83">
        <v>294.235612</v>
      </c>
      <c r="LE45" s="83">
        <v>333.37151899999998</v>
      </c>
      <c r="LF45" s="83">
        <v>413.868877</v>
      </c>
      <c r="LG45" s="83">
        <v>369.72681999999998</v>
      </c>
      <c r="LH45" s="83">
        <v>351.90300200000001</v>
      </c>
      <c r="LI45" s="83">
        <v>319.03350699999999</v>
      </c>
      <c r="LJ45" s="83">
        <v>368.07106599999997</v>
      </c>
      <c r="LK45" s="83">
        <v>311.49794100000003</v>
      </c>
      <c r="LL45" s="83">
        <v>352.16188299999999</v>
      </c>
      <c r="LM45" s="83">
        <v>398.99300899999997</v>
      </c>
      <c r="LN45" s="83">
        <v>356.28862500000002</v>
      </c>
      <c r="LO45" s="83">
        <v>338.290615</v>
      </c>
      <c r="LP45" s="83">
        <v>307.15917400000001</v>
      </c>
      <c r="LQ45" s="83">
        <v>355.62630899999999</v>
      </c>
      <c r="LR45" s="83">
        <v>282.067725</v>
      </c>
      <c r="LS45" s="83">
        <v>320.740793</v>
      </c>
      <c r="LT45" s="83">
        <v>380.02657499999998</v>
      </c>
      <c r="LU45" s="83">
        <v>339.262339</v>
      </c>
      <c r="LV45" s="83">
        <v>321.49655999999999</v>
      </c>
      <c r="LW45" s="83">
        <v>292.04915299999999</v>
      </c>
      <c r="LX45" s="83">
        <v>339.37281300000001</v>
      </c>
      <c r="LY45" s="83">
        <v>269.73399499999999</v>
      </c>
      <c r="LZ45" s="83">
        <v>306.240813</v>
      </c>
      <c r="MA45" s="83">
        <v>389.764771</v>
      </c>
      <c r="MB45" s="83">
        <v>348.210823</v>
      </c>
      <c r="MC45" s="83">
        <v>331.39866999999998</v>
      </c>
      <c r="MD45" s="83">
        <v>300.35568000000001</v>
      </c>
      <c r="ME45" s="83">
        <v>346.70092799999998</v>
      </c>
      <c r="MF45" s="83">
        <v>334.91911099999999</v>
      </c>
      <c r="MG45" s="83">
        <v>375.92329699999999</v>
      </c>
      <c r="MH45" s="83">
        <v>410.500001</v>
      </c>
      <c r="MI45" s="83">
        <v>366.81203499999998</v>
      </c>
      <c r="MJ45" s="83">
        <v>349.71668499999998</v>
      </c>
      <c r="MK45" s="83">
        <v>316.93474300000003</v>
      </c>
      <c r="ML45" s="83">
        <v>364.48179900000002</v>
      </c>
      <c r="MM45" s="83">
        <v>293.67037099999999</v>
      </c>
      <c r="MN45" s="83">
        <v>333.21359699999999</v>
      </c>
      <c r="MO45" s="83">
        <v>394.81729899999999</v>
      </c>
      <c r="MP45" s="83">
        <v>352.63843200000002</v>
      </c>
      <c r="MQ45" s="83">
        <v>335.03037899999998</v>
      </c>
      <c r="MR45" s="83">
        <v>303.664627</v>
      </c>
      <c r="MS45" s="83">
        <v>351.80059899999998</v>
      </c>
      <c r="MT45" s="83">
        <v>271.08444200000002</v>
      </c>
      <c r="MU45" s="83">
        <v>308.01742000000002</v>
      </c>
      <c r="MV45" s="83">
        <v>392.53790500000002</v>
      </c>
      <c r="MW45" s="83">
        <v>350.433584</v>
      </c>
      <c r="MX45" s="83">
        <v>332.48965900000002</v>
      </c>
      <c r="MY45" s="83">
        <v>302.57405399999999</v>
      </c>
      <c r="MZ45" s="83">
        <v>349.99447400000003</v>
      </c>
      <c r="NA45" s="83">
        <v>355.05805099999998</v>
      </c>
      <c r="NB45" s="83">
        <v>399.27236299999998</v>
      </c>
      <c r="NC45" s="83">
        <v>435.58299799999998</v>
      </c>
      <c r="ND45" s="83">
        <v>389.13608399999998</v>
      </c>
      <c r="NE45" s="83">
        <v>370.528887</v>
      </c>
      <c r="NF45" s="83">
        <v>335.90375699999998</v>
      </c>
      <c r="NG45" s="83">
        <v>387.20546899999999</v>
      </c>
      <c r="NH45" s="83">
        <v>283.452899</v>
      </c>
      <c r="NI45" s="83">
        <v>320.91055499999999</v>
      </c>
      <c r="NJ45" s="83">
        <v>380.37302099999999</v>
      </c>
      <c r="NK45" s="83">
        <v>339.80585400000001</v>
      </c>
      <c r="NL45" s="83">
        <v>323.23737399999999</v>
      </c>
      <c r="NM45" s="83">
        <v>292.92586699999998</v>
      </c>
      <c r="NN45" s="83">
        <v>338.53345400000001</v>
      </c>
      <c r="NO45" s="83">
        <v>281.34488900000002</v>
      </c>
      <c r="NP45" s="83">
        <v>319.483476</v>
      </c>
      <c r="NQ45" s="83">
        <v>397.94600600000001</v>
      </c>
      <c r="NR45" s="83">
        <v>355.62775099999999</v>
      </c>
      <c r="NS45" s="83">
        <v>338.78461800000002</v>
      </c>
      <c r="NT45" s="83">
        <v>306.29929099999998</v>
      </c>
      <c r="NU45" s="83">
        <v>353.77851500000003</v>
      </c>
      <c r="NV45" s="83">
        <v>298.97973500000001</v>
      </c>
      <c r="NW45" s="83">
        <v>336.86711100000002</v>
      </c>
      <c r="NX45" s="83">
        <v>377.94216499999999</v>
      </c>
      <c r="NY45" s="83">
        <v>337.70918599999999</v>
      </c>
      <c r="NZ45" s="83">
        <v>321.66970500000002</v>
      </c>
      <c r="OA45" s="83">
        <v>291.35294800000003</v>
      </c>
      <c r="OB45" s="83">
        <v>335.95346599999999</v>
      </c>
      <c r="OC45" s="83">
        <v>266.90867600000001</v>
      </c>
      <c r="OD45" s="83">
        <v>303.50925000000001</v>
      </c>
      <c r="OE45" s="83">
        <v>359.306938</v>
      </c>
      <c r="OF45" s="83">
        <v>320.98430500000001</v>
      </c>
      <c r="OG45" s="83">
        <v>304.970598</v>
      </c>
      <c r="OH45" s="83">
        <v>275.96083900000002</v>
      </c>
      <c r="OI45" s="83">
        <v>320.27157999999997</v>
      </c>
      <c r="OJ45" s="83">
        <v>259.96413899999999</v>
      </c>
      <c r="OK45" s="83">
        <v>295.19310999999999</v>
      </c>
      <c r="OL45" s="83">
        <v>367.33315399999998</v>
      </c>
      <c r="OM45" s="83">
        <v>328.17987299999999</v>
      </c>
      <c r="ON45" s="83">
        <v>312.225953</v>
      </c>
      <c r="OO45" s="83">
        <v>282.84731499999998</v>
      </c>
      <c r="OP45" s="83">
        <v>326.91071299999999</v>
      </c>
      <c r="OQ45" s="83">
        <v>308.49049600000001</v>
      </c>
      <c r="OR45" s="83">
        <v>348.410077</v>
      </c>
      <c r="OS45" s="83">
        <v>391.82750499999997</v>
      </c>
      <c r="OT45" s="83">
        <v>350.11382400000002</v>
      </c>
      <c r="OU45" s="83">
        <v>333.32372500000002</v>
      </c>
      <c r="OV45" s="83">
        <v>301.58927399999999</v>
      </c>
      <c r="OW45" s="83">
        <v>348.51787899999999</v>
      </c>
      <c r="OX45" s="83">
        <v>280.76850300000001</v>
      </c>
      <c r="OY45" s="83">
        <v>318.24546900000001</v>
      </c>
      <c r="OZ45" s="83">
        <v>377.17075599999998</v>
      </c>
      <c r="PA45" s="83">
        <v>336.88479899999999</v>
      </c>
      <c r="PB45" s="83">
        <v>320.13358899999997</v>
      </c>
      <c r="PC45" s="83">
        <v>290.29876999999999</v>
      </c>
      <c r="PD45" s="83">
        <v>335.99152700000002</v>
      </c>
      <c r="PE45" s="83">
        <v>254.76739900000001</v>
      </c>
      <c r="PF45" s="83">
        <v>289.93047300000001</v>
      </c>
      <c r="PG45" s="83">
        <v>365.27998400000001</v>
      </c>
      <c r="PH45" s="83">
        <v>326.35868199999999</v>
      </c>
      <c r="PI45" s="83">
        <v>310.44159999999999</v>
      </c>
      <c r="PJ45" s="83">
        <v>281.014836</v>
      </c>
      <c r="PK45" s="83">
        <v>325.184123</v>
      </c>
      <c r="PL45" s="83">
        <v>304.21102500000001</v>
      </c>
      <c r="PM45" s="83">
        <v>342.64227399999999</v>
      </c>
      <c r="PN45" s="83">
        <v>378.31535000000002</v>
      </c>
      <c r="PO45" s="83">
        <v>338.01773700000001</v>
      </c>
      <c r="PP45" s="83">
        <v>321.83295299999997</v>
      </c>
      <c r="PQ45" s="83">
        <v>291.57185099999998</v>
      </c>
      <c r="PR45" s="83">
        <v>336.40810800000003</v>
      </c>
      <c r="PS45" s="83">
        <v>271.87252699999999</v>
      </c>
      <c r="PT45" s="83">
        <v>308.72103700000002</v>
      </c>
      <c r="PU45" s="83">
        <v>365.78375699999998</v>
      </c>
      <c r="PV45" s="83">
        <v>326.64752800000002</v>
      </c>
      <c r="PW45" s="83">
        <v>309.995744</v>
      </c>
      <c r="PX45" s="83">
        <v>281.28283099999999</v>
      </c>
      <c r="PY45" s="83">
        <v>326.25466599999999</v>
      </c>
      <c r="PZ45" s="83">
        <v>279.90323599999999</v>
      </c>
      <c r="QA45" s="83">
        <v>317.26929200000001</v>
      </c>
      <c r="QB45" s="83">
        <v>376.12706100000003</v>
      </c>
      <c r="QC45" s="83">
        <v>335.86589700000002</v>
      </c>
      <c r="QD45" s="83">
        <v>318.82979799999998</v>
      </c>
      <c r="QE45" s="83">
        <v>289.56899099999998</v>
      </c>
      <c r="QF45" s="83">
        <v>335.32426299999997</v>
      </c>
      <c r="QG45" s="83">
        <v>274.15491500000002</v>
      </c>
      <c r="QH45" s="83">
        <v>310.250404</v>
      </c>
      <c r="QI45" s="83">
        <v>367.81596400000001</v>
      </c>
      <c r="QJ45" s="83">
        <v>328.55737099999999</v>
      </c>
      <c r="QK45" s="83">
        <v>312.42443600000001</v>
      </c>
      <c r="QL45" s="83">
        <v>283.37618400000002</v>
      </c>
      <c r="QM45" s="83">
        <v>327.43813299999999</v>
      </c>
      <c r="QN45" s="83">
        <v>308.76632999999998</v>
      </c>
      <c r="QO45" s="83">
        <v>350.197788</v>
      </c>
      <c r="QP45" s="83">
        <v>415.00920500000001</v>
      </c>
      <c r="QQ45" s="83">
        <v>370.66450600000002</v>
      </c>
      <c r="QR45" s="83">
        <v>352.19785300000001</v>
      </c>
      <c r="QS45" s="83">
        <v>319.26025299999998</v>
      </c>
    </row>
    <row r="46" spans="6:461" x14ac:dyDescent="0.25">
      <c r="F46" s="82" t="str">
        <f xml:space="preserve"> _xll.EPMOlapMemberO("[PRDDESCR].[].[WONDER GFREE WHOLEM 500G]","","WONDER GFREE WHOLEM 500G","","000")</f>
        <v>WONDER GFREE WHOLEM 500G</v>
      </c>
      <c r="G46" s="82" t="str">
        <f xml:space="preserve"> _xll.EPMOlapMemberO("[PRDID].[].[179650]","","179650","","000")</f>
        <v>179650</v>
      </c>
      <c r="H46" s="82" t="str">
        <f xml:space="preserve"> _xll.EPMOlapMemberO("[LOCID].[].[6120]","","6120","","000")</f>
        <v>6120</v>
      </c>
      <c r="I46" s="82" t="str">
        <f xml:space="preserve"> _xll.EPMOlapMemberO("[LOCDESCR].[].[QBA-Hobart]","","QBA-Hobart","","000")</f>
        <v>QBA-Hobart</v>
      </c>
      <c r="J46" s="82" t="str">
        <f xml:space="preserve"> _xll.EPMOlapMemberO("[KEY_FIGURES].[].[ZGFAPPROVEDFCSTQTY]","","Approved Forecast","","000")</f>
        <v>Approved Forecast</v>
      </c>
      <c r="K46" s="83">
        <v>0</v>
      </c>
      <c r="L46" s="83">
        <v>49.504292</v>
      </c>
      <c r="M46" s="83">
        <v>0</v>
      </c>
      <c r="N46" s="83">
        <v>0</v>
      </c>
      <c r="O46" s="83">
        <v>52.062496000000003</v>
      </c>
      <c r="P46" s="83">
        <v>0</v>
      </c>
      <c r="Q46" s="83">
        <v>47.130760000000002</v>
      </c>
      <c r="R46" s="83">
        <v>0</v>
      </c>
      <c r="S46" s="83">
        <v>42.487785000000002</v>
      </c>
      <c r="T46" s="83">
        <v>0</v>
      </c>
      <c r="U46" s="83">
        <v>0</v>
      </c>
      <c r="V46" s="83">
        <v>48.133411000000002</v>
      </c>
      <c r="W46" s="83">
        <v>0</v>
      </c>
      <c r="X46" s="83">
        <v>45.316223999999998</v>
      </c>
      <c r="Y46" s="83">
        <v>0</v>
      </c>
      <c r="Z46" s="83">
        <v>41.077941000000003</v>
      </c>
      <c r="AA46" s="83">
        <v>0</v>
      </c>
      <c r="AB46" s="83">
        <v>0</v>
      </c>
      <c r="AC46" s="83">
        <v>59.844164999999997</v>
      </c>
      <c r="AD46" s="83">
        <v>0</v>
      </c>
      <c r="AE46" s="83">
        <v>54.574730000000002</v>
      </c>
      <c r="AF46" s="83">
        <v>0</v>
      </c>
      <c r="AG46" s="83">
        <v>51.683371999999999</v>
      </c>
      <c r="AH46" s="83">
        <v>0</v>
      </c>
      <c r="AI46" s="83">
        <v>0</v>
      </c>
      <c r="AJ46" s="83">
        <v>52.433967000000003</v>
      </c>
      <c r="AK46" s="83">
        <v>0</v>
      </c>
      <c r="AL46" s="83">
        <v>47.817025000000001</v>
      </c>
      <c r="AM46" s="83">
        <v>0</v>
      </c>
      <c r="AN46" s="83">
        <v>45.283683000000003</v>
      </c>
      <c r="AO46" s="83">
        <v>0</v>
      </c>
      <c r="AP46" s="83">
        <v>0</v>
      </c>
      <c r="AQ46" s="83">
        <v>50.585667999999998</v>
      </c>
      <c r="AR46" s="83">
        <v>0</v>
      </c>
      <c r="AS46" s="83">
        <v>46.131450000000001</v>
      </c>
      <c r="AT46" s="83">
        <v>0</v>
      </c>
      <c r="AU46" s="83">
        <v>43.687424</v>
      </c>
      <c r="AV46" s="83">
        <v>0</v>
      </c>
      <c r="AW46" s="83">
        <v>0</v>
      </c>
      <c r="AX46" s="83">
        <v>53.990723000000003</v>
      </c>
      <c r="AY46" s="83">
        <v>0</v>
      </c>
      <c r="AZ46" s="83">
        <v>49.236696999999999</v>
      </c>
      <c r="BA46" s="83">
        <v>0</v>
      </c>
      <c r="BB46" s="83">
        <v>46.628151000000003</v>
      </c>
      <c r="BC46" s="83">
        <v>0</v>
      </c>
      <c r="BD46" s="83">
        <v>0</v>
      </c>
      <c r="BE46" s="83">
        <v>57.842374</v>
      </c>
      <c r="BF46" s="83">
        <v>0</v>
      </c>
      <c r="BG46" s="83">
        <v>52.749273000000002</v>
      </c>
      <c r="BH46" s="83">
        <v>0</v>
      </c>
      <c r="BI46" s="83">
        <v>49.954611999999997</v>
      </c>
      <c r="BJ46" s="83">
        <v>0</v>
      </c>
      <c r="BK46" s="83">
        <v>0</v>
      </c>
      <c r="BL46" s="83">
        <v>51.265602999999999</v>
      </c>
      <c r="BM46" s="83">
        <v>0</v>
      </c>
      <c r="BN46" s="83">
        <v>46.751520999999997</v>
      </c>
      <c r="BO46" s="83">
        <v>0</v>
      </c>
      <c r="BP46" s="83">
        <v>44.274650000000001</v>
      </c>
      <c r="BQ46" s="83">
        <v>0</v>
      </c>
      <c r="BR46" s="83">
        <v>0</v>
      </c>
      <c r="BS46" s="83">
        <v>55.743614999999998</v>
      </c>
      <c r="BT46" s="83">
        <v>0</v>
      </c>
      <c r="BU46" s="83">
        <v>50.835278000000002</v>
      </c>
      <c r="BV46" s="83">
        <v>0</v>
      </c>
      <c r="BW46" s="83">
        <v>48.142063999999998</v>
      </c>
      <c r="BX46" s="83">
        <v>0</v>
      </c>
      <c r="BY46" s="83">
        <v>0</v>
      </c>
      <c r="BZ46" s="83">
        <v>45.761637999999998</v>
      </c>
      <c r="CA46" s="83">
        <v>0</v>
      </c>
      <c r="CB46" s="83">
        <v>41.732241999999999</v>
      </c>
      <c r="CC46" s="83">
        <v>0</v>
      </c>
      <c r="CD46" s="83">
        <v>39.521301999999999</v>
      </c>
      <c r="CE46" s="83">
        <v>0</v>
      </c>
      <c r="CF46" s="83">
        <v>0</v>
      </c>
      <c r="CG46" s="83">
        <v>58.520023000000002</v>
      </c>
      <c r="CH46" s="83">
        <v>0</v>
      </c>
      <c r="CI46" s="83">
        <v>53.367198000000002</v>
      </c>
      <c r="CJ46" s="83">
        <v>0</v>
      </c>
      <c r="CK46" s="83">
        <v>50.539777000000001</v>
      </c>
      <c r="CL46" s="83">
        <v>0</v>
      </c>
      <c r="CM46" s="83">
        <v>0</v>
      </c>
      <c r="CN46" s="83">
        <v>53.892477999999997</v>
      </c>
      <c r="CO46" s="83">
        <v>0</v>
      </c>
      <c r="CP46" s="83">
        <v>49.147188</v>
      </c>
      <c r="CQ46" s="83">
        <v>0</v>
      </c>
      <c r="CR46" s="83">
        <v>46.543357</v>
      </c>
      <c r="CS46" s="83">
        <v>0</v>
      </c>
      <c r="CT46" s="83">
        <v>0</v>
      </c>
      <c r="CU46" s="83">
        <v>60.059387999999998</v>
      </c>
      <c r="CV46" s="83">
        <v>0</v>
      </c>
      <c r="CW46" s="83">
        <v>54.771006</v>
      </c>
      <c r="CX46" s="83">
        <v>0</v>
      </c>
      <c r="CY46" s="83">
        <v>51.869272000000002</v>
      </c>
      <c r="CZ46" s="83">
        <v>0</v>
      </c>
      <c r="DA46" s="83">
        <v>0</v>
      </c>
      <c r="DB46" s="83">
        <v>51.119607999999999</v>
      </c>
      <c r="DC46" s="83">
        <v>0</v>
      </c>
      <c r="DD46" s="83">
        <v>46.618456000000002</v>
      </c>
      <c r="DE46" s="83">
        <v>0</v>
      </c>
      <c r="DF46" s="83">
        <v>44.148600000000002</v>
      </c>
      <c r="DG46" s="83">
        <v>0</v>
      </c>
      <c r="DH46" s="83">
        <v>0</v>
      </c>
      <c r="DI46" s="83">
        <v>50.693793999999997</v>
      </c>
      <c r="DJ46" s="83">
        <v>0</v>
      </c>
      <c r="DK46" s="83">
        <v>54.553956999999997</v>
      </c>
      <c r="DL46" s="83">
        <v>0</v>
      </c>
      <c r="DM46" s="83">
        <v>51.663637999999999</v>
      </c>
      <c r="DN46" s="83">
        <v>0</v>
      </c>
      <c r="DO46" s="83">
        <v>0</v>
      </c>
      <c r="DP46" s="83">
        <v>59.614981999999998</v>
      </c>
      <c r="DQ46" s="83">
        <v>0</v>
      </c>
      <c r="DR46" s="83">
        <v>46.070709999999998</v>
      </c>
      <c r="DS46" s="83">
        <v>0</v>
      </c>
      <c r="DT46" s="83">
        <v>43.629882000000002</v>
      </c>
      <c r="DU46" s="83">
        <v>0</v>
      </c>
      <c r="DV46" s="83">
        <v>0</v>
      </c>
      <c r="DW46" s="83">
        <v>58.787422999999997</v>
      </c>
      <c r="DX46" s="83">
        <v>0</v>
      </c>
      <c r="DY46" s="83">
        <v>53.611119000000002</v>
      </c>
      <c r="DZ46" s="83">
        <v>0</v>
      </c>
      <c r="EA46" s="83">
        <v>50.770780999999999</v>
      </c>
      <c r="EB46" s="83">
        <v>0</v>
      </c>
      <c r="EC46" s="83">
        <v>0</v>
      </c>
      <c r="ED46" s="83">
        <v>50.533501000000001</v>
      </c>
      <c r="EE46" s="83">
        <v>0</v>
      </c>
      <c r="EF46" s="83">
        <v>46.083880999999998</v>
      </c>
      <c r="EG46" s="83">
        <v>0</v>
      </c>
      <c r="EH46" s="83">
        <v>43.642364999999998</v>
      </c>
      <c r="EI46" s="83">
        <v>0</v>
      </c>
      <c r="EJ46" s="83">
        <v>0</v>
      </c>
      <c r="EK46" s="83">
        <v>49.285522999999998</v>
      </c>
      <c r="EL46" s="83">
        <v>0</v>
      </c>
      <c r="EM46" s="83">
        <v>44.945791</v>
      </c>
      <c r="EN46" s="83">
        <v>0</v>
      </c>
      <c r="EO46" s="83">
        <v>42.564585999999998</v>
      </c>
      <c r="EP46" s="83">
        <v>0</v>
      </c>
      <c r="EQ46" s="83">
        <v>0</v>
      </c>
      <c r="ER46" s="83">
        <v>53.590957000000003</v>
      </c>
      <c r="ES46" s="83">
        <v>0</v>
      </c>
      <c r="ET46" s="83">
        <v>48.872123000000002</v>
      </c>
      <c r="EU46" s="83">
        <v>0</v>
      </c>
      <c r="EV46" s="83">
        <v>46.282884000000003</v>
      </c>
      <c r="EW46" s="83">
        <v>0</v>
      </c>
      <c r="EX46" s="83">
        <v>0</v>
      </c>
      <c r="EY46" s="83">
        <v>57.193671000000002</v>
      </c>
      <c r="EZ46" s="83">
        <v>0</v>
      </c>
      <c r="FA46" s="83">
        <v>52.157699000000001</v>
      </c>
      <c r="FB46" s="83">
        <v>0</v>
      </c>
      <c r="FC46" s="83">
        <v>49.394376999999999</v>
      </c>
      <c r="FD46" s="83">
        <v>0</v>
      </c>
      <c r="FE46" s="83">
        <v>0</v>
      </c>
      <c r="FF46" s="83">
        <v>49.109380999999999</v>
      </c>
      <c r="FG46" s="83">
        <v>0</v>
      </c>
      <c r="FH46" s="83">
        <v>55.028973000000001</v>
      </c>
      <c r="FI46" s="83">
        <v>0</v>
      </c>
      <c r="FJ46" s="83">
        <v>52.113503999999999</v>
      </c>
      <c r="FK46" s="83">
        <v>0</v>
      </c>
      <c r="FL46" s="83">
        <v>0</v>
      </c>
      <c r="FM46" s="83">
        <v>57.569465000000001</v>
      </c>
      <c r="FN46" s="83">
        <v>0</v>
      </c>
      <c r="FO46" s="83">
        <v>42.727294000000001</v>
      </c>
      <c r="FP46" s="83">
        <v>0</v>
      </c>
      <c r="FQ46" s="83">
        <v>40.463582000000002</v>
      </c>
      <c r="FR46" s="83">
        <v>0</v>
      </c>
      <c r="FS46" s="83">
        <v>0</v>
      </c>
      <c r="FT46" s="83">
        <v>50.680292999999999</v>
      </c>
      <c r="FU46" s="83">
        <v>0</v>
      </c>
      <c r="FV46" s="83">
        <v>46.217849000000001</v>
      </c>
      <c r="FW46" s="83">
        <v>0</v>
      </c>
      <c r="FX46" s="83">
        <v>43.769159999999999</v>
      </c>
      <c r="FY46" s="83">
        <v>0</v>
      </c>
      <c r="FZ46" s="83">
        <v>0</v>
      </c>
      <c r="GA46" s="83">
        <v>69.802131000000003</v>
      </c>
      <c r="GB46" s="83">
        <v>0</v>
      </c>
      <c r="GC46" s="83">
        <v>63.655881000000001</v>
      </c>
      <c r="GD46" s="83">
        <v>0</v>
      </c>
      <c r="GE46" s="83">
        <v>60.283414</v>
      </c>
      <c r="GF46" s="83">
        <v>0</v>
      </c>
      <c r="GG46" s="83">
        <v>0</v>
      </c>
      <c r="GH46" s="83">
        <v>46.606327</v>
      </c>
      <c r="GI46" s="83">
        <v>0</v>
      </c>
      <c r="GJ46" s="83">
        <v>42.502549000000002</v>
      </c>
      <c r="GK46" s="83">
        <v>0</v>
      </c>
      <c r="GL46" s="83">
        <v>40.250746999999997</v>
      </c>
      <c r="GM46" s="83">
        <v>0</v>
      </c>
      <c r="GN46" s="83">
        <v>0</v>
      </c>
      <c r="GO46" s="83">
        <v>47.981430000000003</v>
      </c>
      <c r="GP46" s="83">
        <v>0</v>
      </c>
      <c r="GQ46" s="83">
        <v>43.756576000000003</v>
      </c>
      <c r="GR46" s="83">
        <v>0</v>
      </c>
      <c r="GS46" s="83">
        <v>41.438327000000001</v>
      </c>
      <c r="GT46" s="83">
        <v>0</v>
      </c>
      <c r="GU46" s="83">
        <v>0</v>
      </c>
      <c r="GV46" s="83">
        <v>48.585970000000003</v>
      </c>
      <c r="GW46" s="83">
        <v>0</v>
      </c>
      <c r="GX46" s="83">
        <v>44.307868999999997</v>
      </c>
      <c r="GY46" s="83">
        <v>0</v>
      </c>
      <c r="GZ46" s="83">
        <v>41.960420999999997</v>
      </c>
      <c r="HA46" s="83">
        <v>0</v>
      </c>
      <c r="HB46" s="83">
        <v>0</v>
      </c>
      <c r="HC46" s="83">
        <v>56.711407000000001</v>
      </c>
      <c r="HD46" s="83">
        <v>0</v>
      </c>
      <c r="HE46" s="83">
        <v>51.717858</v>
      </c>
      <c r="HF46" s="83">
        <v>0</v>
      </c>
      <c r="HG46" s="83">
        <v>48.977829999999997</v>
      </c>
      <c r="HH46" s="83">
        <v>0</v>
      </c>
      <c r="HI46" s="83">
        <v>0</v>
      </c>
      <c r="HJ46" s="83">
        <v>48.414648999999997</v>
      </c>
      <c r="HK46" s="83">
        <v>0</v>
      </c>
      <c r="HL46" s="83">
        <v>51.3048</v>
      </c>
      <c r="HM46" s="83">
        <v>0</v>
      </c>
      <c r="HN46" s="83">
        <v>48.586635999999999</v>
      </c>
      <c r="HO46" s="83">
        <v>0</v>
      </c>
      <c r="HP46" s="83">
        <v>0</v>
      </c>
      <c r="HQ46" s="83">
        <v>58.044524000000003</v>
      </c>
      <c r="HR46" s="83">
        <v>0</v>
      </c>
      <c r="HS46" s="83">
        <v>45.553389000000003</v>
      </c>
      <c r="HT46" s="83">
        <v>0</v>
      </c>
      <c r="HU46" s="83">
        <v>43.139944999999997</v>
      </c>
      <c r="HV46" s="83">
        <v>0</v>
      </c>
      <c r="HW46" s="83">
        <v>0</v>
      </c>
      <c r="HX46" s="83">
        <v>53.775016000000001</v>
      </c>
      <c r="HY46" s="83">
        <v>0</v>
      </c>
      <c r="HZ46" s="83">
        <v>49.040022999999998</v>
      </c>
      <c r="IA46" s="83">
        <v>0</v>
      </c>
      <c r="IB46" s="83">
        <v>46.441875000000003</v>
      </c>
      <c r="IC46" s="83">
        <v>0</v>
      </c>
      <c r="ID46" s="83">
        <v>0</v>
      </c>
      <c r="IE46" s="83">
        <v>59.147390999999999</v>
      </c>
      <c r="IF46" s="83">
        <v>0</v>
      </c>
      <c r="IG46" s="83">
        <v>53.939352</v>
      </c>
      <c r="IH46" s="83">
        <v>0</v>
      </c>
      <c r="II46" s="83">
        <v>51.081622000000003</v>
      </c>
      <c r="IJ46" s="83">
        <v>0</v>
      </c>
      <c r="IK46" s="83">
        <v>0</v>
      </c>
      <c r="IL46" s="83">
        <v>45.204636999999998</v>
      </c>
      <c r="IM46" s="83">
        <v>0</v>
      </c>
      <c r="IN46" s="83">
        <v>49.748235999999999</v>
      </c>
      <c r="IO46" s="83">
        <v>0</v>
      </c>
      <c r="IP46" s="83">
        <v>47.112561999999997</v>
      </c>
      <c r="IQ46" s="83">
        <v>0</v>
      </c>
      <c r="IR46" s="83">
        <v>0</v>
      </c>
      <c r="IS46" s="83">
        <v>65.822705999999997</v>
      </c>
      <c r="IT46" s="83">
        <v>0</v>
      </c>
      <c r="IU46" s="83">
        <v>49.741767000000003</v>
      </c>
      <c r="IV46" s="83">
        <v>0</v>
      </c>
      <c r="IW46" s="83">
        <v>47.106437</v>
      </c>
      <c r="IX46" s="83">
        <v>0</v>
      </c>
      <c r="IY46" s="83">
        <v>0</v>
      </c>
      <c r="IZ46" s="83">
        <v>54.406143999999998</v>
      </c>
      <c r="JA46" s="83">
        <v>0</v>
      </c>
      <c r="JB46" s="83">
        <v>49.615578999999997</v>
      </c>
      <c r="JC46" s="83">
        <v>0</v>
      </c>
      <c r="JD46" s="83">
        <v>46.986924000000002</v>
      </c>
      <c r="JE46" s="83">
        <v>0</v>
      </c>
      <c r="JF46" s="83">
        <v>0</v>
      </c>
      <c r="JG46" s="83">
        <v>58.171785999999997</v>
      </c>
      <c r="JH46" s="83">
        <v>0</v>
      </c>
      <c r="JI46" s="83">
        <v>53.049644999999998</v>
      </c>
      <c r="JJ46" s="83">
        <v>0</v>
      </c>
      <c r="JK46" s="83">
        <v>50.239057000000003</v>
      </c>
      <c r="JL46" s="83">
        <v>0</v>
      </c>
      <c r="JM46" s="83">
        <v>0</v>
      </c>
      <c r="JN46" s="83">
        <v>36.825875000000003</v>
      </c>
      <c r="JO46" s="83">
        <v>0</v>
      </c>
      <c r="JP46" s="83">
        <v>47.292591000000002</v>
      </c>
      <c r="JQ46" s="83">
        <v>0</v>
      </c>
      <c r="JR46" s="83">
        <v>38.704447999999999</v>
      </c>
      <c r="JS46" s="83">
        <v>28.481283000000001</v>
      </c>
      <c r="JT46" s="83">
        <v>28.459430000000001</v>
      </c>
      <c r="JU46" s="83">
        <v>26.576232000000001</v>
      </c>
      <c r="JV46" s="83">
        <v>20.522666000000001</v>
      </c>
      <c r="JW46" s="83">
        <v>28.683420000000002</v>
      </c>
      <c r="JX46" s="83">
        <v>20.522639000000002</v>
      </c>
      <c r="JY46" s="83">
        <v>20.642396000000002</v>
      </c>
      <c r="JZ46" s="83">
        <v>20.554137999999998</v>
      </c>
      <c r="KA46" s="83">
        <v>20.538377000000001</v>
      </c>
      <c r="KB46" s="83">
        <v>24.859069999999999</v>
      </c>
      <c r="KC46" s="83">
        <v>19.196648</v>
      </c>
      <c r="KD46" s="83">
        <v>26.830110000000001</v>
      </c>
      <c r="KE46" s="83">
        <v>19.196617</v>
      </c>
      <c r="KF46" s="83">
        <v>19.308634999999999</v>
      </c>
      <c r="KG46" s="83">
        <v>19.226078999999999</v>
      </c>
      <c r="KH46" s="83">
        <v>19.211334999999998</v>
      </c>
      <c r="KI46" s="83">
        <v>25.576343000000001</v>
      </c>
      <c r="KJ46" s="83">
        <v>19.750537999999999</v>
      </c>
      <c r="KK46" s="83">
        <v>27.60425</v>
      </c>
      <c r="KL46" s="83">
        <v>19.750512000000001</v>
      </c>
      <c r="KM46" s="83">
        <v>19.865756999999999</v>
      </c>
      <c r="KN46" s="83">
        <v>19.780826999999999</v>
      </c>
      <c r="KO46" s="83">
        <v>19.765654999999999</v>
      </c>
      <c r="KP46" s="83">
        <v>24.328060000000001</v>
      </c>
      <c r="KQ46" s="83">
        <v>18.786591999999999</v>
      </c>
      <c r="KR46" s="83">
        <v>26.256996000000001</v>
      </c>
      <c r="KS46" s="83">
        <v>18.786565</v>
      </c>
      <c r="KT46" s="83">
        <v>18.896189</v>
      </c>
      <c r="KU46" s="83">
        <v>18.815401999999999</v>
      </c>
      <c r="KV46" s="83">
        <v>18.800964</v>
      </c>
      <c r="KW46" s="83">
        <v>23.873045000000001</v>
      </c>
      <c r="KX46" s="83">
        <v>18.435213999999998</v>
      </c>
      <c r="KY46" s="83">
        <v>25.765905</v>
      </c>
      <c r="KZ46" s="83">
        <v>18.435188</v>
      </c>
      <c r="LA46" s="83">
        <v>18.542763999999998</v>
      </c>
      <c r="LB46" s="83">
        <v>18.463493</v>
      </c>
      <c r="LC46" s="83">
        <v>18.449324000000001</v>
      </c>
      <c r="LD46" s="83">
        <v>23.618493999999998</v>
      </c>
      <c r="LE46" s="83">
        <v>18.238644000000001</v>
      </c>
      <c r="LF46" s="83">
        <v>25.491168999999999</v>
      </c>
      <c r="LG46" s="83">
        <v>18.238617999999999</v>
      </c>
      <c r="LH46" s="83">
        <v>18.345051000000002</v>
      </c>
      <c r="LI46" s="83">
        <v>18.266615999999999</v>
      </c>
      <c r="LJ46" s="83">
        <v>18.252604999999999</v>
      </c>
      <c r="LK46" s="83">
        <v>23.244289999999999</v>
      </c>
      <c r="LL46" s="83">
        <v>17.949673000000001</v>
      </c>
      <c r="LM46" s="83">
        <v>25.087288000000001</v>
      </c>
      <c r="LN46" s="83">
        <v>17.949646999999999</v>
      </c>
      <c r="LO46" s="83">
        <v>18.054390999999999</v>
      </c>
      <c r="LP46" s="83">
        <v>17.977194000000001</v>
      </c>
      <c r="LQ46" s="83">
        <v>17.963408999999999</v>
      </c>
      <c r="LR46" s="83">
        <v>21.897044000000001</v>
      </c>
      <c r="LS46" s="83">
        <v>16.909306000000001</v>
      </c>
      <c r="LT46" s="83">
        <v>23.633220000000001</v>
      </c>
      <c r="LU46" s="83">
        <v>16.909281</v>
      </c>
      <c r="LV46" s="83">
        <v>17.007952</v>
      </c>
      <c r="LW46" s="83">
        <v>16.935237999999998</v>
      </c>
      <c r="LX46" s="83">
        <v>16.922249000000001</v>
      </c>
      <c r="LY46" s="83">
        <v>22.077539999999999</v>
      </c>
      <c r="LZ46" s="83">
        <v>17.048691000000002</v>
      </c>
      <c r="MA46" s="83">
        <v>23.828029999999998</v>
      </c>
      <c r="MB46" s="83">
        <v>17.048666999999998</v>
      </c>
      <c r="MC46" s="83">
        <v>17.148147000000002</v>
      </c>
      <c r="MD46" s="83">
        <v>17.074833000000002</v>
      </c>
      <c r="ME46" s="83">
        <v>17.061734000000001</v>
      </c>
      <c r="MF46" s="83">
        <v>22.895242</v>
      </c>
      <c r="MG46" s="83">
        <v>17.680135</v>
      </c>
      <c r="MH46" s="83">
        <v>24.710564999999999</v>
      </c>
      <c r="MI46" s="83">
        <v>17.680109999999999</v>
      </c>
      <c r="MJ46" s="83">
        <v>17.783276999999998</v>
      </c>
      <c r="MK46" s="83">
        <v>17.707249999999998</v>
      </c>
      <c r="ML46" s="83">
        <v>17.693667000000001</v>
      </c>
      <c r="MM46" s="83">
        <v>23.269622999999999</v>
      </c>
      <c r="MN46" s="83">
        <v>17.969235000000001</v>
      </c>
      <c r="MO46" s="83">
        <v>25.114633999999999</v>
      </c>
      <c r="MP46" s="83">
        <v>17.96921</v>
      </c>
      <c r="MQ46" s="83">
        <v>18.074065999999998</v>
      </c>
      <c r="MR46" s="83">
        <v>17.996793</v>
      </c>
      <c r="MS46" s="83">
        <v>17.982997999999998</v>
      </c>
      <c r="MT46" s="83">
        <v>21.733274999999999</v>
      </c>
      <c r="MU46" s="83">
        <v>16.782841000000001</v>
      </c>
      <c r="MV46" s="83">
        <v>23.456462999999999</v>
      </c>
      <c r="MW46" s="83">
        <v>16.782814999999999</v>
      </c>
      <c r="MX46" s="83">
        <v>16.880751</v>
      </c>
      <c r="MY46" s="83">
        <v>16.808574</v>
      </c>
      <c r="MZ46" s="83">
        <v>16.795674000000002</v>
      </c>
      <c r="NA46" s="83">
        <v>25.271695000000001</v>
      </c>
      <c r="NB46" s="83">
        <v>19.515279</v>
      </c>
      <c r="NC46" s="83">
        <v>27.275452999999999</v>
      </c>
      <c r="ND46" s="83">
        <v>19.515253000000001</v>
      </c>
      <c r="NE46" s="83">
        <v>19.629134000000001</v>
      </c>
      <c r="NF46" s="83">
        <v>19.545210000000001</v>
      </c>
      <c r="NG46" s="83">
        <v>19.530211999999999</v>
      </c>
      <c r="NH46" s="83">
        <v>23.852381999999999</v>
      </c>
      <c r="NI46" s="83">
        <v>18.419256000000001</v>
      </c>
      <c r="NJ46" s="83">
        <v>25.743597000000001</v>
      </c>
      <c r="NK46" s="83">
        <v>18.419229000000001</v>
      </c>
      <c r="NL46" s="83">
        <v>18.526716</v>
      </c>
      <c r="NM46" s="83">
        <v>18.447503000000001</v>
      </c>
      <c r="NN46" s="83">
        <v>18.433354000000001</v>
      </c>
      <c r="NO46" s="83">
        <v>21.068377000000002</v>
      </c>
      <c r="NP46" s="83">
        <v>16.269399</v>
      </c>
      <c r="NQ46" s="83">
        <v>22.738865000000001</v>
      </c>
      <c r="NR46" s="83">
        <v>16.269385</v>
      </c>
      <c r="NS46" s="83">
        <v>16.364322000000001</v>
      </c>
      <c r="NT46" s="83">
        <v>16.294354999999999</v>
      </c>
      <c r="NU46" s="83">
        <v>16.281853000000002</v>
      </c>
      <c r="NV46" s="83">
        <v>20.180935999999999</v>
      </c>
      <c r="NW46" s="83">
        <v>15.584104999999999</v>
      </c>
      <c r="NX46" s="83">
        <v>21.781063</v>
      </c>
      <c r="NY46" s="83">
        <v>15.584087999999999</v>
      </c>
      <c r="NZ46" s="83">
        <v>15.675022</v>
      </c>
      <c r="OA46" s="83">
        <v>15.60801</v>
      </c>
      <c r="OB46" s="83">
        <v>15.596031</v>
      </c>
      <c r="OC46" s="83">
        <v>25.278535000000002</v>
      </c>
      <c r="OD46" s="83">
        <v>19.520554000000001</v>
      </c>
      <c r="OE46" s="83">
        <v>27.282831000000002</v>
      </c>
      <c r="OF46" s="83">
        <v>19.520527000000001</v>
      </c>
      <c r="OG46" s="83">
        <v>19.634436999999998</v>
      </c>
      <c r="OH46" s="83">
        <v>19.5505</v>
      </c>
      <c r="OI46" s="83">
        <v>19.535489999999999</v>
      </c>
      <c r="OJ46" s="83">
        <v>22.148420999999999</v>
      </c>
      <c r="OK46" s="83">
        <v>17.103431</v>
      </c>
      <c r="OL46" s="83">
        <v>23.904536</v>
      </c>
      <c r="OM46" s="83">
        <v>17.103407000000001</v>
      </c>
      <c r="ON46" s="83">
        <v>17.203202999999998</v>
      </c>
      <c r="OO46" s="83">
        <v>17.129657999999999</v>
      </c>
      <c r="OP46" s="83">
        <v>17.116517999999999</v>
      </c>
      <c r="OQ46" s="83">
        <v>21.367681000000001</v>
      </c>
      <c r="OR46" s="83">
        <v>16.500527999999999</v>
      </c>
      <c r="OS46" s="83">
        <v>23.061899</v>
      </c>
      <c r="OT46" s="83">
        <v>16.500510999999999</v>
      </c>
      <c r="OU46" s="83">
        <v>16.596792000000001</v>
      </c>
      <c r="OV46" s="83">
        <v>16.525836999999999</v>
      </c>
      <c r="OW46" s="83">
        <v>16.513162000000001</v>
      </c>
      <c r="OX46" s="83">
        <v>22.806011000000002</v>
      </c>
      <c r="OY46" s="83">
        <v>17.611229000000002</v>
      </c>
      <c r="OZ46" s="83">
        <v>24.614260999999999</v>
      </c>
      <c r="PA46" s="83">
        <v>17.611204000000001</v>
      </c>
      <c r="PB46" s="83">
        <v>17.713968000000001</v>
      </c>
      <c r="PC46" s="83">
        <v>17.638241000000001</v>
      </c>
      <c r="PD46" s="83">
        <v>17.624706</v>
      </c>
      <c r="PE46" s="83">
        <v>24.432993</v>
      </c>
      <c r="PF46" s="83">
        <v>18.867615000000001</v>
      </c>
      <c r="PG46" s="83">
        <v>26.370242999999999</v>
      </c>
      <c r="PH46" s="83">
        <v>18.867588999999999</v>
      </c>
      <c r="PI46" s="83">
        <v>18.977689999999999</v>
      </c>
      <c r="PJ46" s="83">
        <v>18.896550000000001</v>
      </c>
      <c r="PK46" s="83">
        <v>18.882052000000002</v>
      </c>
      <c r="PL46" s="83">
        <v>21.654899</v>
      </c>
      <c r="PM46" s="83">
        <v>16.722325000000001</v>
      </c>
      <c r="PN46" s="83">
        <v>23.371884000000001</v>
      </c>
      <c r="PO46" s="83">
        <v>16.722300000000001</v>
      </c>
      <c r="PP46" s="83">
        <v>16.819882</v>
      </c>
      <c r="PQ46" s="83">
        <v>16.747966999999999</v>
      </c>
      <c r="PR46" s="83">
        <v>16.735120999999999</v>
      </c>
      <c r="PS46" s="83">
        <v>23.546465000000001</v>
      </c>
      <c r="PT46" s="83">
        <v>18.183022000000001</v>
      </c>
      <c r="PU46" s="83">
        <v>25.413422000000001</v>
      </c>
      <c r="PV46" s="83">
        <v>18.182994999999998</v>
      </c>
      <c r="PW46" s="83">
        <v>18.289095</v>
      </c>
      <c r="PX46" s="83">
        <v>18.210899999999999</v>
      </c>
      <c r="PY46" s="83">
        <v>18.196935</v>
      </c>
      <c r="PZ46" s="83">
        <v>19.330005</v>
      </c>
      <c r="QA46" s="83">
        <v>14.926992</v>
      </c>
      <c r="QB46" s="83">
        <v>20.862653999999999</v>
      </c>
      <c r="QC46" s="83">
        <v>14.926968</v>
      </c>
      <c r="QD46" s="83">
        <v>15.014073</v>
      </c>
      <c r="QE46" s="83">
        <v>14.949883</v>
      </c>
      <c r="QF46" s="83">
        <v>14.938416999999999</v>
      </c>
      <c r="QG46" s="83">
        <v>24.719214999999998</v>
      </c>
      <c r="QH46" s="83">
        <v>19.088645</v>
      </c>
      <c r="QI46" s="83">
        <v>26.679158999999999</v>
      </c>
      <c r="QJ46" s="83">
        <v>19.088618</v>
      </c>
      <c r="QK46" s="83">
        <v>19.200002000000001</v>
      </c>
      <c r="QL46" s="83">
        <v>19.117913999999999</v>
      </c>
      <c r="QM46" s="83">
        <v>19.103259999999999</v>
      </c>
      <c r="QN46" s="83">
        <v>22.764534999999999</v>
      </c>
      <c r="QO46" s="83">
        <v>17.579198999999999</v>
      </c>
      <c r="QP46" s="83">
        <v>24.569496999999998</v>
      </c>
      <c r="QQ46" s="83">
        <v>17.579174999999999</v>
      </c>
      <c r="QR46" s="83">
        <v>17.681753</v>
      </c>
      <c r="QS46" s="83">
        <v>17.606159999999999</v>
      </c>
    </row>
    <row r="47" spans="6:461" x14ac:dyDescent="0.25">
      <c r="F47" s="82" t="str">
        <f xml:space="preserve"> _xll.EPMOlapMemberO("[PRDDESCR].[].[WONDER GFREE WHOLEM 500G]","","WONDER GFREE WHOLEM 500G","","000")</f>
        <v>WONDER GFREE WHOLEM 500G</v>
      </c>
      <c r="G47" s="82" t="str">
        <f xml:space="preserve"> _xll.EPMOlapMemberO("[PRDID].[].[179650]","","179650","","000")</f>
        <v>179650</v>
      </c>
      <c r="H47" s="82" t="str">
        <f xml:space="preserve"> _xll.EPMOlapMemberO("[LOCID].[].[6123]","","6123","","000")</f>
        <v>6123</v>
      </c>
      <c r="I47" s="82" t="str">
        <f xml:space="preserve"> _xll.EPMOlapMemberO("[LOCDESCR].[].[QBA-Clayton - Fairbank]","","QBA-Clayton - Fairbank","","000")</f>
        <v>QBA-Clayton - Fairbank</v>
      </c>
      <c r="J47" s="82" t="str">
        <f xml:space="preserve"> _xll.EPMOlapMemberO("[KEY_FIGURES].[].[ZGFAPPROVEDFCSTQTY]","","Approved Forecast","","000")</f>
        <v>Approved Forecast</v>
      </c>
      <c r="K47" s="83">
        <v>158.75564299999999</v>
      </c>
      <c r="L47" s="83">
        <v>353.82844599999999</v>
      </c>
      <c r="M47" s="83">
        <v>234.14055400000001</v>
      </c>
      <c r="N47" s="83">
        <v>550.75118299999997</v>
      </c>
      <c r="O47" s="83">
        <v>1.0336E-2</v>
      </c>
      <c r="P47" s="83">
        <v>0.46858100000000003</v>
      </c>
      <c r="Q47" s="83">
        <v>607.61810400000002</v>
      </c>
      <c r="R47" s="83">
        <v>150.65916100000001</v>
      </c>
      <c r="S47" s="83">
        <v>362.62819300000001</v>
      </c>
      <c r="T47" s="83">
        <v>226.64943400000001</v>
      </c>
      <c r="U47" s="83">
        <v>581.11304099999995</v>
      </c>
      <c r="V47" s="83">
        <v>0.26447399999999999</v>
      </c>
      <c r="W47" s="83">
        <v>0.44079299999999999</v>
      </c>
      <c r="X47" s="83">
        <v>707.14556200000004</v>
      </c>
      <c r="Y47" s="83">
        <v>187.618617</v>
      </c>
      <c r="Z47" s="83">
        <v>408.147018</v>
      </c>
      <c r="AA47" s="83">
        <v>247.798621</v>
      </c>
      <c r="AB47" s="83">
        <v>642.25904200000002</v>
      </c>
      <c r="AC47" s="83">
        <v>0.25591000000000003</v>
      </c>
      <c r="AD47" s="83">
        <v>0.42651800000000001</v>
      </c>
      <c r="AE47" s="83">
        <v>651.43174999999997</v>
      </c>
      <c r="AF47" s="83">
        <v>171.27334200000001</v>
      </c>
      <c r="AG47" s="83">
        <v>364.25399900000002</v>
      </c>
      <c r="AH47" s="83">
        <v>231.016535</v>
      </c>
      <c r="AI47" s="83">
        <v>595.28209200000003</v>
      </c>
      <c r="AJ47" s="83">
        <v>0.25372</v>
      </c>
      <c r="AK47" s="83">
        <v>0.42286699999999999</v>
      </c>
      <c r="AL47" s="83">
        <v>657.47029599999996</v>
      </c>
      <c r="AM47" s="83">
        <v>173.92775399999999</v>
      </c>
      <c r="AN47" s="83">
        <v>370.71402999999998</v>
      </c>
      <c r="AO47" s="83">
        <v>232.58093400000001</v>
      </c>
      <c r="AP47" s="83">
        <v>608.02730299999996</v>
      </c>
      <c r="AQ47" s="83">
        <v>0.25224800000000003</v>
      </c>
      <c r="AR47" s="83">
        <v>0.42041299999999998</v>
      </c>
      <c r="AS47" s="83">
        <v>691.53279899999995</v>
      </c>
      <c r="AT47" s="83">
        <v>182.80193700000001</v>
      </c>
      <c r="AU47" s="83">
        <v>392.49718100000001</v>
      </c>
      <c r="AV47" s="83">
        <v>243.87007399999999</v>
      </c>
      <c r="AW47" s="83">
        <v>643.31193599999995</v>
      </c>
      <c r="AX47" s="83">
        <v>0.26999800000000002</v>
      </c>
      <c r="AY47" s="83">
        <v>0.44999800000000001</v>
      </c>
      <c r="AZ47" s="83">
        <v>650.37498300000004</v>
      </c>
      <c r="BA47" s="83">
        <v>174.271951</v>
      </c>
      <c r="BB47" s="83">
        <v>367.85483099999999</v>
      </c>
      <c r="BC47" s="83">
        <v>230.254008</v>
      </c>
      <c r="BD47" s="83">
        <v>608.46493999999996</v>
      </c>
      <c r="BE47" s="83">
        <v>0.26470500000000002</v>
      </c>
      <c r="BF47" s="83">
        <v>0.44117899999999999</v>
      </c>
      <c r="BG47" s="83">
        <v>678.81833500000005</v>
      </c>
      <c r="BH47" s="83">
        <v>177.408402</v>
      </c>
      <c r="BI47" s="83">
        <v>377.88465300000001</v>
      </c>
      <c r="BJ47" s="83">
        <v>240.87259299999999</v>
      </c>
      <c r="BK47" s="83">
        <v>615.43421000000001</v>
      </c>
      <c r="BL47" s="83">
        <v>0.26974100000000001</v>
      </c>
      <c r="BM47" s="83">
        <v>0.449571</v>
      </c>
      <c r="BN47" s="83">
        <v>705.66118300000005</v>
      </c>
      <c r="BO47" s="83">
        <v>186.068726</v>
      </c>
      <c r="BP47" s="83">
        <v>397.40087199999999</v>
      </c>
      <c r="BQ47" s="83">
        <v>249.51526799999999</v>
      </c>
      <c r="BR47" s="83">
        <v>650.76809100000003</v>
      </c>
      <c r="BS47" s="83">
        <v>0.26460600000000001</v>
      </c>
      <c r="BT47" s="83">
        <v>0.44101400000000002</v>
      </c>
      <c r="BU47" s="83">
        <v>691.24824000000001</v>
      </c>
      <c r="BV47" s="83">
        <v>177.03158999999999</v>
      </c>
      <c r="BW47" s="83">
        <v>378.23183699999998</v>
      </c>
      <c r="BX47" s="83">
        <v>246.177685</v>
      </c>
      <c r="BY47" s="83">
        <v>608.23511900000005</v>
      </c>
      <c r="BZ47" s="83">
        <v>0.240755</v>
      </c>
      <c r="CA47" s="83">
        <v>0.40126099999999998</v>
      </c>
      <c r="CB47" s="83">
        <v>688.62024299999996</v>
      </c>
      <c r="CC47" s="83">
        <v>175.76401300000001</v>
      </c>
      <c r="CD47" s="83">
        <v>379.66662400000001</v>
      </c>
      <c r="CE47" s="83">
        <v>244.396995</v>
      </c>
      <c r="CF47" s="83">
        <v>608.77225299999998</v>
      </c>
      <c r="CG47" s="83">
        <v>0.24284900000000001</v>
      </c>
      <c r="CH47" s="83">
        <v>0.404748</v>
      </c>
      <c r="CI47" s="83">
        <v>686.35483299999999</v>
      </c>
      <c r="CJ47" s="83">
        <v>175.103376</v>
      </c>
      <c r="CK47" s="83">
        <v>377.71079099999997</v>
      </c>
      <c r="CL47" s="83">
        <v>243.759939</v>
      </c>
      <c r="CM47" s="83">
        <v>605.49667899999997</v>
      </c>
      <c r="CN47" s="83">
        <v>0.26008700000000001</v>
      </c>
      <c r="CO47" s="83">
        <v>0.43348100000000001</v>
      </c>
      <c r="CP47" s="83">
        <v>725.86881600000004</v>
      </c>
      <c r="CQ47" s="83">
        <v>187.559057</v>
      </c>
      <c r="CR47" s="83">
        <v>404.05577399999999</v>
      </c>
      <c r="CS47" s="83">
        <v>257.02726100000001</v>
      </c>
      <c r="CT47" s="83">
        <v>653.23909700000002</v>
      </c>
      <c r="CU47" s="83">
        <v>0.244704</v>
      </c>
      <c r="CV47" s="83">
        <v>0.40784100000000001</v>
      </c>
      <c r="CW47" s="83">
        <v>651.21814600000005</v>
      </c>
      <c r="CX47" s="83">
        <v>169.07255799999999</v>
      </c>
      <c r="CY47" s="83">
        <v>361.67926699999998</v>
      </c>
      <c r="CZ47" s="83">
        <v>231.123606</v>
      </c>
      <c r="DA47" s="83">
        <v>586.25041999999996</v>
      </c>
      <c r="DB47" s="83">
        <v>0.23247000000000001</v>
      </c>
      <c r="DC47" s="83">
        <v>0.38745299999999999</v>
      </c>
      <c r="DD47" s="83">
        <v>683.97080800000003</v>
      </c>
      <c r="DE47" s="83">
        <v>177.98151999999999</v>
      </c>
      <c r="DF47" s="83">
        <v>385.36080900000002</v>
      </c>
      <c r="DG47" s="83">
        <v>241.36198899999999</v>
      </c>
      <c r="DH47" s="83">
        <v>625.17716199999995</v>
      </c>
      <c r="DI47" s="83">
        <v>0.26171699999999998</v>
      </c>
      <c r="DJ47" s="83">
        <v>0.436197</v>
      </c>
      <c r="DK47" s="83">
        <v>720.31030499999997</v>
      </c>
      <c r="DL47" s="83">
        <v>184.67713699999999</v>
      </c>
      <c r="DM47" s="83">
        <v>397.26642199999998</v>
      </c>
      <c r="DN47" s="83">
        <v>255.71068399999999</v>
      </c>
      <c r="DO47" s="83">
        <v>639.19076900000005</v>
      </c>
      <c r="DP47" s="83">
        <v>0.241396</v>
      </c>
      <c r="DQ47" s="83">
        <v>0.40232800000000002</v>
      </c>
      <c r="DR47" s="83">
        <v>623.39289799999995</v>
      </c>
      <c r="DS47" s="83">
        <v>163.78196800000001</v>
      </c>
      <c r="DT47" s="83">
        <v>348.775036</v>
      </c>
      <c r="DU47" s="83">
        <v>221.06365299999999</v>
      </c>
      <c r="DV47" s="83">
        <v>569.45771000000002</v>
      </c>
      <c r="DW47" s="83">
        <v>0.24274899999999999</v>
      </c>
      <c r="DX47" s="83">
        <v>0.40458300000000003</v>
      </c>
      <c r="DY47" s="83">
        <v>647.97854800000005</v>
      </c>
      <c r="DZ47" s="83">
        <v>170.175836</v>
      </c>
      <c r="EA47" s="83">
        <v>364.03798399999999</v>
      </c>
      <c r="EB47" s="83">
        <v>229.326075</v>
      </c>
      <c r="EC47" s="83">
        <v>594.21009500000002</v>
      </c>
      <c r="ED47" s="83">
        <v>0.24465799999999999</v>
      </c>
      <c r="EE47" s="83">
        <v>0.40776400000000002</v>
      </c>
      <c r="EF47" s="83">
        <v>647.45632799999998</v>
      </c>
      <c r="EG47" s="83">
        <v>170.005515</v>
      </c>
      <c r="EH47" s="83">
        <v>363.29203899999999</v>
      </c>
      <c r="EI47" s="83">
        <v>229.25057000000001</v>
      </c>
      <c r="EJ47" s="83">
        <v>592.97044900000003</v>
      </c>
      <c r="EK47" s="83">
        <v>0.236683</v>
      </c>
      <c r="EL47" s="83">
        <v>0.39447300000000002</v>
      </c>
      <c r="EM47" s="83">
        <v>653.184529</v>
      </c>
      <c r="EN47" s="83">
        <v>171.48737399999999</v>
      </c>
      <c r="EO47" s="83">
        <v>368.32892900000002</v>
      </c>
      <c r="EP47" s="83">
        <v>230.798463</v>
      </c>
      <c r="EQ47" s="83">
        <v>600.93456700000002</v>
      </c>
      <c r="ER47" s="83">
        <v>0.24207100000000001</v>
      </c>
      <c r="ES47" s="83">
        <v>0.40345199999999998</v>
      </c>
      <c r="ET47" s="83">
        <v>646.10251700000003</v>
      </c>
      <c r="EU47" s="83">
        <v>169.913501</v>
      </c>
      <c r="EV47" s="83">
        <v>363.44653799999998</v>
      </c>
      <c r="EW47" s="83">
        <v>228.59667999999999</v>
      </c>
      <c r="EX47" s="83">
        <v>593.72228299999995</v>
      </c>
      <c r="EY47" s="83">
        <v>0.303589</v>
      </c>
      <c r="EZ47" s="83">
        <v>0.50598600000000005</v>
      </c>
      <c r="FA47" s="83">
        <v>729.65887399999997</v>
      </c>
      <c r="FB47" s="83">
        <v>195.50535500000001</v>
      </c>
      <c r="FC47" s="83">
        <v>413.07352500000002</v>
      </c>
      <c r="FD47" s="83">
        <v>258.03986900000001</v>
      </c>
      <c r="FE47" s="83">
        <v>683.77786500000002</v>
      </c>
      <c r="FF47" s="83">
        <v>0.27961599999999998</v>
      </c>
      <c r="FG47" s="83">
        <v>0.466028</v>
      </c>
      <c r="FH47" s="83">
        <v>683.08166200000005</v>
      </c>
      <c r="FI47" s="83">
        <v>177.141774</v>
      </c>
      <c r="FJ47" s="83">
        <v>375.01876299999998</v>
      </c>
      <c r="FK47" s="83">
        <v>243.420874</v>
      </c>
      <c r="FL47" s="83">
        <v>608.16745900000001</v>
      </c>
      <c r="FM47" s="83">
        <v>0.23097100000000001</v>
      </c>
      <c r="FN47" s="83">
        <v>0.38495299999999999</v>
      </c>
      <c r="FO47" s="83">
        <v>632.61902699999996</v>
      </c>
      <c r="FP47" s="83">
        <v>165.59754599999999</v>
      </c>
      <c r="FQ47" s="83">
        <v>355.26222899999999</v>
      </c>
      <c r="FR47" s="83">
        <v>223.85154299999999</v>
      </c>
      <c r="FS47" s="83">
        <v>578.47840399999995</v>
      </c>
      <c r="FT47" s="83">
        <v>0.232654</v>
      </c>
      <c r="FU47" s="83">
        <v>0.38775700000000002</v>
      </c>
      <c r="FV47" s="83">
        <v>635.53027299999997</v>
      </c>
      <c r="FW47" s="83">
        <v>165.088956</v>
      </c>
      <c r="FX47" s="83">
        <v>354.16072700000001</v>
      </c>
      <c r="FY47" s="83">
        <v>225.307627</v>
      </c>
      <c r="FZ47" s="83">
        <v>574.01119100000005</v>
      </c>
      <c r="GA47" s="83">
        <v>0.225915</v>
      </c>
      <c r="GB47" s="83">
        <v>0.376527</v>
      </c>
      <c r="GC47" s="83">
        <v>603.31138799999997</v>
      </c>
      <c r="GD47" s="83">
        <v>156.490103</v>
      </c>
      <c r="GE47" s="83">
        <v>334.598386</v>
      </c>
      <c r="GF47" s="83">
        <v>214.32311799999999</v>
      </c>
      <c r="GG47" s="83">
        <v>541.70124499999997</v>
      </c>
      <c r="GH47" s="83">
        <v>0.257025</v>
      </c>
      <c r="GI47" s="83">
        <v>0.42837599999999998</v>
      </c>
      <c r="GJ47" s="83">
        <v>715.67596800000001</v>
      </c>
      <c r="GK47" s="83">
        <v>188.14082999999999</v>
      </c>
      <c r="GL47" s="83">
        <v>404.90653900000001</v>
      </c>
      <c r="GM47" s="83">
        <v>252.44474500000001</v>
      </c>
      <c r="GN47" s="83">
        <v>661.49783100000002</v>
      </c>
      <c r="GO47" s="83">
        <v>0.24515400000000001</v>
      </c>
      <c r="GP47" s="83">
        <v>0.40859000000000001</v>
      </c>
      <c r="GQ47" s="83">
        <v>616.99441200000001</v>
      </c>
      <c r="GR47" s="83">
        <v>161.14192199999999</v>
      </c>
      <c r="GS47" s="83">
        <v>342.029741</v>
      </c>
      <c r="GT47" s="83">
        <v>219.416022</v>
      </c>
      <c r="GU47" s="83">
        <v>556.51760000000002</v>
      </c>
      <c r="GV47" s="83">
        <v>0.25212000000000001</v>
      </c>
      <c r="GW47" s="83">
        <v>0.42020299999999999</v>
      </c>
      <c r="GX47" s="83">
        <v>651.41048699999999</v>
      </c>
      <c r="GY47" s="83">
        <v>169.636135</v>
      </c>
      <c r="GZ47" s="83">
        <v>361.52949999999998</v>
      </c>
      <c r="HA47" s="83">
        <v>231.36174</v>
      </c>
      <c r="HB47" s="83">
        <v>587.27693399999998</v>
      </c>
      <c r="HC47" s="83">
        <v>0.24862899999999999</v>
      </c>
      <c r="HD47" s="83">
        <v>0.41438399999999997</v>
      </c>
      <c r="HE47" s="83">
        <v>621.81770300000005</v>
      </c>
      <c r="HF47" s="83">
        <v>163.343626</v>
      </c>
      <c r="HG47" s="83">
        <v>346.415437</v>
      </c>
      <c r="HH47" s="83">
        <v>220.87847500000001</v>
      </c>
      <c r="HI47" s="83">
        <v>565.735007</v>
      </c>
      <c r="HJ47" s="83">
        <v>0.22926099999999999</v>
      </c>
      <c r="HK47" s="83">
        <v>0.38210100000000002</v>
      </c>
      <c r="HL47" s="83">
        <v>637.65056800000002</v>
      </c>
      <c r="HM47" s="83">
        <v>164.36539300000001</v>
      </c>
      <c r="HN47" s="83">
        <v>353.45801699999998</v>
      </c>
      <c r="HO47" s="83">
        <v>226.270522</v>
      </c>
      <c r="HP47" s="83">
        <v>570.05589199999997</v>
      </c>
      <c r="HQ47" s="83">
        <v>0.27783200000000002</v>
      </c>
      <c r="HR47" s="83">
        <v>0.46305499999999999</v>
      </c>
      <c r="HS47" s="83">
        <v>743.07235200000002</v>
      </c>
      <c r="HT47" s="83">
        <v>198.22489999999999</v>
      </c>
      <c r="HU47" s="83">
        <v>420.59650599999998</v>
      </c>
      <c r="HV47" s="83">
        <v>262.593614</v>
      </c>
      <c r="HW47" s="83">
        <v>694.22857099999999</v>
      </c>
      <c r="HX47" s="83">
        <v>0.28422799999999998</v>
      </c>
      <c r="HY47" s="83">
        <v>0.47371400000000002</v>
      </c>
      <c r="HZ47" s="83">
        <v>672.85379599999999</v>
      </c>
      <c r="IA47" s="83">
        <v>180.59747300000001</v>
      </c>
      <c r="IB47" s="83">
        <v>380.70613800000001</v>
      </c>
      <c r="IC47" s="83">
        <v>238.18661900000001</v>
      </c>
      <c r="ID47" s="83">
        <v>630.59853999999996</v>
      </c>
      <c r="IE47" s="83">
        <v>0.286526</v>
      </c>
      <c r="IF47" s="83">
        <v>0.47754200000000002</v>
      </c>
      <c r="IG47" s="83">
        <v>652.66503999999998</v>
      </c>
      <c r="IH47" s="83">
        <v>172.73011</v>
      </c>
      <c r="II47" s="83">
        <v>365.44756899999999</v>
      </c>
      <c r="IJ47" s="83">
        <v>231.55541199999999</v>
      </c>
      <c r="IK47" s="83">
        <v>599.89756699999998</v>
      </c>
      <c r="IL47" s="83">
        <v>0.25982300000000003</v>
      </c>
      <c r="IM47" s="83">
        <v>0.43303900000000001</v>
      </c>
      <c r="IN47" s="83">
        <v>656.94836299999997</v>
      </c>
      <c r="IO47" s="83">
        <v>171.16129699999999</v>
      </c>
      <c r="IP47" s="83">
        <v>363.80829999999997</v>
      </c>
      <c r="IQ47" s="83">
        <v>233.53423100000001</v>
      </c>
      <c r="IR47" s="83">
        <v>591.32206399999995</v>
      </c>
      <c r="IS47" s="83">
        <v>0.27687299999999998</v>
      </c>
      <c r="IT47" s="83">
        <v>0.461455</v>
      </c>
      <c r="IU47" s="83">
        <v>674.94769099999996</v>
      </c>
      <c r="IV47" s="83">
        <v>178.798169</v>
      </c>
      <c r="IW47" s="83">
        <v>378.23258700000002</v>
      </c>
      <c r="IX47" s="83">
        <v>239.36581899999999</v>
      </c>
      <c r="IY47" s="83">
        <v>621.42045499999995</v>
      </c>
      <c r="IZ47" s="83">
        <v>0.24562400000000001</v>
      </c>
      <c r="JA47" s="83">
        <v>0.40937499999999999</v>
      </c>
      <c r="JB47" s="83">
        <v>604.75982899999997</v>
      </c>
      <c r="JC47" s="83">
        <v>159.426841</v>
      </c>
      <c r="JD47" s="83">
        <v>337.28011700000002</v>
      </c>
      <c r="JE47" s="83">
        <v>214.88374899999999</v>
      </c>
      <c r="JF47" s="83">
        <v>551.98747700000001</v>
      </c>
      <c r="JG47" s="83">
        <v>0.245561</v>
      </c>
      <c r="JH47" s="83">
        <v>0.40927000000000002</v>
      </c>
      <c r="JI47" s="83">
        <v>626.01902600000005</v>
      </c>
      <c r="JJ47" s="83">
        <v>162.933313</v>
      </c>
      <c r="JK47" s="83">
        <v>346.49207999999999</v>
      </c>
      <c r="JL47" s="83">
        <v>222.62389300000001</v>
      </c>
      <c r="JM47" s="83">
        <v>562.56011100000001</v>
      </c>
      <c r="JN47" s="83">
        <v>1.081412</v>
      </c>
      <c r="JO47" s="83">
        <v>1.5003789999999999</v>
      </c>
      <c r="JP47" s="83">
        <v>1052.1311920000001</v>
      </c>
      <c r="JQ47" s="83">
        <v>308.59352899999999</v>
      </c>
      <c r="JR47" s="83">
        <v>579.47131200000001</v>
      </c>
      <c r="JS47" s="83">
        <v>1.226639</v>
      </c>
      <c r="JT47" s="83">
        <v>1.2141900000000001</v>
      </c>
      <c r="JU47" s="83">
        <v>254.76069899999999</v>
      </c>
      <c r="JV47" s="83">
        <v>254.76063300000001</v>
      </c>
      <c r="JW47" s="83">
        <v>311.12733100000003</v>
      </c>
      <c r="JX47" s="83">
        <v>352.69237600000002</v>
      </c>
      <c r="JY47" s="83">
        <v>291.1748</v>
      </c>
      <c r="JZ47" s="83">
        <v>288.35475700000001</v>
      </c>
      <c r="KA47" s="83">
        <v>281.56908099999998</v>
      </c>
      <c r="KB47" s="83">
        <v>255.35214300000001</v>
      </c>
      <c r="KC47" s="83">
        <v>255.35208</v>
      </c>
      <c r="KD47" s="83">
        <v>276.18212499999998</v>
      </c>
      <c r="KE47" s="83">
        <v>312.87168600000001</v>
      </c>
      <c r="KF47" s="83">
        <v>258.43107400000002</v>
      </c>
      <c r="KG47" s="83">
        <v>255.83289199999999</v>
      </c>
      <c r="KH47" s="83">
        <v>249.77728099999999</v>
      </c>
      <c r="KI47" s="83">
        <v>237.48469900000001</v>
      </c>
      <c r="KJ47" s="83">
        <v>237.48463599999999</v>
      </c>
      <c r="KK47" s="83">
        <v>290.00343600000002</v>
      </c>
      <c r="KL47" s="83">
        <v>328.93930599999999</v>
      </c>
      <c r="KM47" s="83">
        <v>271.25733300000002</v>
      </c>
      <c r="KN47" s="83">
        <v>268.85199999999998</v>
      </c>
      <c r="KO47" s="83">
        <v>262.56872800000002</v>
      </c>
      <c r="KP47" s="83">
        <v>240.751034</v>
      </c>
      <c r="KQ47" s="83">
        <v>240.750967</v>
      </c>
      <c r="KR47" s="83">
        <v>263.161385</v>
      </c>
      <c r="KS47" s="83">
        <v>299.10240499999998</v>
      </c>
      <c r="KT47" s="83">
        <v>245.17082600000001</v>
      </c>
      <c r="KU47" s="83">
        <v>244.019375</v>
      </c>
      <c r="KV47" s="83">
        <v>238.465611</v>
      </c>
      <c r="KW47" s="83">
        <v>249.80009699999999</v>
      </c>
      <c r="KX47" s="83">
        <v>249.80003099999999</v>
      </c>
      <c r="KY47" s="83">
        <v>288.10203999999999</v>
      </c>
      <c r="KZ47" s="83">
        <v>326.68464399999999</v>
      </c>
      <c r="LA47" s="83">
        <v>269.08569799999998</v>
      </c>
      <c r="LB47" s="83">
        <v>266.89343600000001</v>
      </c>
      <c r="LC47" s="83">
        <v>260.64923099999999</v>
      </c>
      <c r="LD47" s="83">
        <v>260.26430099999999</v>
      </c>
      <c r="LE47" s="83">
        <v>260.26423499999999</v>
      </c>
      <c r="LF47" s="83">
        <v>313.14567499999998</v>
      </c>
      <c r="LG47" s="83">
        <v>354.87735800000002</v>
      </c>
      <c r="LH47" s="83">
        <v>293.904898</v>
      </c>
      <c r="LI47" s="83">
        <v>290.44936000000001</v>
      </c>
      <c r="LJ47" s="83">
        <v>283.56907100000001</v>
      </c>
      <c r="LK47" s="83">
        <v>262.34200199999998</v>
      </c>
      <c r="LL47" s="83">
        <v>262.34193399999998</v>
      </c>
      <c r="LM47" s="83">
        <v>289.70256699999999</v>
      </c>
      <c r="LN47" s="83">
        <v>328.56949700000001</v>
      </c>
      <c r="LO47" s="83">
        <v>270.95496000000003</v>
      </c>
      <c r="LP47" s="83">
        <v>268.54812099999998</v>
      </c>
      <c r="LQ47" s="83">
        <v>262.26711599999999</v>
      </c>
      <c r="LR47" s="83">
        <v>246.11478500000001</v>
      </c>
      <c r="LS47" s="83">
        <v>246.11472000000001</v>
      </c>
      <c r="LT47" s="83">
        <v>283.74950100000001</v>
      </c>
      <c r="LU47" s="83">
        <v>321.716587</v>
      </c>
      <c r="LV47" s="83">
        <v>265.17731099999997</v>
      </c>
      <c r="LW47" s="83">
        <v>262.89593500000001</v>
      </c>
      <c r="LX47" s="83">
        <v>256.73469599999999</v>
      </c>
      <c r="LY47" s="83">
        <v>232.21699100000001</v>
      </c>
      <c r="LZ47" s="83">
        <v>232.21692400000001</v>
      </c>
      <c r="MA47" s="83">
        <v>285.25424099999998</v>
      </c>
      <c r="MB47" s="83">
        <v>323.54095000000001</v>
      </c>
      <c r="MC47" s="83">
        <v>266.92937699999999</v>
      </c>
      <c r="MD47" s="83">
        <v>264.48248899999999</v>
      </c>
      <c r="ME47" s="83">
        <v>258.296156</v>
      </c>
      <c r="MF47" s="83">
        <v>279.50476500000002</v>
      </c>
      <c r="MG47" s="83">
        <v>279.50469500000003</v>
      </c>
      <c r="MH47" s="83">
        <v>298.76062899999999</v>
      </c>
      <c r="MI47" s="83">
        <v>338.87101200000001</v>
      </c>
      <c r="MJ47" s="83">
        <v>279.95581499999997</v>
      </c>
      <c r="MK47" s="83">
        <v>277.14168000000001</v>
      </c>
      <c r="ML47" s="83">
        <v>270.64822900000001</v>
      </c>
      <c r="MM47" s="83">
        <v>223.49650500000001</v>
      </c>
      <c r="MN47" s="83">
        <v>223.496442</v>
      </c>
      <c r="MO47" s="83">
        <v>258.27392900000001</v>
      </c>
      <c r="MP47" s="83">
        <v>293.60592600000001</v>
      </c>
      <c r="MQ47" s="83">
        <v>240.58670499999999</v>
      </c>
      <c r="MR47" s="83">
        <v>239.514884</v>
      </c>
      <c r="MS47" s="83">
        <v>234.076278</v>
      </c>
      <c r="MT47" s="83">
        <v>227.007621</v>
      </c>
      <c r="MU47" s="83">
        <v>227.00756000000001</v>
      </c>
      <c r="MV47" s="83">
        <v>279.30437499999999</v>
      </c>
      <c r="MW47" s="83">
        <v>317.42523899999998</v>
      </c>
      <c r="MX47" s="83">
        <v>260.952384</v>
      </c>
      <c r="MY47" s="83">
        <v>259.22280499999999</v>
      </c>
      <c r="MZ47" s="83">
        <v>253.29383999999999</v>
      </c>
      <c r="NA47" s="83">
        <v>272.83933300000001</v>
      </c>
      <c r="NB47" s="83">
        <v>272.839269</v>
      </c>
      <c r="NC47" s="83">
        <v>290.84152799999998</v>
      </c>
      <c r="ND47" s="83">
        <v>330.06874099999999</v>
      </c>
      <c r="NE47" s="83">
        <v>272.432546</v>
      </c>
      <c r="NF47" s="83">
        <v>269.875024</v>
      </c>
      <c r="NG47" s="83">
        <v>263.59026299999999</v>
      </c>
      <c r="NH47" s="83">
        <v>252.81187700000001</v>
      </c>
      <c r="NI47" s="83">
        <v>252.81181000000001</v>
      </c>
      <c r="NJ47" s="83">
        <v>291.61346600000002</v>
      </c>
      <c r="NK47" s="83">
        <v>331.219424</v>
      </c>
      <c r="NL47" s="83">
        <v>272.45316600000001</v>
      </c>
      <c r="NM47" s="83">
        <v>270.52168699999999</v>
      </c>
      <c r="NN47" s="83">
        <v>264.295661</v>
      </c>
      <c r="NO47" s="83">
        <v>240.540604</v>
      </c>
      <c r="NP47" s="83">
        <v>240.54053999999999</v>
      </c>
      <c r="NQ47" s="83">
        <v>290.24409400000002</v>
      </c>
      <c r="NR47" s="83">
        <v>329.11970200000002</v>
      </c>
      <c r="NS47" s="83">
        <v>271.68160399999999</v>
      </c>
      <c r="NT47" s="83">
        <v>269.08552900000001</v>
      </c>
      <c r="NU47" s="83">
        <v>262.77301599999998</v>
      </c>
      <c r="NV47" s="83">
        <v>287.59147400000001</v>
      </c>
      <c r="NW47" s="83">
        <v>287.59140200000002</v>
      </c>
      <c r="NX47" s="83">
        <v>316.02623899999998</v>
      </c>
      <c r="NY47" s="83">
        <v>358.23918700000002</v>
      </c>
      <c r="NZ47" s="83">
        <v>295.50164100000001</v>
      </c>
      <c r="OA47" s="83">
        <v>292.80118499999998</v>
      </c>
      <c r="OB47" s="83">
        <v>285.91690999999997</v>
      </c>
      <c r="OC47" s="83">
        <v>260.796874</v>
      </c>
      <c r="OD47" s="83">
        <v>260.796806</v>
      </c>
      <c r="OE47" s="83">
        <v>300.91519599999998</v>
      </c>
      <c r="OF47" s="83">
        <v>341.47751</v>
      </c>
      <c r="OG47" s="83">
        <v>280.91502800000001</v>
      </c>
      <c r="OH47" s="83">
        <v>278.87752999999998</v>
      </c>
      <c r="OI47" s="83">
        <v>272.406432</v>
      </c>
      <c r="OJ47" s="83">
        <v>264.84000700000001</v>
      </c>
      <c r="OK47" s="83">
        <v>264.83993500000003</v>
      </c>
      <c r="OL47" s="83">
        <v>319.59294699999998</v>
      </c>
      <c r="OM47" s="83">
        <v>362.29692399999999</v>
      </c>
      <c r="ON47" s="83">
        <v>299.38044100000002</v>
      </c>
      <c r="OO47" s="83">
        <v>296.30080700000002</v>
      </c>
      <c r="OP47" s="83">
        <v>289.32032400000003</v>
      </c>
      <c r="OQ47" s="83">
        <v>279.81120399999998</v>
      </c>
      <c r="OR47" s="83">
        <v>279.81112999999999</v>
      </c>
      <c r="OS47" s="83">
        <v>307.69893400000001</v>
      </c>
      <c r="OT47" s="83">
        <v>349.12987199999998</v>
      </c>
      <c r="OU47" s="83">
        <v>287.66983399999998</v>
      </c>
      <c r="OV47" s="83">
        <v>285.27900499999998</v>
      </c>
      <c r="OW47" s="83">
        <v>278.63715200000001</v>
      </c>
      <c r="OX47" s="83">
        <v>263.639973</v>
      </c>
      <c r="OY47" s="83">
        <v>263.639904</v>
      </c>
      <c r="OZ47" s="83">
        <v>303.90430300000003</v>
      </c>
      <c r="PA47" s="83">
        <v>343.94930199999999</v>
      </c>
      <c r="PB47" s="83">
        <v>283.93485500000003</v>
      </c>
      <c r="PC47" s="83">
        <v>281.149944</v>
      </c>
      <c r="PD47" s="83">
        <v>274.44242100000002</v>
      </c>
      <c r="PE47" s="83">
        <v>270.62078100000002</v>
      </c>
      <c r="PF47" s="83">
        <v>270.62071100000003</v>
      </c>
      <c r="PG47" s="83">
        <v>330.68724700000001</v>
      </c>
      <c r="PH47" s="83">
        <v>375.36749300000002</v>
      </c>
      <c r="PI47" s="83">
        <v>309.308806</v>
      </c>
      <c r="PJ47" s="83">
        <v>306.73339199999998</v>
      </c>
      <c r="PK47" s="83">
        <v>299.61492800000002</v>
      </c>
      <c r="PL47" s="83">
        <v>292.56721499999998</v>
      </c>
      <c r="PM47" s="83">
        <v>292.56714199999999</v>
      </c>
      <c r="PN47" s="83">
        <v>317.98719399999999</v>
      </c>
      <c r="PO47" s="83">
        <v>360.79904900000002</v>
      </c>
      <c r="PP47" s="83">
        <v>296.92220300000002</v>
      </c>
      <c r="PQ47" s="83">
        <v>294.68655100000001</v>
      </c>
      <c r="PR47" s="83">
        <v>287.834903</v>
      </c>
      <c r="PS47" s="83">
        <v>271.34603700000002</v>
      </c>
      <c r="PT47" s="83">
        <v>271.34596099999999</v>
      </c>
      <c r="PU47" s="83">
        <v>313.80001800000002</v>
      </c>
      <c r="PV47" s="83">
        <v>357.31604399999998</v>
      </c>
      <c r="PW47" s="83">
        <v>292.11011200000002</v>
      </c>
      <c r="PX47" s="83">
        <v>291.29062199999998</v>
      </c>
      <c r="PY47" s="83">
        <v>284.78874200000001</v>
      </c>
      <c r="PZ47" s="83">
        <v>270.895037</v>
      </c>
      <c r="QA47" s="83">
        <v>270.89496300000002</v>
      </c>
      <c r="QB47" s="83">
        <v>312.87811900000003</v>
      </c>
      <c r="QC47" s="83">
        <v>356.550005</v>
      </c>
      <c r="QD47" s="83">
        <v>291.97996999999998</v>
      </c>
      <c r="QE47" s="83">
        <v>290.86267299999997</v>
      </c>
      <c r="QF47" s="83">
        <v>284.40240699999998</v>
      </c>
      <c r="QG47" s="83">
        <v>269.72478000000001</v>
      </c>
      <c r="QH47" s="83">
        <v>269.72470600000003</v>
      </c>
      <c r="QI47" s="83">
        <v>311.60801800000002</v>
      </c>
      <c r="QJ47" s="83">
        <v>355.10979500000002</v>
      </c>
      <c r="QK47" s="83">
        <v>290.66342700000001</v>
      </c>
      <c r="QL47" s="83">
        <v>289.64167300000003</v>
      </c>
      <c r="QM47" s="83">
        <v>283.21401500000002</v>
      </c>
      <c r="QN47" s="83">
        <v>288.163229</v>
      </c>
      <c r="QO47" s="83">
        <v>288.16314599999998</v>
      </c>
      <c r="QP47" s="83">
        <v>332.51405699999998</v>
      </c>
      <c r="QQ47" s="83">
        <v>378.26836100000003</v>
      </c>
      <c r="QR47" s="83">
        <v>310.63604299999997</v>
      </c>
      <c r="QS47" s="83">
        <v>308.81405599999999</v>
      </c>
    </row>
    <row r="48" spans="6:461" x14ac:dyDescent="0.25">
      <c r="F48" s="82" t="str">
        <f xml:space="preserve"> _xll.EPMOlapMemberO("[PRDDESCR].[].[WONDER GFREE WHOLEM 500G]","","WONDER GFREE WHOLEM 500G","","000")</f>
        <v>WONDER GFREE WHOLEM 500G</v>
      </c>
      <c r="G48" s="82" t="str">
        <f xml:space="preserve"> _xll.EPMOlapMemberO("[PRDID].[].[179650]","","179650","","000")</f>
        <v>179650</v>
      </c>
      <c r="H48" s="82" t="str">
        <f xml:space="preserve"> _xll.EPMOlapMemberO("[LOCID].[].[6125]","","6125","","000")</f>
        <v>6125</v>
      </c>
      <c r="I48" s="82" t="str">
        <f xml:space="preserve"> _xll.EPMOlapMemberO("[LOCDESCR].[].[QBA -Keilor Park]","","QBA -Keilor Park","","000")</f>
        <v>QBA -Keilor Park</v>
      </c>
      <c r="J48" s="82" t="str">
        <f xml:space="preserve"> _xll.EPMOlapMemberO("[KEY_FIGURES].[].[ZGFAPPROVEDFCSTQTY]","","Approved Forecast","","000")</f>
        <v>Approved Forecast</v>
      </c>
      <c r="K48" s="83">
        <v>83.868457000000006</v>
      </c>
      <c r="L48" s="83">
        <v>235.19124199999999</v>
      </c>
      <c r="M48" s="83">
        <v>294.79038700000001</v>
      </c>
      <c r="N48" s="83">
        <v>342.36134800000002</v>
      </c>
      <c r="O48" s="83">
        <v>1.9349000000000002E-2</v>
      </c>
      <c r="P48" s="83">
        <v>0.27860699999999999</v>
      </c>
      <c r="Q48" s="83">
        <v>536.42566399999998</v>
      </c>
      <c r="R48" s="83">
        <v>84.721168000000006</v>
      </c>
      <c r="S48" s="83">
        <v>228.885122</v>
      </c>
      <c r="T48" s="83">
        <v>280.73211400000002</v>
      </c>
      <c r="U48" s="83">
        <v>350.17238500000002</v>
      </c>
      <c r="V48" s="83">
        <v>0</v>
      </c>
      <c r="W48" s="83">
        <v>0.28491300000000003</v>
      </c>
      <c r="X48" s="83">
        <v>604.98089200000004</v>
      </c>
      <c r="Y48" s="83">
        <v>97.766946000000004</v>
      </c>
      <c r="Z48" s="83">
        <v>260.40235899999999</v>
      </c>
      <c r="AA48" s="83">
        <v>315.65134699999999</v>
      </c>
      <c r="AB48" s="83">
        <v>391.08250900000002</v>
      </c>
      <c r="AC48" s="83">
        <v>0</v>
      </c>
      <c r="AD48" s="83">
        <v>0.29960199999999998</v>
      </c>
      <c r="AE48" s="83">
        <v>570.59573799999998</v>
      </c>
      <c r="AF48" s="83">
        <v>83.176427000000004</v>
      </c>
      <c r="AG48" s="83">
        <v>242.71139199999999</v>
      </c>
      <c r="AH48" s="83">
        <v>277.50986399999999</v>
      </c>
      <c r="AI48" s="83">
        <v>350.53518000000003</v>
      </c>
      <c r="AJ48" s="83">
        <v>0</v>
      </c>
      <c r="AK48" s="83">
        <v>0.29820200000000002</v>
      </c>
      <c r="AL48" s="83">
        <v>580.08140200000003</v>
      </c>
      <c r="AM48" s="83">
        <v>87.873127999999994</v>
      </c>
      <c r="AN48" s="83">
        <v>248.349188</v>
      </c>
      <c r="AO48" s="83">
        <v>290.83039400000001</v>
      </c>
      <c r="AP48" s="83">
        <v>369.54166900000001</v>
      </c>
      <c r="AQ48" s="83">
        <v>0</v>
      </c>
      <c r="AR48" s="83">
        <v>0.278868</v>
      </c>
      <c r="AS48" s="83">
        <v>598.49287100000004</v>
      </c>
      <c r="AT48" s="83">
        <v>92.375124999999997</v>
      </c>
      <c r="AU48" s="83">
        <v>265.91795500000001</v>
      </c>
      <c r="AV48" s="83">
        <v>324.81758300000001</v>
      </c>
      <c r="AW48" s="83">
        <v>394.72521499999999</v>
      </c>
      <c r="AX48" s="83">
        <v>0</v>
      </c>
      <c r="AY48" s="83">
        <v>0.28613899999999998</v>
      </c>
      <c r="AZ48" s="83">
        <v>583.96319600000004</v>
      </c>
      <c r="BA48" s="83">
        <v>84.613978000000003</v>
      </c>
      <c r="BB48" s="83">
        <v>248.30156400000001</v>
      </c>
      <c r="BC48" s="83">
        <v>289.62503800000002</v>
      </c>
      <c r="BD48" s="83">
        <v>364.90784400000001</v>
      </c>
      <c r="BE48" s="83">
        <v>0</v>
      </c>
      <c r="BF48" s="83">
        <v>0.27591599999999999</v>
      </c>
      <c r="BG48" s="83">
        <v>568.14447700000005</v>
      </c>
      <c r="BH48" s="83">
        <v>84.451305000000005</v>
      </c>
      <c r="BI48" s="83">
        <v>243.63163</v>
      </c>
      <c r="BJ48" s="83">
        <v>285.02788199999998</v>
      </c>
      <c r="BK48" s="83">
        <v>362.89553699999999</v>
      </c>
      <c r="BL48" s="83">
        <v>0</v>
      </c>
      <c r="BM48" s="83">
        <v>0.31222</v>
      </c>
      <c r="BN48" s="83">
        <v>601.88137200000006</v>
      </c>
      <c r="BO48" s="83">
        <v>94.182058999999995</v>
      </c>
      <c r="BP48" s="83">
        <v>267.81829199999999</v>
      </c>
      <c r="BQ48" s="83">
        <v>319.90619900000002</v>
      </c>
      <c r="BR48" s="83">
        <v>388.97639500000002</v>
      </c>
      <c r="BS48" s="83">
        <v>0</v>
      </c>
      <c r="BT48" s="83">
        <v>0.31620999999999999</v>
      </c>
      <c r="BU48" s="83">
        <v>608.19440099999997</v>
      </c>
      <c r="BV48" s="83">
        <v>87.716632000000004</v>
      </c>
      <c r="BW48" s="83">
        <v>258.055947</v>
      </c>
      <c r="BX48" s="83">
        <v>293.97975000000002</v>
      </c>
      <c r="BY48" s="83">
        <v>372.175341</v>
      </c>
      <c r="BZ48" s="83">
        <v>0</v>
      </c>
      <c r="CA48" s="83">
        <v>0.284748</v>
      </c>
      <c r="CB48" s="83">
        <v>530.57138899999995</v>
      </c>
      <c r="CC48" s="83">
        <v>81.384167000000005</v>
      </c>
      <c r="CD48" s="83">
        <v>227.88340600000001</v>
      </c>
      <c r="CE48" s="83">
        <v>265.01790999999997</v>
      </c>
      <c r="CF48" s="83">
        <v>336.271728</v>
      </c>
      <c r="CG48" s="83">
        <v>0</v>
      </c>
      <c r="CH48" s="83">
        <v>0.32690399999999997</v>
      </c>
      <c r="CI48" s="83">
        <v>584.47285499999998</v>
      </c>
      <c r="CJ48" s="83">
        <v>93.132666999999998</v>
      </c>
      <c r="CK48" s="83">
        <v>259.894294</v>
      </c>
      <c r="CL48" s="83">
        <v>307.57754999999997</v>
      </c>
      <c r="CM48" s="83">
        <v>373.999595</v>
      </c>
      <c r="CN48" s="83">
        <v>0</v>
      </c>
      <c r="CO48" s="83">
        <v>0.30543399999999998</v>
      </c>
      <c r="CP48" s="83">
        <v>578.05910100000006</v>
      </c>
      <c r="CQ48" s="83">
        <v>85.413674999999998</v>
      </c>
      <c r="CR48" s="83">
        <v>245.741739</v>
      </c>
      <c r="CS48" s="83">
        <v>284.25603599999999</v>
      </c>
      <c r="CT48" s="83">
        <v>358.02288600000003</v>
      </c>
      <c r="CU48" s="83">
        <v>0</v>
      </c>
      <c r="CV48" s="83">
        <v>0.28536699999999998</v>
      </c>
      <c r="CW48" s="83">
        <v>564.197813</v>
      </c>
      <c r="CX48" s="83">
        <v>85.330085999999994</v>
      </c>
      <c r="CY48" s="83">
        <v>241.835656</v>
      </c>
      <c r="CZ48" s="83">
        <v>284.063941</v>
      </c>
      <c r="DA48" s="83">
        <v>360.61605700000001</v>
      </c>
      <c r="DB48" s="83">
        <v>0</v>
      </c>
      <c r="DC48" s="83">
        <v>0.291574</v>
      </c>
      <c r="DD48" s="83">
        <v>577.24593900000002</v>
      </c>
      <c r="DE48" s="83">
        <v>89.697145000000006</v>
      </c>
      <c r="DF48" s="83">
        <v>257.41344900000001</v>
      </c>
      <c r="DG48" s="83">
        <v>307.464361</v>
      </c>
      <c r="DH48" s="83">
        <v>373.844268</v>
      </c>
      <c r="DI48" s="83">
        <v>0</v>
      </c>
      <c r="DJ48" s="83">
        <v>0.28298800000000002</v>
      </c>
      <c r="DK48" s="83">
        <v>583.76101400000005</v>
      </c>
      <c r="DL48" s="83">
        <v>88.464251000000004</v>
      </c>
      <c r="DM48" s="83">
        <v>247.891266</v>
      </c>
      <c r="DN48" s="83">
        <v>285.30811</v>
      </c>
      <c r="DO48" s="83">
        <v>358.92418199999997</v>
      </c>
      <c r="DP48" s="83">
        <v>0</v>
      </c>
      <c r="DQ48" s="83">
        <v>0.338563</v>
      </c>
      <c r="DR48" s="83">
        <v>557.42295000000001</v>
      </c>
      <c r="DS48" s="83">
        <v>85.108277999999999</v>
      </c>
      <c r="DT48" s="83">
        <v>238.955916</v>
      </c>
      <c r="DU48" s="83">
        <v>281.66387900000001</v>
      </c>
      <c r="DV48" s="83">
        <v>356.849808</v>
      </c>
      <c r="DW48" s="83">
        <v>0</v>
      </c>
      <c r="DX48" s="83">
        <v>0.27540100000000001</v>
      </c>
      <c r="DY48" s="83">
        <v>563.35940000000005</v>
      </c>
      <c r="DZ48" s="83">
        <v>87.166882000000001</v>
      </c>
      <c r="EA48" s="83">
        <v>251.296344</v>
      </c>
      <c r="EB48" s="83">
        <v>301.938425</v>
      </c>
      <c r="EC48" s="83">
        <v>367.05480999999997</v>
      </c>
      <c r="ED48" s="83">
        <v>0</v>
      </c>
      <c r="EE48" s="83">
        <v>0.29852800000000002</v>
      </c>
      <c r="EF48" s="83">
        <v>567.32606199999998</v>
      </c>
      <c r="EG48" s="83">
        <v>83.462951000000004</v>
      </c>
      <c r="EH48" s="83">
        <v>241.375516</v>
      </c>
      <c r="EI48" s="83">
        <v>278.17650800000001</v>
      </c>
      <c r="EJ48" s="83">
        <v>350.62547499999999</v>
      </c>
      <c r="EK48" s="83">
        <v>0</v>
      </c>
      <c r="EL48" s="83">
        <v>0.29031600000000002</v>
      </c>
      <c r="EM48" s="83">
        <v>587.63032999999996</v>
      </c>
      <c r="EN48" s="83">
        <v>89.143992999999995</v>
      </c>
      <c r="EO48" s="83">
        <v>251.431208</v>
      </c>
      <c r="EP48" s="83">
        <v>299.47350599999999</v>
      </c>
      <c r="EQ48" s="83">
        <v>379.16462100000001</v>
      </c>
      <c r="ER48" s="83">
        <v>0</v>
      </c>
      <c r="ES48" s="83">
        <v>0.29149700000000001</v>
      </c>
      <c r="ET48" s="83">
        <v>551.29058199999997</v>
      </c>
      <c r="EU48" s="83">
        <v>86.663561999999999</v>
      </c>
      <c r="EV48" s="83">
        <v>245.90063599999999</v>
      </c>
      <c r="EW48" s="83">
        <v>292.088616</v>
      </c>
      <c r="EX48" s="83">
        <v>355.13221900000002</v>
      </c>
      <c r="EY48" s="83">
        <v>0</v>
      </c>
      <c r="EZ48" s="83">
        <v>0.31240400000000002</v>
      </c>
      <c r="FA48" s="83">
        <v>667.30044399999997</v>
      </c>
      <c r="FB48" s="83">
        <v>96.853904999999997</v>
      </c>
      <c r="FC48" s="83">
        <v>282.38949300000002</v>
      </c>
      <c r="FD48" s="83">
        <v>336.97610400000002</v>
      </c>
      <c r="FE48" s="83">
        <v>423.54924799999998</v>
      </c>
      <c r="FF48" s="83">
        <v>0</v>
      </c>
      <c r="FG48" s="83">
        <v>0.28940300000000002</v>
      </c>
      <c r="FH48" s="83">
        <v>623.90156500000001</v>
      </c>
      <c r="FI48" s="83">
        <v>97.020509000000004</v>
      </c>
      <c r="FJ48" s="83">
        <v>266.07024000000001</v>
      </c>
      <c r="FK48" s="83">
        <v>308.96560499999998</v>
      </c>
      <c r="FL48" s="83">
        <v>392.53850399999999</v>
      </c>
      <c r="FM48" s="83">
        <v>0</v>
      </c>
      <c r="FN48" s="83">
        <v>0.353829</v>
      </c>
      <c r="FO48" s="83">
        <v>581.08999300000005</v>
      </c>
      <c r="FP48" s="83">
        <v>90.208093000000005</v>
      </c>
      <c r="FQ48" s="83">
        <v>258.85063300000002</v>
      </c>
      <c r="FR48" s="83">
        <v>311.11248899999998</v>
      </c>
      <c r="FS48" s="83">
        <v>378.21519799999999</v>
      </c>
      <c r="FT48" s="83">
        <v>0</v>
      </c>
      <c r="FU48" s="83">
        <v>0.29114499999999999</v>
      </c>
      <c r="FV48" s="83">
        <v>531.90057400000001</v>
      </c>
      <c r="FW48" s="83">
        <v>78.433374999999998</v>
      </c>
      <c r="FX48" s="83">
        <v>226.85890000000001</v>
      </c>
      <c r="FY48" s="83">
        <v>257.28018100000003</v>
      </c>
      <c r="FZ48" s="83">
        <v>324.82362699999999</v>
      </c>
      <c r="GA48" s="83">
        <v>0</v>
      </c>
      <c r="GB48" s="83">
        <v>0.313998</v>
      </c>
      <c r="GC48" s="83">
        <v>566.60691599999996</v>
      </c>
      <c r="GD48" s="83">
        <v>87.372597999999996</v>
      </c>
      <c r="GE48" s="83">
        <v>242.634264</v>
      </c>
      <c r="GF48" s="83">
        <v>281.10573699999998</v>
      </c>
      <c r="GG48" s="83">
        <v>357.14347400000003</v>
      </c>
      <c r="GH48" s="83">
        <v>0</v>
      </c>
      <c r="GI48" s="83">
        <v>0.32031500000000002</v>
      </c>
      <c r="GJ48" s="83">
        <v>610.12323800000001</v>
      </c>
      <c r="GK48" s="83">
        <v>96.644345999999999</v>
      </c>
      <c r="GL48" s="83">
        <v>270.36131499999999</v>
      </c>
      <c r="GM48" s="83">
        <v>326.44771800000001</v>
      </c>
      <c r="GN48" s="83">
        <v>396.75603699999999</v>
      </c>
      <c r="GO48" s="83">
        <v>0</v>
      </c>
      <c r="GP48" s="83">
        <v>0.29179899999999998</v>
      </c>
      <c r="GQ48" s="83">
        <v>539.40752999999995</v>
      </c>
      <c r="GR48" s="83">
        <v>79.062404999999998</v>
      </c>
      <c r="GS48" s="83">
        <v>229.940898</v>
      </c>
      <c r="GT48" s="83">
        <v>260.600684</v>
      </c>
      <c r="GU48" s="83">
        <v>329.27838400000002</v>
      </c>
      <c r="GV48" s="83">
        <v>0</v>
      </c>
      <c r="GW48" s="83">
        <v>0.32218799999999997</v>
      </c>
      <c r="GX48" s="83">
        <v>585.935472</v>
      </c>
      <c r="GY48" s="83">
        <v>90.425552999999994</v>
      </c>
      <c r="GZ48" s="83">
        <v>250.56238500000001</v>
      </c>
      <c r="HA48" s="83">
        <v>291.95532600000001</v>
      </c>
      <c r="HB48" s="83">
        <v>370.63502199999999</v>
      </c>
      <c r="HC48" s="83">
        <v>0</v>
      </c>
      <c r="HD48" s="83">
        <v>0.28790100000000002</v>
      </c>
      <c r="HE48" s="83">
        <v>530.32760399999995</v>
      </c>
      <c r="HF48" s="83">
        <v>83.030595000000005</v>
      </c>
      <c r="HG48" s="83">
        <v>237.63923600000001</v>
      </c>
      <c r="HH48" s="83">
        <v>277.427187</v>
      </c>
      <c r="HI48" s="83">
        <v>337.47654699999998</v>
      </c>
      <c r="HJ48" s="83">
        <v>0</v>
      </c>
      <c r="HK48" s="83">
        <v>0.28872599999999998</v>
      </c>
      <c r="HL48" s="83">
        <v>541.12281299999995</v>
      </c>
      <c r="HM48" s="83">
        <v>82.989378000000002</v>
      </c>
      <c r="HN48" s="83">
        <v>230.34751499999999</v>
      </c>
      <c r="HO48" s="83">
        <v>258.36301700000001</v>
      </c>
      <c r="HP48" s="83">
        <v>325.76393899999999</v>
      </c>
      <c r="HQ48" s="83">
        <v>0</v>
      </c>
      <c r="HR48" s="83">
        <v>0.36388399999999999</v>
      </c>
      <c r="HS48" s="83">
        <v>594.10437999999999</v>
      </c>
      <c r="HT48" s="83">
        <v>90.298687000000001</v>
      </c>
      <c r="HU48" s="83">
        <v>254.07943900000001</v>
      </c>
      <c r="HV48" s="83">
        <v>296.105751</v>
      </c>
      <c r="HW48" s="83">
        <v>376.63235300000002</v>
      </c>
      <c r="HX48" s="83">
        <v>0</v>
      </c>
      <c r="HY48" s="83">
        <v>0.281391</v>
      </c>
      <c r="HZ48" s="83">
        <v>581.551424</v>
      </c>
      <c r="IA48" s="83">
        <v>88.852354000000005</v>
      </c>
      <c r="IB48" s="83">
        <v>260.15894900000001</v>
      </c>
      <c r="IC48" s="83">
        <v>309.49017300000003</v>
      </c>
      <c r="ID48" s="83">
        <v>376.42717299999998</v>
      </c>
      <c r="IE48" s="83">
        <v>0</v>
      </c>
      <c r="IF48" s="83">
        <v>0.29013299999999997</v>
      </c>
      <c r="IG48" s="83">
        <v>589.49068199999999</v>
      </c>
      <c r="IH48" s="83">
        <v>85.041464000000005</v>
      </c>
      <c r="II48" s="83">
        <v>250.54609099999999</v>
      </c>
      <c r="IJ48" s="83">
        <v>290.71270099999998</v>
      </c>
      <c r="IK48" s="83">
        <v>366.76649600000002</v>
      </c>
      <c r="IL48" s="83">
        <v>0</v>
      </c>
      <c r="IM48" s="83">
        <v>0.29161799999999999</v>
      </c>
      <c r="IN48" s="83">
        <v>593.38053300000001</v>
      </c>
      <c r="IO48" s="83">
        <v>93.183577999999997</v>
      </c>
      <c r="IP48" s="83">
        <v>253.43609499999999</v>
      </c>
      <c r="IQ48" s="83">
        <v>291.92348900000002</v>
      </c>
      <c r="IR48" s="83">
        <v>370.81811900000002</v>
      </c>
      <c r="IS48" s="83">
        <v>0</v>
      </c>
      <c r="IT48" s="83">
        <v>0.36150900000000002</v>
      </c>
      <c r="IU48" s="83">
        <v>591.37302799999998</v>
      </c>
      <c r="IV48" s="83">
        <v>91.675572000000003</v>
      </c>
      <c r="IW48" s="83">
        <v>263.783817</v>
      </c>
      <c r="IX48" s="83">
        <v>314.156543</v>
      </c>
      <c r="IY48" s="83">
        <v>382.04498599999999</v>
      </c>
      <c r="IZ48" s="83">
        <v>0</v>
      </c>
      <c r="JA48" s="83">
        <v>0.285358</v>
      </c>
      <c r="JB48" s="83">
        <v>565.91640199999995</v>
      </c>
      <c r="JC48" s="83">
        <v>82.487520000000004</v>
      </c>
      <c r="JD48" s="83">
        <v>240.88639800000001</v>
      </c>
      <c r="JE48" s="83">
        <v>279.353723</v>
      </c>
      <c r="JF48" s="83">
        <v>352.00159100000002</v>
      </c>
      <c r="JG48" s="83">
        <v>0</v>
      </c>
      <c r="JH48" s="83">
        <v>0.31441599999999997</v>
      </c>
      <c r="JI48" s="83">
        <v>569.59613000000002</v>
      </c>
      <c r="JJ48" s="83">
        <v>87.741939000000002</v>
      </c>
      <c r="JK48" s="83">
        <v>243.872477</v>
      </c>
      <c r="JL48" s="83">
        <v>282.73101100000002</v>
      </c>
      <c r="JM48" s="83">
        <v>359.23027200000001</v>
      </c>
      <c r="JN48" s="83">
        <v>2.3378640000000002</v>
      </c>
      <c r="JO48" s="83">
        <v>2.645791</v>
      </c>
      <c r="JP48" s="83">
        <v>934.75181999999995</v>
      </c>
      <c r="JQ48" s="83">
        <v>159.38095200000001</v>
      </c>
      <c r="JR48" s="83">
        <v>381.64290299999999</v>
      </c>
      <c r="JS48" s="83">
        <v>2.8091719999999998</v>
      </c>
      <c r="JT48" s="83">
        <v>2.4637889999999998</v>
      </c>
      <c r="JU48" s="83">
        <v>203.86013500000001</v>
      </c>
      <c r="JV48" s="83">
        <v>203.79442499999999</v>
      </c>
      <c r="JW48" s="83">
        <v>239.31626399999999</v>
      </c>
      <c r="JX48" s="83">
        <v>292.34984900000001</v>
      </c>
      <c r="JY48" s="83">
        <v>251.695413</v>
      </c>
      <c r="JZ48" s="83">
        <v>231.57440500000001</v>
      </c>
      <c r="KA48" s="83">
        <v>224.085418</v>
      </c>
      <c r="KB48" s="83">
        <v>196.32778300000001</v>
      </c>
      <c r="KC48" s="83">
        <v>196.25796500000001</v>
      </c>
      <c r="KD48" s="83">
        <v>199.12056200000001</v>
      </c>
      <c r="KE48" s="83">
        <v>256.93870099999998</v>
      </c>
      <c r="KF48" s="83">
        <v>210.428496</v>
      </c>
      <c r="KG48" s="83">
        <v>196.98815500000001</v>
      </c>
      <c r="KH48" s="83">
        <v>191.06450100000001</v>
      </c>
      <c r="KI48" s="83">
        <v>200.128546</v>
      </c>
      <c r="KJ48" s="83">
        <v>200.06507300000001</v>
      </c>
      <c r="KK48" s="83">
        <v>229.33140499999999</v>
      </c>
      <c r="KL48" s="83">
        <v>307.44948900000003</v>
      </c>
      <c r="KM48" s="83">
        <v>251.757012</v>
      </c>
      <c r="KN48" s="83">
        <v>237.63019</v>
      </c>
      <c r="KO48" s="83">
        <v>221.90631099999999</v>
      </c>
      <c r="KP48" s="83">
        <v>205.71761699999999</v>
      </c>
      <c r="KQ48" s="83">
        <v>205.64757900000001</v>
      </c>
      <c r="KR48" s="83">
        <v>212.715157</v>
      </c>
      <c r="KS48" s="83">
        <v>257.50101000000001</v>
      </c>
      <c r="KT48" s="83">
        <v>222.94698399999999</v>
      </c>
      <c r="KU48" s="83">
        <v>206.14776599999999</v>
      </c>
      <c r="KV48" s="83">
        <v>198.657059</v>
      </c>
      <c r="KW48" s="83">
        <v>200.99511899999999</v>
      </c>
      <c r="KX48" s="83">
        <v>200.929326</v>
      </c>
      <c r="KY48" s="83">
        <v>217.94313700000001</v>
      </c>
      <c r="KZ48" s="83">
        <v>281.38339000000002</v>
      </c>
      <c r="LA48" s="83">
        <v>230.327822</v>
      </c>
      <c r="LB48" s="83">
        <v>215.56995499999999</v>
      </c>
      <c r="LC48" s="83">
        <v>209.12135799999999</v>
      </c>
      <c r="LD48" s="83">
        <v>190.32817700000001</v>
      </c>
      <c r="LE48" s="83">
        <v>190.270771</v>
      </c>
      <c r="LF48" s="83">
        <v>213.13045500000001</v>
      </c>
      <c r="LG48" s="83">
        <v>285.92898200000002</v>
      </c>
      <c r="LH48" s="83">
        <v>234.109478</v>
      </c>
      <c r="LI48" s="83">
        <v>221.786519</v>
      </c>
      <c r="LJ48" s="83">
        <v>206.302627</v>
      </c>
      <c r="LK48" s="83">
        <v>213.33916600000001</v>
      </c>
      <c r="LL48" s="83">
        <v>213.26540199999999</v>
      </c>
      <c r="LM48" s="83">
        <v>224.524756</v>
      </c>
      <c r="LN48" s="83">
        <v>272.62931099999997</v>
      </c>
      <c r="LO48" s="83">
        <v>235.56505999999999</v>
      </c>
      <c r="LP48" s="83">
        <v>217.19038800000001</v>
      </c>
      <c r="LQ48" s="83">
        <v>209.824646</v>
      </c>
      <c r="LR48" s="83">
        <v>206.143169</v>
      </c>
      <c r="LS48" s="83">
        <v>206.070806</v>
      </c>
      <c r="LT48" s="83">
        <v>223.12271899999999</v>
      </c>
      <c r="LU48" s="83">
        <v>289.13155399999999</v>
      </c>
      <c r="LV48" s="83">
        <v>236.20932300000001</v>
      </c>
      <c r="LW48" s="83">
        <v>220.09500399999999</v>
      </c>
      <c r="LX48" s="83">
        <v>214.26764800000001</v>
      </c>
      <c r="LY48" s="83">
        <v>196.30205100000001</v>
      </c>
      <c r="LZ48" s="83">
        <v>196.23812599999999</v>
      </c>
      <c r="MA48" s="83">
        <v>226.66857400000001</v>
      </c>
      <c r="MB48" s="83">
        <v>304.10189500000001</v>
      </c>
      <c r="MC48" s="83">
        <v>248.874977</v>
      </c>
      <c r="MD48" s="83">
        <v>234.43143499999999</v>
      </c>
      <c r="ME48" s="83">
        <v>219.371557</v>
      </c>
      <c r="MF48" s="83">
        <v>216.15419199999999</v>
      </c>
      <c r="MG48" s="83">
        <v>216.07142099999999</v>
      </c>
      <c r="MH48" s="83">
        <v>219.46134000000001</v>
      </c>
      <c r="MI48" s="83">
        <v>268.05383</v>
      </c>
      <c r="MJ48" s="83">
        <v>230.785405</v>
      </c>
      <c r="MK48" s="83">
        <v>212.167022</v>
      </c>
      <c r="ML48" s="83">
        <v>205.495802</v>
      </c>
      <c r="MM48" s="83">
        <v>192.25705300000001</v>
      </c>
      <c r="MN48" s="83">
        <v>192.19620399999999</v>
      </c>
      <c r="MO48" s="83">
        <v>208.30627899999999</v>
      </c>
      <c r="MP48" s="83">
        <v>269.35269</v>
      </c>
      <c r="MQ48" s="83">
        <v>219.885695</v>
      </c>
      <c r="MR48" s="83">
        <v>205.68304000000001</v>
      </c>
      <c r="MS48" s="83">
        <v>199.99126899999999</v>
      </c>
      <c r="MT48" s="83">
        <v>189.36765800000001</v>
      </c>
      <c r="MU48" s="83">
        <v>189.30876000000001</v>
      </c>
      <c r="MV48" s="83">
        <v>218.892112</v>
      </c>
      <c r="MW48" s="83">
        <v>293.229153</v>
      </c>
      <c r="MX48" s="83">
        <v>240.23003399999999</v>
      </c>
      <c r="MY48" s="83">
        <v>226.86280500000001</v>
      </c>
      <c r="MZ48" s="83">
        <v>211.78050400000001</v>
      </c>
      <c r="NA48" s="83">
        <v>214.96132</v>
      </c>
      <c r="NB48" s="83">
        <v>214.881944</v>
      </c>
      <c r="NC48" s="83">
        <v>218.49357599999999</v>
      </c>
      <c r="ND48" s="83">
        <v>266.10421400000001</v>
      </c>
      <c r="NE48" s="83">
        <v>229.57467600000001</v>
      </c>
      <c r="NF48" s="83">
        <v>211.90830700000001</v>
      </c>
      <c r="NG48" s="83">
        <v>204.480593</v>
      </c>
      <c r="NH48" s="83">
        <v>197.52189200000001</v>
      </c>
      <c r="NI48" s="83">
        <v>197.456929</v>
      </c>
      <c r="NJ48" s="83">
        <v>213.993492</v>
      </c>
      <c r="NK48" s="83">
        <v>276.75280099999998</v>
      </c>
      <c r="NL48" s="83">
        <v>226.141446</v>
      </c>
      <c r="NM48" s="83">
        <v>211.33944299999999</v>
      </c>
      <c r="NN48" s="83">
        <v>205.43328299999999</v>
      </c>
      <c r="NO48" s="83">
        <v>196.41729900000001</v>
      </c>
      <c r="NP48" s="83">
        <v>196.35174900000001</v>
      </c>
      <c r="NQ48" s="83">
        <v>222.03794500000001</v>
      </c>
      <c r="NR48" s="83">
        <v>298.10951999999997</v>
      </c>
      <c r="NS48" s="83">
        <v>243.86732599999999</v>
      </c>
      <c r="NT48" s="83">
        <v>229.69328100000001</v>
      </c>
      <c r="NU48" s="83">
        <v>214.939391</v>
      </c>
      <c r="NV48" s="83">
        <v>220.163139</v>
      </c>
      <c r="NW48" s="83">
        <v>220.08516900000001</v>
      </c>
      <c r="NX48" s="83">
        <v>229.954622</v>
      </c>
      <c r="NY48" s="83">
        <v>279.45613400000002</v>
      </c>
      <c r="NZ48" s="83">
        <v>241.279518</v>
      </c>
      <c r="OA48" s="83">
        <v>221.86921799999999</v>
      </c>
      <c r="OB48" s="83">
        <v>214.87365600000001</v>
      </c>
      <c r="OC48" s="83">
        <v>199.062285</v>
      </c>
      <c r="OD48" s="83">
        <v>199.00066899999999</v>
      </c>
      <c r="OE48" s="83">
        <v>215.81542400000001</v>
      </c>
      <c r="OF48" s="83">
        <v>278.790277</v>
      </c>
      <c r="OG48" s="83">
        <v>227.70208700000001</v>
      </c>
      <c r="OH48" s="83">
        <v>213.27769599999999</v>
      </c>
      <c r="OI48" s="83">
        <v>207.14014800000001</v>
      </c>
      <c r="OJ48" s="83">
        <v>206.771074</v>
      </c>
      <c r="OK48" s="83">
        <v>206.705364</v>
      </c>
      <c r="OL48" s="83">
        <v>233.01269199999999</v>
      </c>
      <c r="OM48" s="83">
        <v>313.27997800000003</v>
      </c>
      <c r="ON48" s="83">
        <v>256.114217</v>
      </c>
      <c r="OO48" s="83">
        <v>241.79494199999999</v>
      </c>
      <c r="OP48" s="83">
        <v>225.63322400000001</v>
      </c>
      <c r="OQ48" s="83">
        <v>218.96204599999999</v>
      </c>
      <c r="OR48" s="83">
        <v>218.88208399999999</v>
      </c>
      <c r="OS48" s="83">
        <v>228.26996299999999</v>
      </c>
      <c r="OT48" s="83">
        <v>278.182008</v>
      </c>
      <c r="OU48" s="83">
        <v>239.788298</v>
      </c>
      <c r="OV48" s="83">
        <v>220.321178</v>
      </c>
      <c r="OW48" s="83">
        <v>213.514093</v>
      </c>
      <c r="OX48" s="83">
        <v>205.51161400000001</v>
      </c>
      <c r="OY48" s="83">
        <v>205.44278299999999</v>
      </c>
      <c r="OZ48" s="83">
        <v>222.499605</v>
      </c>
      <c r="PA48" s="83">
        <v>288.22787</v>
      </c>
      <c r="PB48" s="83">
        <v>235.21990600000001</v>
      </c>
      <c r="PC48" s="83">
        <v>219.47232500000001</v>
      </c>
      <c r="PD48" s="83">
        <v>213.67353900000001</v>
      </c>
      <c r="PE48" s="83">
        <v>202.679171</v>
      </c>
      <c r="PF48" s="83">
        <v>202.61575199999999</v>
      </c>
      <c r="PG48" s="83">
        <v>231.598578</v>
      </c>
      <c r="PH48" s="83">
        <v>312.20920899999999</v>
      </c>
      <c r="PI48" s="83">
        <v>254.83077900000001</v>
      </c>
      <c r="PJ48" s="83">
        <v>240.32931600000001</v>
      </c>
      <c r="PK48" s="83">
        <v>224.42173</v>
      </c>
      <c r="PL48" s="83">
        <v>224.86488900000001</v>
      </c>
      <c r="PM48" s="83">
        <v>224.787363</v>
      </c>
      <c r="PN48" s="83">
        <v>232.23301900000001</v>
      </c>
      <c r="PO48" s="83">
        <v>281.27655099999998</v>
      </c>
      <c r="PP48" s="83">
        <v>243.38047599999999</v>
      </c>
      <c r="PQ48" s="83">
        <v>224.436735</v>
      </c>
      <c r="PR48" s="83">
        <v>216.79969399999999</v>
      </c>
      <c r="PS48" s="83">
        <v>211.484193</v>
      </c>
      <c r="PT48" s="83">
        <v>211.42145099999999</v>
      </c>
      <c r="PU48" s="83">
        <v>229.34567300000001</v>
      </c>
      <c r="PV48" s="83">
        <v>296.28855700000003</v>
      </c>
      <c r="PW48" s="83">
        <v>241.71104</v>
      </c>
      <c r="PX48" s="83">
        <v>226.62083000000001</v>
      </c>
      <c r="PY48" s="83">
        <v>220.12544800000001</v>
      </c>
      <c r="PZ48" s="83">
        <v>188.88763399999999</v>
      </c>
      <c r="QA48" s="83">
        <v>188.82730000000001</v>
      </c>
      <c r="QB48" s="83">
        <v>202.84610699999999</v>
      </c>
      <c r="QC48" s="83">
        <v>271.94438700000001</v>
      </c>
      <c r="QD48" s="83">
        <v>222.75599800000001</v>
      </c>
      <c r="QE48" s="83">
        <v>211.101551</v>
      </c>
      <c r="QF48" s="83">
        <v>196.33102099999999</v>
      </c>
      <c r="QG48" s="83">
        <v>210.30801299999999</v>
      </c>
      <c r="QH48" s="83">
        <v>210.23981900000001</v>
      </c>
      <c r="QI48" s="83">
        <v>231.683482</v>
      </c>
      <c r="QJ48" s="83">
        <v>281.28591399999999</v>
      </c>
      <c r="QK48" s="83">
        <v>243.09139400000001</v>
      </c>
      <c r="QL48" s="83">
        <v>224.40319099999999</v>
      </c>
      <c r="QM48" s="83">
        <v>216.52847199999999</v>
      </c>
      <c r="QN48" s="83">
        <v>202.65540100000001</v>
      </c>
      <c r="QO48" s="83">
        <v>202.588977</v>
      </c>
      <c r="QP48" s="83">
        <v>219.63628399999999</v>
      </c>
      <c r="QQ48" s="83">
        <v>283.88399700000002</v>
      </c>
      <c r="QR48" s="83">
        <v>232.09864300000001</v>
      </c>
      <c r="QS48" s="83">
        <v>217.03830500000001</v>
      </c>
    </row>
    <row r="49" spans="6:461" x14ac:dyDescent="0.25">
      <c r="F49" s="82" t="str">
        <f xml:space="preserve"> _xll.EPMOlapMemberO("[PRDDESCR].[].[WONDER GFREE WHOLEM 500G]","","WONDER GFREE WHOLEM 500G","","000")</f>
        <v>WONDER GFREE WHOLEM 500G</v>
      </c>
      <c r="G49" s="82" t="str">
        <f xml:space="preserve"> _xll.EPMOlapMemberO("[PRDID].[].[179650]","","179650","","000")</f>
        <v>179650</v>
      </c>
      <c r="H49" s="82" t="str">
        <f xml:space="preserve"> _xll.EPMOlapMemberO("[LOCID].[].[6130]","","6130","","000")</f>
        <v>6130</v>
      </c>
      <c r="I49" s="82" t="str">
        <f xml:space="preserve"> _xll.EPMOlapMemberO("[LOCDESCR].[].[QBA-Canning Vale]","","QBA-Canning Vale","","000")</f>
        <v>QBA-Canning Vale</v>
      </c>
      <c r="J49" s="82" t="str">
        <f xml:space="preserve"> _xll.EPMOlapMemberO("[KEY_FIGURES].[].[ZGFAPPROVEDFCSTQTY]","","Approved Forecast","","000")</f>
        <v>Approved Forecast</v>
      </c>
      <c r="K49" s="83">
        <v>67.788796000000005</v>
      </c>
      <c r="L49" s="83">
        <v>82.128298000000001</v>
      </c>
      <c r="M49" s="83">
        <v>79.457819999999998</v>
      </c>
      <c r="N49" s="83">
        <v>18.37143</v>
      </c>
      <c r="O49" s="83">
        <v>126.729095</v>
      </c>
      <c r="P49" s="83">
        <v>26.294817999999999</v>
      </c>
      <c r="Q49" s="83">
        <v>78.253842000000006</v>
      </c>
      <c r="R49" s="83">
        <v>59.270555000000002</v>
      </c>
      <c r="S49" s="83">
        <v>73.242458999999997</v>
      </c>
      <c r="T49" s="83">
        <v>59.302464000000001</v>
      </c>
      <c r="U49" s="83">
        <v>16.353604000000001</v>
      </c>
      <c r="V49" s="83">
        <v>178.08554899999999</v>
      </c>
      <c r="W49" s="83">
        <v>35.934798999999998</v>
      </c>
      <c r="X49" s="83">
        <v>115.94913099999999</v>
      </c>
      <c r="Y49" s="83">
        <v>84.017514000000006</v>
      </c>
      <c r="Z49" s="83">
        <v>107.645284</v>
      </c>
      <c r="AA49" s="83">
        <v>85.919246999999999</v>
      </c>
      <c r="AB49" s="83">
        <v>23.039000999999999</v>
      </c>
      <c r="AC49" s="83">
        <v>208.09619499999999</v>
      </c>
      <c r="AD49" s="83">
        <v>43.718277</v>
      </c>
      <c r="AE49" s="83">
        <v>115.72647499999999</v>
      </c>
      <c r="AF49" s="83">
        <v>82.943377999999996</v>
      </c>
      <c r="AG49" s="83">
        <v>113.046924</v>
      </c>
      <c r="AH49" s="83">
        <v>86.138050000000007</v>
      </c>
      <c r="AI49" s="83">
        <v>24.130457</v>
      </c>
      <c r="AJ49" s="83">
        <v>160.584677</v>
      </c>
      <c r="AK49" s="83">
        <v>33.501632000000001</v>
      </c>
      <c r="AL49" s="83">
        <v>97.901371999999995</v>
      </c>
      <c r="AM49" s="83">
        <v>69.513289999999998</v>
      </c>
      <c r="AN49" s="83">
        <v>95.499092000000005</v>
      </c>
      <c r="AO49" s="83">
        <v>72.483776000000006</v>
      </c>
      <c r="AP49" s="83">
        <v>20.155553999999999</v>
      </c>
      <c r="AQ49" s="83">
        <v>142.04899399999999</v>
      </c>
      <c r="AR49" s="83">
        <v>29.256022999999999</v>
      </c>
      <c r="AS49" s="83">
        <v>95.637563999999998</v>
      </c>
      <c r="AT49" s="83">
        <v>67.528943999999996</v>
      </c>
      <c r="AU49" s="83">
        <v>93.212839000000002</v>
      </c>
      <c r="AV49" s="83">
        <v>70.585023000000007</v>
      </c>
      <c r="AW49" s="83">
        <v>19.540769999999998</v>
      </c>
      <c r="AX49" s="83">
        <v>164.512281</v>
      </c>
      <c r="AY49" s="83">
        <v>34.293387000000003</v>
      </c>
      <c r="AZ49" s="83">
        <v>90.436941000000004</v>
      </c>
      <c r="BA49" s="83">
        <v>63.802663000000003</v>
      </c>
      <c r="BB49" s="83">
        <v>88.132848999999993</v>
      </c>
      <c r="BC49" s="83">
        <v>66.714808000000005</v>
      </c>
      <c r="BD49" s="83">
        <v>18.456821999999999</v>
      </c>
      <c r="BE49" s="83">
        <v>162.50294600000001</v>
      </c>
      <c r="BF49" s="83">
        <v>34.018137000000003</v>
      </c>
      <c r="BG49" s="83">
        <v>99.157759999999996</v>
      </c>
      <c r="BH49" s="83">
        <v>70.625337000000002</v>
      </c>
      <c r="BI49" s="83">
        <v>96.770296999999999</v>
      </c>
      <c r="BJ49" s="83">
        <v>73.543998999999999</v>
      </c>
      <c r="BK49" s="83">
        <v>20.500982</v>
      </c>
      <c r="BL49" s="83">
        <v>197.42677699999999</v>
      </c>
      <c r="BM49" s="83">
        <v>41.636772000000001</v>
      </c>
      <c r="BN49" s="83">
        <v>129.64518699999999</v>
      </c>
      <c r="BO49" s="83">
        <v>93.228086000000005</v>
      </c>
      <c r="BP49" s="83">
        <v>126.707289</v>
      </c>
      <c r="BQ49" s="83">
        <v>96.680459999999997</v>
      </c>
      <c r="BR49" s="83">
        <v>27.154492999999999</v>
      </c>
      <c r="BS49" s="83">
        <v>165.90651399999999</v>
      </c>
      <c r="BT49" s="83">
        <v>34.38758</v>
      </c>
      <c r="BU49" s="83">
        <v>94.190996999999996</v>
      </c>
      <c r="BV49" s="83">
        <v>66.207061999999993</v>
      </c>
      <c r="BW49" s="83">
        <v>91.740776999999994</v>
      </c>
      <c r="BX49" s="83">
        <v>69.339995000000002</v>
      </c>
      <c r="BY49" s="83">
        <v>19.126742</v>
      </c>
      <c r="BZ49" s="83">
        <v>130.77141499999999</v>
      </c>
      <c r="CA49" s="83">
        <v>27.031253</v>
      </c>
      <c r="CB49" s="83">
        <v>79.538495999999995</v>
      </c>
      <c r="CC49" s="83">
        <v>56.000610000000002</v>
      </c>
      <c r="CD49" s="83">
        <v>77.488744999999994</v>
      </c>
      <c r="CE49" s="83">
        <v>58.608238</v>
      </c>
      <c r="CF49" s="83">
        <v>16.18797</v>
      </c>
      <c r="CG49" s="83">
        <v>162.09972200000001</v>
      </c>
      <c r="CH49" s="83">
        <v>33.701743999999998</v>
      </c>
      <c r="CI49" s="83">
        <v>98.738527000000005</v>
      </c>
      <c r="CJ49" s="83">
        <v>69.888187000000002</v>
      </c>
      <c r="CK49" s="83">
        <v>96.270250000000004</v>
      </c>
      <c r="CL49" s="83">
        <v>72.973838999999998</v>
      </c>
      <c r="CM49" s="83">
        <v>20.241264000000001</v>
      </c>
      <c r="CN49" s="83">
        <v>136.93996300000001</v>
      </c>
      <c r="CO49" s="83">
        <v>28.200056</v>
      </c>
      <c r="CP49" s="83">
        <v>83.210997000000006</v>
      </c>
      <c r="CQ49" s="83">
        <v>58.384743999999998</v>
      </c>
      <c r="CR49" s="83">
        <v>81.024887000000007</v>
      </c>
      <c r="CS49" s="83">
        <v>61.195273</v>
      </c>
      <c r="CT49" s="83">
        <v>16.855899000000001</v>
      </c>
      <c r="CU49" s="83">
        <v>161.34641300000001</v>
      </c>
      <c r="CV49" s="83">
        <v>33.497149999999998</v>
      </c>
      <c r="CW49" s="83">
        <v>98.243784000000005</v>
      </c>
      <c r="CX49" s="83">
        <v>69.447177999999994</v>
      </c>
      <c r="CY49" s="83">
        <v>95.769109999999998</v>
      </c>
      <c r="CZ49" s="83">
        <v>72.554596000000004</v>
      </c>
      <c r="DA49" s="83">
        <v>20.104089999999999</v>
      </c>
      <c r="DB49" s="83">
        <v>177.55033599999999</v>
      </c>
      <c r="DC49" s="83">
        <v>37.156477000000002</v>
      </c>
      <c r="DD49" s="83">
        <v>116.613739</v>
      </c>
      <c r="DE49" s="83">
        <v>83.319816000000003</v>
      </c>
      <c r="DF49" s="83">
        <v>113.86002999999999</v>
      </c>
      <c r="DG49" s="83">
        <v>86.645174999999995</v>
      </c>
      <c r="DH49" s="83">
        <v>24.213107999999998</v>
      </c>
      <c r="DI49" s="83">
        <v>176.527691</v>
      </c>
      <c r="DJ49" s="83">
        <v>36.876556999999998</v>
      </c>
      <c r="DK49" s="83">
        <v>101.349695</v>
      </c>
      <c r="DL49" s="83">
        <v>71.134929</v>
      </c>
      <c r="DM49" s="83">
        <v>98.691672999999994</v>
      </c>
      <c r="DN49" s="83">
        <v>74.548506000000003</v>
      </c>
      <c r="DO49" s="83">
        <v>20.539323</v>
      </c>
      <c r="DP49" s="83">
        <v>148.40032299999999</v>
      </c>
      <c r="DQ49" s="83">
        <v>30.27638</v>
      </c>
      <c r="DR49" s="83">
        <v>88.664535999999998</v>
      </c>
      <c r="DS49" s="83">
        <v>62.311830999999998</v>
      </c>
      <c r="DT49" s="83">
        <v>86.355953999999997</v>
      </c>
      <c r="DU49" s="83">
        <v>65.265263000000004</v>
      </c>
      <c r="DV49" s="83">
        <v>18.000268999999999</v>
      </c>
      <c r="DW49" s="83">
        <v>144.557738</v>
      </c>
      <c r="DX49" s="83">
        <v>29.968688</v>
      </c>
      <c r="DY49" s="83">
        <v>87.989293000000004</v>
      </c>
      <c r="DZ49" s="83">
        <v>62.117095999999997</v>
      </c>
      <c r="EA49" s="83">
        <v>85.756158999999997</v>
      </c>
      <c r="EB49" s="83">
        <v>64.933482999999995</v>
      </c>
      <c r="EC49" s="83">
        <v>17.973545000000001</v>
      </c>
      <c r="ED49" s="83">
        <v>154.52254600000001</v>
      </c>
      <c r="EE49" s="83">
        <v>32.151119000000001</v>
      </c>
      <c r="EF49" s="83">
        <v>94.141473000000005</v>
      </c>
      <c r="EG49" s="83">
        <v>66.681209999999993</v>
      </c>
      <c r="EH49" s="83">
        <v>91.797848999999999</v>
      </c>
      <c r="EI49" s="83">
        <v>69.604140999999998</v>
      </c>
      <c r="EJ49" s="83">
        <v>19.317418</v>
      </c>
      <c r="EK49" s="83">
        <v>165.44656699999999</v>
      </c>
      <c r="EL49" s="83">
        <v>34.465352000000003</v>
      </c>
      <c r="EM49" s="83">
        <v>113.96296100000001</v>
      </c>
      <c r="EN49" s="83">
        <v>81.300292999999996</v>
      </c>
      <c r="EO49" s="83">
        <v>111.245756</v>
      </c>
      <c r="EP49" s="83">
        <v>84.601393999999999</v>
      </c>
      <c r="EQ49" s="83">
        <v>23.613192000000002</v>
      </c>
      <c r="ER49" s="83">
        <v>189.18892700000001</v>
      </c>
      <c r="ES49" s="83">
        <v>39.837311999999997</v>
      </c>
      <c r="ET49" s="83">
        <v>102.218914</v>
      </c>
      <c r="EU49" s="83">
        <v>72.787609000000003</v>
      </c>
      <c r="EV49" s="83">
        <v>99.753883999999999</v>
      </c>
      <c r="EW49" s="83">
        <v>75.803645000000003</v>
      </c>
      <c r="EX49" s="83">
        <v>21.126757000000001</v>
      </c>
      <c r="EY49" s="83">
        <v>155.24933100000001</v>
      </c>
      <c r="EZ49" s="83">
        <v>32.393543000000001</v>
      </c>
      <c r="FA49" s="83">
        <v>112.411503</v>
      </c>
      <c r="FB49" s="83">
        <v>80.472233000000003</v>
      </c>
      <c r="FC49" s="83">
        <v>109.789055</v>
      </c>
      <c r="FD49" s="83">
        <v>83.614350999999999</v>
      </c>
      <c r="FE49" s="83">
        <v>23.401668999999998</v>
      </c>
      <c r="FF49" s="83">
        <v>207.39195900000001</v>
      </c>
      <c r="FG49" s="83">
        <v>43.829154000000003</v>
      </c>
      <c r="FH49" s="83">
        <v>108.230649</v>
      </c>
      <c r="FI49" s="83">
        <v>76.419804999999997</v>
      </c>
      <c r="FJ49" s="83">
        <v>105.486429</v>
      </c>
      <c r="FK49" s="83">
        <v>79.878771999999998</v>
      </c>
      <c r="FL49" s="83">
        <v>22.113436</v>
      </c>
      <c r="FM49" s="83">
        <v>208.611863</v>
      </c>
      <c r="FN49" s="83">
        <v>43.464429000000003</v>
      </c>
      <c r="FO49" s="83">
        <v>141.47445099999999</v>
      </c>
      <c r="FP49" s="83">
        <v>101.748356</v>
      </c>
      <c r="FQ49" s="83">
        <v>138.271321</v>
      </c>
      <c r="FR49" s="83">
        <v>105.51006</v>
      </c>
      <c r="FS49" s="83">
        <v>29.637616999999999</v>
      </c>
      <c r="FT49" s="83">
        <v>215.797361</v>
      </c>
      <c r="FU49" s="83">
        <v>45.692363</v>
      </c>
      <c r="FV49" s="83">
        <v>117.135211</v>
      </c>
      <c r="FW49" s="83">
        <v>83.897869999999998</v>
      </c>
      <c r="FX49" s="83">
        <v>114.41152200000001</v>
      </c>
      <c r="FY49" s="83">
        <v>87.153913000000003</v>
      </c>
      <c r="FZ49" s="83">
        <v>24.402445</v>
      </c>
      <c r="GA49" s="83">
        <v>177.275237</v>
      </c>
      <c r="GB49" s="83">
        <v>37.124648000000001</v>
      </c>
      <c r="GC49" s="83">
        <v>108.18232</v>
      </c>
      <c r="GD49" s="83">
        <v>77.079913000000005</v>
      </c>
      <c r="GE49" s="83">
        <v>105.583127</v>
      </c>
      <c r="GF49" s="83">
        <v>80.253213000000002</v>
      </c>
      <c r="GG49" s="83">
        <v>22.377407000000002</v>
      </c>
      <c r="GH49" s="83">
        <v>189.10503</v>
      </c>
      <c r="GI49" s="83">
        <v>39.783034999999998</v>
      </c>
      <c r="GJ49" s="83">
        <v>144.92286999999999</v>
      </c>
      <c r="GK49" s="83">
        <v>104.597472</v>
      </c>
      <c r="GL49" s="83">
        <v>141.71806599999999</v>
      </c>
      <c r="GM49" s="83">
        <v>108.29985000000001</v>
      </c>
      <c r="GN49" s="83">
        <v>30.505559999999999</v>
      </c>
      <c r="GO49" s="83">
        <v>192.73611099999999</v>
      </c>
      <c r="GP49" s="83">
        <v>40.633648000000001</v>
      </c>
      <c r="GQ49" s="83">
        <v>94.157461999999995</v>
      </c>
      <c r="GR49" s="83">
        <v>66.796530000000004</v>
      </c>
      <c r="GS49" s="83">
        <v>91.834979000000004</v>
      </c>
      <c r="GT49" s="83">
        <v>69.677310000000006</v>
      </c>
      <c r="GU49" s="83">
        <v>19.361692999999999</v>
      </c>
      <c r="GV49" s="83">
        <v>189.04726099999999</v>
      </c>
      <c r="GW49" s="83">
        <v>39.557637</v>
      </c>
      <c r="GX49" s="83">
        <v>127.151478</v>
      </c>
      <c r="GY49" s="83">
        <v>90.935323999999994</v>
      </c>
      <c r="GZ49" s="83">
        <v>124.166718</v>
      </c>
      <c r="HA49" s="83">
        <v>94.525783000000004</v>
      </c>
      <c r="HB49" s="83">
        <v>26.435129</v>
      </c>
      <c r="HC49" s="83">
        <v>165.59506400000001</v>
      </c>
      <c r="HD49" s="83">
        <v>34.559193</v>
      </c>
      <c r="HE49" s="83">
        <v>91.679021000000006</v>
      </c>
      <c r="HF49" s="83">
        <v>64.780304000000001</v>
      </c>
      <c r="HG49" s="83">
        <v>89.364256999999995</v>
      </c>
      <c r="HH49" s="83">
        <v>67.690858000000006</v>
      </c>
      <c r="HI49" s="83">
        <v>18.750287</v>
      </c>
      <c r="HJ49" s="83">
        <v>164.28680600000001</v>
      </c>
      <c r="HK49" s="83">
        <v>35.043117000000002</v>
      </c>
      <c r="HL49" s="83">
        <v>110.630157</v>
      </c>
      <c r="HM49" s="83">
        <v>80.008405999999994</v>
      </c>
      <c r="HN49" s="83">
        <v>108.217124</v>
      </c>
      <c r="HO49" s="83">
        <v>82.768563</v>
      </c>
      <c r="HP49" s="83">
        <v>23.350819999999999</v>
      </c>
      <c r="HQ49" s="83">
        <v>139.35194000000001</v>
      </c>
      <c r="HR49" s="83">
        <v>29.024563000000001</v>
      </c>
      <c r="HS49" s="83">
        <v>77.206472000000005</v>
      </c>
      <c r="HT49" s="83">
        <v>54.892263999999997</v>
      </c>
      <c r="HU49" s="83">
        <v>75.327115000000006</v>
      </c>
      <c r="HV49" s="83">
        <v>57.204906000000001</v>
      </c>
      <c r="HW49" s="83">
        <v>15.923759</v>
      </c>
      <c r="HX49" s="83">
        <v>282.27495699999997</v>
      </c>
      <c r="HY49" s="83">
        <v>58.295188000000003</v>
      </c>
      <c r="HZ49" s="83">
        <v>171.64751100000001</v>
      </c>
      <c r="IA49" s="83">
        <v>120.751863</v>
      </c>
      <c r="IB49" s="83">
        <v>167.203148</v>
      </c>
      <c r="IC49" s="83">
        <v>126.419828</v>
      </c>
      <c r="ID49" s="83">
        <v>34.894869</v>
      </c>
      <c r="IE49" s="83">
        <v>203.71253899999999</v>
      </c>
      <c r="IF49" s="83">
        <v>39.879728</v>
      </c>
      <c r="IG49" s="83">
        <v>122.23932499999999</v>
      </c>
      <c r="IH49" s="83">
        <v>81.837573000000006</v>
      </c>
      <c r="II49" s="83">
        <v>118.214117</v>
      </c>
      <c r="IJ49" s="83">
        <v>87.575344000000001</v>
      </c>
      <c r="IK49" s="83">
        <v>23.211141999999999</v>
      </c>
      <c r="IL49" s="83">
        <v>229.821822</v>
      </c>
      <c r="IM49" s="83">
        <v>46.417592999999997</v>
      </c>
      <c r="IN49" s="83">
        <v>152.202855</v>
      </c>
      <c r="IO49" s="83">
        <v>104.01415299999999</v>
      </c>
      <c r="IP49" s="83">
        <v>147.62895499999999</v>
      </c>
      <c r="IQ49" s="83">
        <v>110.29205</v>
      </c>
      <c r="IR49" s="83">
        <v>29.735446</v>
      </c>
      <c r="IS49" s="83">
        <v>220.07058699999999</v>
      </c>
      <c r="IT49" s="83">
        <v>44.442819999999998</v>
      </c>
      <c r="IU49" s="83">
        <v>121.63912999999999</v>
      </c>
      <c r="IV49" s="83">
        <v>84.478678000000002</v>
      </c>
      <c r="IW49" s="83">
        <v>118.26341600000001</v>
      </c>
      <c r="IX49" s="83">
        <v>88.942705000000004</v>
      </c>
      <c r="IY49" s="83">
        <v>24.297395000000002</v>
      </c>
      <c r="IZ49" s="83">
        <v>212.654439</v>
      </c>
      <c r="JA49" s="83">
        <v>43.913336000000001</v>
      </c>
      <c r="JB49" s="83">
        <v>129.30933099999999</v>
      </c>
      <c r="JC49" s="83">
        <v>90.960170000000005</v>
      </c>
      <c r="JD49" s="83">
        <v>125.959695</v>
      </c>
      <c r="JE49" s="83">
        <v>95.233078000000006</v>
      </c>
      <c r="JF49" s="83">
        <v>26.284887999999999</v>
      </c>
      <c r="JG49" s="83">
        <v>175.82591199999999</v>
      </c>
      <c r="JH49" s="83">
        <v>35.909407999999999</v>
      </c>
      <c r="JI49" s="83">
        <v>106.617206</v>
      </c>
      <c r="JJ49" s="83">
        <v>74.241228000000007</v>
      </c>
      <c r="JK49" s="83">
        <v>103.698803</v>
      </c>
      <c r="JL49" s="83">
        <v>78.073995999999994</v>
      </c>
      <c r="JM49" s="83">
        <v>21.373795000000001</v>
      </c>
      <c r="JN49" s="83">
        <v>115.02472899999999</v>
      </c>
      <c r="JO49" s="83">
        <v>28.568548</v>
      </c>
      <c r="JP49" s="83">
        <v>78.228845000000007</v>
      </c>
      <c r="JQ49" s="83">
        <v>54.617319999999999</v>
      </c>
      <c r="JR49" s="83">
        <v>72.110868999999994</v>
      </c>
      <c r="JS49" s="83">
        <v>116.699127</v>
      </c>
      <c r="JT49" s="83">
        <v>114.432894</v>
      </c>
      <c r="JU49" s="83">
        <v>81.228059000000002</v>
      </c>
      <c r="JV49" s="83">
        <v>82.397138999999996</v>
      </c>
      <c r="JW49" s="83">
        <v>93.394412000000003</v>
      </c>
      <c r="JX49" s="83">
        <v>93.607163</v>
      </c>
      <c r="JY49" s="83">
        <v>92.118030000000005</v>
      </c>
      <c r="JZ49" s="83">
        <v>94.489327000000003</v>
      </c>
      <c r="KA49" s="83">
        <v>92.746416999999994</v>
      </c>
      <c r="KB49" s="83">
        <v>100.623282</v>
      </c>
      <c r="KC49" s="83">
        <v>101.683813</v>
      </c>
      <c r="KD49" s="83">
        <v>87.696254999999994</v>
      </c>
      <c r="KE49" s="83">
        <v>87.889241999999996</v>
      </c>
      <c r="KF49" s="83">
        <v>86.538371999999995</v>
      </c>
      <c r="KG49" s="83">
        <v>88.689509999999999</v>
      </c>
      <c r="KH49" s="83">
        <v>87.108433000000005</v>
      </c>
      <c r="KI49" s="83">
        <v>73.565573999999998</v>
      </c>
      <c r="KJ49" s="83">
        <v>74.652252000000004</v>
      </c>
      <c r="KK49" s="83">
        <v>84.633900999999994</v>
      </c>
      <c r="KL49" s="83">
        <v>84.831647000000004</v>
      </c>
      <c r="KM49" s="83">
        <v>83.447458999999995</v>
      </c>
      <c r="KN49" s="83">
        <v>85.651652999999996</v>
      </c>
      <c r="KO49" s="83">
        <v>84.031600999999995</v>
      </c>
      <c r="KP49" s="83">
        <v>91.561605999999998</v>
      </c>
      <c r="KQ49" s="83">
        <v>92.790595999999994</v>
      </c>
      <c r="KR49" s="83">
        <v>80.003197999999998</v>
      </c>
      <c r="KS49" s="83">
        <v>80.226832999999999</v>
      </c>
      <c r="KT49" s="83">
        <v>78.661394000000001</v>
      </c>
      <c r="KU49" s="83">
        <v>81.154234000000002</v>
      </c>
      <c r="KV49" s="83">
        <v>79.322021000000007</v>
      </c>
      <c r="KW49" s="83">
        <v>84.104443000000003</v>
      </c>
      <c r="KX49" s="83">
        <v>85.211000999999996</v>
      </c>
      <c r="KY49" s="83">
        <v>84.286913999999996</v>
      </c>
      <c r="KZ49" s="83">
        <v>84.488286000000002</v>
      </c>
      <c r="LA49" s="83">
        <v>83.078813999999994</v>
      </c>
      <c r="LB49" s="83">
        <v>85.323266000000004</v>
      </c>
      <c r="LC49" s="83">
        <v>83.673612000000006</v>
      </c>
      <c r="LD49" s="83">
        <v>84.393056000000001</v>
      </c>
      <c r="LE49" s="83">
        <v>85.501351999999997</v>
      </c>
      <c r="LF49" s="83">
        <v>93.029512999999994</v>
      </c>
      <c r="LG49" s="83">
        <v>93.231185999999994</v>
      </c>
      <c r="LH49" s="83">
        <v>91.819488000000007</v>
      </c>
      <c r="LI49" s="83">
        <v>94.067479000000006</v>
      </c>
      <c r="LJ49" s="83">
        <v>92.415194999999997</v>
      </c>
      <c r="LK49" s="83">
        <v>94.350078999999994</v>
      </c>
      <c r="LL49" s="83">
        <v>95.493718999999999</v>
      </c>
      <c r="LM49" s="83">
        <v>85.958782999999997</v>
      </c>
      <c r="LN49" s="83">
        <v>86.166905</v>
      </c>
      <c r="LO49" s="83">
        <v>84.710133999999996</v>
      </c>
      <c r="LP49" s="83">
        <v>87.029870000000003</v>
      </c>
      <c r="LQ49" s="83">
        <v>85.3249</v>
      </c>
      <c r="LR49" s="83">
        <v>69.137608</v>
      </c>
      <c r="LS49" s="83">
        <v>70.342382000000001</v>
      </c>
      <c r="LT49" s="83">
        <v>69.336309</v>
      </c>
      <c r="LU49" s="83">
        <v>69.555548000000002</v>
      </c>
      <c r="LV49" s="83">
        <v>68.020943000000003</v>
      </c>
      <c r="LW49" s="83">
        <v>70.464669999999998</v>
      </c>
      <c r="LX49" s="83">
        <v>68.668574000000007</v>
      </c>
      <c r="LY49" s="83">
        <v>85.237803999999997</v>
      </c>
      <c r="LZ49" s="83">
        <v>86.440595000000002</v>
      </c>
      <c r="MA49" s="83">
        <v>99.398511999999997</v>
      </c>
      <c r="MB49" s="83">
        <v>99.617369999999994</v>
      </c>
      <c r="MC49" s="83">
        <v>98.085303999999994</v>
      </c>
      <c r="MD49" s="83">
        <v>100.525038</v>
      </c>
      <c r="ME49" s="83">
        <v>98.731829000000005</v>
      </c>
      <c r="MF49" s="83">
        <v>102.18842100000001</v>
      </c>
      <c r="MG49" s="83">
        <v>103.337986</v>
      </c>
      <c r="MH49" s="83">
        <v>87.910263999999998</v>
      </c>
      <c r="MI49" s="83">
        <v>88.119435999999993</v>
      </c>
      <c r="MJ49" s="83">
        <v>86.655197000000001</v>
      </c>
      <c r="MK49" s="83">
        <v>88.986887999999993</v>
      </c>
      <c r="ML49" s="83">
        <v>87.273116000000002</v>
      </c>
      <c r="MM49" s="83">
        <v>91.444479999999999</v>
      </c>
      <c r="MN49" s="83">
        <v>92.66046</v>
      </c>
      <c r="MO49" s="83">
        <v>91.645008000000004</v>
      </c>
      <c r="MP49" s="83">
        <v>91.866274000000004</v>
      </c>
      <c r="MQ49" s="83">
        <v>90.317390000000003</v>
      </c>
      <c r="MR49" s="83">
        <v>92.783867999999998</v>
      </c>
      <c r="MS49" s="83">
        <v>90.971008999999995</v>
      </c>
      <c r="MT49" s="83">
        <v>86.705578000000003</v>
      </c>
      <c r="MU49" s="83">
        <v>87.906656999999996</v>
      </c>
      <c r="MV49" s="83">
        <v>101.850162</v>
      </c>
      <c r="MW49" s="83">
        <v>102.068701</v>
      </c>
      <c r="MX49" s="83">
        <v>100.53878</v>
      </c>
      <c r="MY49" s="83">
        <v>102.975061</v>
      </c>
      <c r="MZ49" s="83">
        <v>101.18440699999999</v>
      </c>
      <c r="NA49" s="83">
        <v>101.69408900000001</v>
      </c>
      <c r="NB49" s="83">
        <v>102.404999</v>
      </c>
      <c r="NC49" s="83">
        <v>86.373920999999996</v>
      </c>
      <c r="ND49" s="83">
        <v>86.503285000000005</v>
      </c>
      <c r="NE49" s="83">
        <v>85.597740000000002</v>
      </c>
      <c r="NF49" s="83">
        <v>87.039707000000007</v>
      </c>
      <c r="NG49" s="83">
        <v>85.979849000000002</v>
      </c>
      <c r="NH49" s="83">
        <v>85.254002999999997</v>
      </c>
      <c r="NI49" s="83">
        <v>85.945283000000003</v>
      </c>
      <c r="NJ49" s="83">
        <v>85.367981999999998</v>
      </c>
      <c r="NK49" s="83">
        <v>85.493793999999994</v>
      </c>
      <c r="NL49" s="83">
        <v>84.613201000000004</v>
      </c>
      <c r="NM49" s="83">
        <v>86.015426000000005</v>
      </c>
      <c r="NN49" s="83">
        <v>84.984791000000001</v>
      </c>
      <c r="NO49" s="83">
        <v>70.640874999999994</v>
      </c>
      <c r="NP49" s="83">
        <v>71.304105000000007</v>
      </c>
      <c r="NQ49" s="83">
        <v>78.996694000000005</v>
      </c>
      <c r="NR49" s="83">
        <v>79.117390999999998</v>
      </c>
      <c r="NS49" s="83">
        <v>78.272577999999996</v>
      </c>
      <c r="NT49" s="83">
        <v>79.617851999999999</v>
      </c>
      <c r="NU49" s="83">
        <v>78.629050000000007</v>
      </c>
      <c r="NV49" s="83">
        <v>97.060278999999994</v>
      </c>
      <c r="NW49" s="83">
        <v>97.725887999999998</v>
      </c>
      <c r="NX49" s="83">
        <v>86.920609999999996</v>
      </c>
      <c r="NY49" s="83">
        <v>87.041708999999997</v>
      </c>
      <c r="NZ49" s="83">
        <v>86.193833999999995</v>
      </c>
      <c r="OA49" s="83">
        <v>87.543949999999995</v>
      </c>
      <c r="OB49" s="83">
        <v>86.551625999999999</v>
      </c>
      <c r="OC49" s="83">
        <v>93.057165999999995</v>
      </c>
      <c r="OD49" s="83">
        <v>93.744691000000003</v>
      </c>
      <c r="OE49" s="83">
        <v>93.170523000000003</v>
      </c>
      <c r="OF49" s="83">
        <v>93.295638999999994</v>
      </c>
      <c r="OG49" s="83">
        <v>92.419859000000002</v>
      </c>
      <c r="OH49" s="83">
        <v>93.814420999999996</v>
      </c>
      <c r="OI49" s="83">
        <v>92.789415000000005</v>
      </c>
      <c r="OJ49" s="83">
        <v>78.547651999999999</v>
      </c>
      <c r="OK49" s="83">
        <v>79.260096000000004</v>
      </c>
      <c r="OL49" s="83">
        <v>87.718667999999994</v>
      </c>
      <c r="OM49" s="83">
        <v>87.848296000000005</v>
      </c>
      <c r="ON49" s="83">
        <v>86.940810999999997</v>
      </c>
      <c r="OO49" s="83">
        <v>88.385857999999999</v>
      </c>
      <c r="OP49" s="83">
        <v>87.323745000000002</v>
      </c>
      <c r="OQ49" s="83">
        <v>76.911742000000004</v>
      </c>
      <c r="OR49" s="83">
        <v>77.682957000000002</v>
      </c>
      <c r="OS49" s="83">
        <v>69.188850000000002</v>
      </c>
      <c r="OT49" s="83">
        <v>69.329193000000004</v>
      </c>
      <c r="OU49" s="83">
        <v>68.346755000000002</v>
      </c>
      <c r="OV49" s="83">
        <v>69.91122</v>
      </c>
      <c r="OW49" s="83">
        <v>68.761347000000001</v>
      </c>
      <c r="OX49" s="83">
        <v>72.448307999999997</v>
      </c>
      <c r="OY49" s="83">
        <v>73.188475999999994</v>
      </c>
      <c r="OZ49" s="83">
        <v>72.570364999999995</v>
      </c>
      <c r="PA49" s="83">
        <v>72.705061999999998</v>
      </c>
      <c r="PB49" s="83">
        <v>71.762249999999995</v>
      </c>
      <c r="PC49" s="83">
        <v>73.263581000000002</v>
      </c>
      <c r="PD49" s="83">
        <v>72.160107999999994</v>
      </c>
      <c r="PE49" s="83">
        <v>79.614913000000001</v>
      </c>
      <c r="PF49" s="83">
        <v>80.292542999999995</v>
      </c>
      <c r="PG49" s="83">
        <v>92.008422999999993</v>
      </c>
      <c r="PH49" s="83">
        <v>92.131719000000004</v>
      </c>
      <c r="PI49" s="83">
        <v>91.268562000000003</v>
      </c>
      <c r="PJ49" s="83">
        <v>92.643043000000006</v>
      </c>
      <c r="PK49" s="83">
        <v>91.632805000000005</v>
      </c>
      <c r="PL49" s="83">
        <v>112.159352</v>
      </c>
      <c r="PM49" s="83">
        <v>112.86788199999999</v>
      </c>
      <c r="PN49" s="83">
        <v>97.183023000000006</v>
      </c>
      <c r="PO49" s="83">
        <v>97.311943999999997</v>
      </c>
      <c r="PP49" s="83">
        <v>96.409389000000004</v>
      </c>
      <c r="PQ49" s="83">
        <v>97.846581999999998</v>
      </c>
      <c r="PR49" s="83">
        <v>96.790254000000004</v>
      </c>
      <c r="PS49" s="83">
        <v>75.389968999999994</v>
      </c>
      <c r="PT49" s="83">
        <v>76.209622999999993</v>
      </c>
      <c r="PU49" s="83">
        <v>75.525132999999997</v>
      </c>
      <c r="PV49" s="83">
        <v>75.674304000000006</v>
      </c>
      <c r="PW49" s="83">
        <v>74.630245000000002</v>
      </c>
      <c r="PX49" s="83">
        <v>76.292792000000006</v>
      </c>
      <c r="PY49" s="83">
        <v>75.070828000000006</v>
      </c>
      <c r="PZ49" s="83">
        <v>63.687167000000002</v>
      </c>
      <c r="QA49" s="83">
        <v>64.360759999999999</v>
      </c>
      <c r="QB49" s="83">
        <v>63.798242999999999</v>
      </c>
      <c r="QC49" s="83">
        <v>63.920814</v>
      </c>
      <c r="QD49" s="83">
        <v>63.062817000000003</v>
      </c>
      <c r="QE49" s="83">
        <v>64.429114999999996</v>
      </c>
      <c r="QF49" s="83">
        <v>63.424886000000001</v>
      </c>
      <c r="QG49" s="83">
        <v>79.160178000000002</v>
      </c>
      <c r="QH49" s="83">
        <v>79.922554000000005</v>
      </c>
      <c r="QI49" s="83">
        <v>79.285901999999993</v>
      </c>
      <c r="QJ49" s="83">
        <v>79.424612999999994</v>
      </c>
      <c r="QK49" s="83">
        <v>78.453519999999997</v>
      </c>
      <c r="QL49" s="83">
        <v>79.999896000000007</v>
      </c>
      <c r="QM49" s="83">
        <v>78.863309999999998</v>
      </c>
      <c r="QN49" s="83">
        <v>66.573528999999994</v>
      </c>
      <c r="QO49" s="83">
        <v>67.318528000000001</v>
      </c>
      <c r="QP49" s="83">
        <v>66.696371999999997</v>
      </c>
      <c r="QQ49" s="83">
        <v>66.831940000000003</v>
      </c>
      <c r="QR49" s="83">
        <v>65.883016999999995</v>
      </c>
      <c r="QS49" s="83">
        <v>67.394092999999998</v>
      </c>
    </row>
    <row r="50" spans="6:461" x14ac:dyDescent="0.25">
      <c r="F50" s="82" t="str">
        <f xml:space="preserve"> _xll.EPMOlapMemberO("[PRDDESCR].[].[WONDER GFREE WHOLEM 500G]","","WONDER GFREE WHOLEM 500G","","000")</f>
        <v>WONDER GFREE WHOLEM 500G</v>
      </c>
      <c r="G50" s="82" t="str">
        <f xml:space="preserve"> _xll.EPMOlapMemberO("[PRDID].[].[179650]","","179650","","000")</f>
        <v>179650</v>
      </c>
      <c r="H50" s="82" t="str">
        <f xml:space="preserve"> _xll.EPMOlapMemberO("[LOCID].[].[6134]","","6134","","000")</f>
        <v>6134</v>
      </c>
      <c r="I50" s="82" t="str">
        <f xml:space="preserve"> _xll.EPMOlapMemberO("[LOCDESCR].[].[QBA-West Richmond SA]","","QBA-West Richmond SA","","000")</f>
        <v>QBA-West Richmond SA</v>
      </c>
      <c r="J50" s="82" t="str">
        <f xml:space="preserve"> _xll.EPMOlapMemberO("[KEY_FIGURES].[].[ZGFAPPROVEDFCSTQTY]","","Approved Forecast","","000")</f>
        <v>Approved Forecast</v>
      </c>
      <c r="K50" s="83">
        <v>92.323694000000003</v>
      </c>
      <c r="L50" s="83">
        <v>283.81721700000003</v>
      </c>
      <c r="M50" s="83">
        <v>117.34615599999999</v>
      </c>
      <c r="N50" s="83">
        <v>76.865031000000002</v>
      </c>
      <c r="O50" s="83">
        <v>297.548247</v>
      </c>
      <c r="P50" s="83">
        <v>65.857523</v>
      </c>
      <c r="Q50" s="83">
        <v>247.99502000000001</v>
      </c>
      <c r="R50" s="83">
        <v>82.101955000000004</v>
      </c>
      <c r="S50" s="83">
        <v>258.648707</v>
      </c>
      <c r="T50" s="83">
        <v>106.45961</v>
      </c>
      <c r="U50" s="83">
        <v>69.280038000000005</v>
      </c>
      <c r="V50" s="83">
        <v>304.67681199999998</v>
      </c>
      <c r="W50" s="83">
        <v>67.526004</v>
      </c>
      <c r="X50" s="83">
        <v>263.30806799999999</v>
      </c>
      <c r="Y50" s="83">
        <v>86.258482999999998</v>
      </c>
      <c r="Z50" s="83">
        <v>275.52451100000002</v>
      </c>
      <c r="AA50" s="83">
        <v>110.06318</v>
      </c>
      <c r="AB50" s="83">
        <v>75.505922999999996</v>
      </c>
      <c r="AC50" s="83">
        <v>322.018528</v>
      </c>
      <c r="AD50" s="83">
        <v>70.912816000000007</v>
      </c>
      <c r="AE50" s="83">
        <v>266.05456400000003</v>
      </c>
      <c r="AF50" s="83">
        <v>84.495492999999996</v>
      </c>
      <c r="AG50" s="83">
        <v>275.70754699999998</v>
      </c>
      <c r="AH50" s="83">
        <v>107.82571799999999</v>
      </c>
      <c r="AI50" s="83">
        <v>74.080690000000004</v>
      </c>
      <c r="AJ50" s="83">
        <v>315.39874600000002</v>
      </c>
      <c r="AK50" s="83">
        <v>66.447284999999994</v>
      </c>
      <c r="AL50" s="83">
        <v>267.52424400000001</v>
      </c>
      <c r="AM50" s="83">
        <v>84.458243999999993</v>
      </c>
      <c r="AN50" s="83">
        <v>276.35950000000003</v>
      </c>
      <c r="AO50" s="83">
        <v>108.92352099999999</v>
      </c>
      <c r="AP50" s="83">
        <v>73.476680999999999</v>
      </c>
      <c r="AQ50" s="83">
        <v>320.32789100000002</v>
      </c>
      <c r="AR50" s="83">
        <v>67.606509000000003</v>
      </c>
      <c r="AS50" s="83">
        <v>280.58835299999998</v>
      </c>
      <c r="AT50" s="83">
        <v>89.244802000000007</v>
      </c>
      <c r="AU50" s="83">
        <v>290.584338</v>
      </c>
      <c r="AV50" s="83">
        <v>113.907933</v>
      </c>
      <c r="AW50" s="83">
        <v>78.789882000000006</v>
      </c>
      <c r="AX50" s="83">
        <v>319.70087799999999</v>
      </c>
      <c r="AY50" s="83">
        <v>67.728465</v>
      </c>
      <c r="AZ50" s="83">
        <v>262.38726700000001</v>
      </c>
      <c r="BA50" s="83">
        <v>82.805125000000004</v>
      </c>
      <c r="BB50" s="83">
        <v>271.69566500000002</v>
      </c>
      <c r="BC50" s="83">
        <v>106.79226</v>
      </c>
      <c r="BD50" s="83">
        <v>71.599179000000007</v>
      </c>
      <c r="BE50" s="83">
        <v>298.58223400000003</v>
      </c>
      <c r="BF50" s="83">
        <v>61.314506000000002</v>
      </c>
      <c r="BG50" s="83">
        <v>248.36005499999999</v>
      </c>
      <c r="BH50" s="83">
        <v>78.592785000000006</v>
      </c>
      <c r="BI50" s="83">
        <v>259.61132099999998</v>
      </c>
      <c r="BJ50" s="83">
        <v>100.29573600000001</v>
      </c>
      <c r="BK50" s="83">
        <v>66.807060000000007</v>
      </c>
      <c r="BL50" s="83">
        <v>309.16675199999997</v>
      </c>
      <c r="BM50" s="83">
        <v>66.233861000000005</v>
      </c>
      <c r="BN50" s="83">
        <v>271.47209700000002</v>
      </c>
      <c r="BO50" s="83">
        <v>86.022835999999998</v>
      </c>
      <c r="BP50" s="83">
        <v>278.96937700000001</v>
      </c>
      <c r="BQ50" s="83">
        <v>110.889174</v>
      </c>
      <c r="BR50" s="83">
        <v>76.624435000000005</v>
      </c>
      <c r="BS50" s="83">
        <v>358.18529000000001</v>
      </c>
      <c r="BT50" s="83">
        <v>74.940695000000005</v>
      </c>
      <c r="BU50" s="83">
        <v>293.93358599999999</v>
      </c>
      <c r="BV50" s="83">
        <v>93.150525999999999</v>
      </c>
      <c r="BW50" s="83">
        <v>306.58630199999999</v>
      </c>
      <c r="BX50" s="83">
        <v>118.88309099999999</v>
      </c>
      <c r="BY50" s="83">
        <v>79.983350999999999</v>
      </c>
      <c r="BZ50" s="83">
        <v>290.79740199999998</v>
      </c>
      <c r="CA50" s="83">
        <v>59.979554999999998</v>
      </c>
      <c r="CB50" s="83">
        <v>243.70580200000001</v>
      </c>
      <c r="CC50" s="83">
        <v>76.788098000000005</v>
      </c>
      <c r="CD50" s="83">
        <v>253.32646600000001</v>
      </c>
      <c r="CE50" s="83">
        <v>99.048424999999995</v>
      </c>
      <c r="CF50" s="83">
        <v>65.494949000000005</v>
      </c>
      <c r="CG50" s="83">
        <v>341.21399600000001</v>
      </c>
      <c r="CH50" s="83">
        <v>70.872148999999993</v>
      </c>
      <c r="CI50" s="83">
        <v>285.35044699999997</v>
      </c>
      <c r="CJ50" s="83">
        <v>90.479990999999998</v>
      </c>
      <c r="CK50" s="83">
        <v>297.77844299999998</v>
      </c>
      <c r="CL50" s="83">
        <v>115.488196</v>
      </c>
      <c r="CM50" s="83">
        <v>77.784756999999999</v>
      </c>
      <c r="CN50" s="83">
        <v>320.59988099999998</v>
      </c>
      <c r="CO50" s="83">
        <v>67.39967</v>
      </c>
      <c r="CP50" s="83">
        <v>271.29064799999998</v>
      </c>
      <c r="CQ50" s="83">
        <v>85.720158999999995</v>
      </c>
      <c r="CR50" s="83">
        <v>280.89404200000001</v>
      </c>
      <c r="CS50" s="83">
        <v>110.530359</v>
      </c>
      <c r="CT50" s="83">
        <v>74.465767</v>
      </c>
      <c r="CU50" s="83">
        <v>308.839923</v>
      </c>
      <c r="CV50" s="83">
        <v>64.936919000000003</v>
      </c>
      <c r="CW50" s="83">
        <v>259.98433299999999</v>
      </c>
      <c r="CX50" s="83">
        <v>82.556487000000004</v>
      </c>
      <c r="CY50" s="83">
        <v>270.48807099999999</v>
      </c>
      <c r="CZ50" s="83">
        <v>105.377047</v>
      </c>
      <c r="DA50" s="83">
        <v>71.797250000000005</v>
      </c>
      <c r="DB50" s="83">
        <v>294.88046300000002</v>
      </c>
      <c r="DC50" s="83">
        <v>61.603127999999998</v>
      </c>
      <c r="DD50" s="83">
        <v>254.90199999999999</v>
      </c>
      <c r="DE50" s="83">
        <v>80.632154</v>
      </c>
      <c r="DF50" s="83">
        <v>264.08815299999998</v>
      </c>
      <c r="DG50" s="83">
        <v>103.949697</v>
      </c>
      <c r="DH50" s="83">
        <v>70.246527999999998</v>
      </c>
      <c r="DI50" s="83">
        <v>313.63903499999998</v>
      </c>
      <c r="DJ50" s="83">
        <v>65.738190000000003</v>
      </c>
      <c r="DK50" s="83">
        <v>271.93612899999999</v>
      </c>
      <c r="DL50" s="83">
        <v>86.114671000000001</v>
      </c>
      <c r="DM50" s="83">
        <v>287.07223599999998</v>
      </c>
      <c r="DN50" s="83">
        <v>109.980301</v>
      </c>
      <c r="DO50" s="83">
        <v>71.974714000000006</v>
      </c>
      <c r="DP50" s="83">
        <v>318.07332000000002</v>
      </c>
      <c r="DQ50" s="83">
        <v>64.797134</v>
      </c>
      <c r="DR50" s="83">
        <v>250.05227500000001</v>
      </c>
      <c r="DS50" s="83">
        <v>78.978847999999999</v>
      </c>
      <c r="DT50" s="83">
        <v>258.90275200000002</v>
      </c>
      <c r="DU50" s="83">
        <v>101.84402300000001</v>
      </c>
      <c r="DV50" s="83">
        <v>68.512435999999994</v>
      </c>
      <c r="DW50" s="83">
        <v>287.64365099999998</v>
      </c>
      <c r="DX50" s="83">
        <v>60.415669999999999</v>
      </c>
      <c r="DY50" s="83">
        <v>242.165449</v>
      </c>
      <c r="DZ50" s="83">
        <v>76.842197999999996</v>
      </c>
      <c r="EA50" s="83">
        <v>251.75146899999999</v>
      </c>
      <c r="EB50" s="83">
        <v>98.066982999999993</v>
      </c>
      <c r="EC50" s="83">
        <v>66.738808000000006</v>
      </c>
      <c r="ED50" s="83">
        <v>302.96359000000001</v>
      </c>
      <c r="EE50" s="83">
        <v>63.728628</v>
      </c>
      <c r="EF50" s="83">
        <v>256.44725799999998</v>
      </c>
      <c r="EG50" s="83">
        <v>81.035377999999994</v>
      </c>
      <c r="EH50" s="83">
        <v>265.485434</v>
      </c>
      <c r="EI50" s="83">
        <v>104.488883</v>
      </c>
      <c r="EJ50" s="83">
        <v>70.433919000000003</v>
      </c>
      <c r="EK50" s="83">
        <v>308.833302</v>
      </c>
      <c r="EL50" s="83">
        <v>65.922275999999997</v>
      </c>
      <c r="EM50" s="83">
        <v>274.85904799999997</v>
      </c>
      <c r="EN50" s="83">
        <v>87.643304000000001</v>
      </c>
      <c r="EO50" s="83">
        <v>284.05094100000002</v>
      </c>
      <c r="EP50" s="83">
        <v>111.891806</v>
      </c>
      <c r="EQ50" s="83">
        <v>78.426703000000003</v>
      </c>
      <c r="ER50" s="83">
        <v>301.60327799999999</v>
      </c>
      <c r="ES50" s="83">
        <v>63.944949999999999</v>
      </c>
      <c r="ET50" s="83">
        <v>246.38147000000001</v>
      </c>
      <c r="EU50" s="83">
        <v>77.707583999999997</v>
      </c>
      <c r="EV50" s="83">
        <v>255.009804</v>
      </c>
      <c r="EW50" s="83">
        <v>100.22854100000001</v>
      </c>
      <c r="EX50" s="83">
        <v>67.103300000000004</v>
      </c>
      <c r="EY50" s="83">
        <v>330.68240400000002</v>
      </c>
      <c r="EZ50" s="83">
        <v>68.799003999999996</v>
      </c>
      <c r="FA50" s="83">
        <v>292.77898099999999</v>
      </c>
      <c r="FB50" s="83">
        <v>92.899542999999994</v>
      </c>
      <c r="FC50" s="83">
        <v>303.05201599999998</v>
      </c>
      <c r="FD50" s="83">
        <v>118.52464500000001</v>
      </c>
      <c r="FE50" s="83">
        <v>81.345329000000007</v>
      </c>
      <c r="FF50" s="83">
        <v>324.11652500000002</v>
      </c>
      <c r="FG50" s="83">
        <v>70.456587999999996</v>
      </c>
      <c r="FH50" s="83">
        <v>281.15526799999998</v>
      </c>
      <c r="FI50" s="83">
        <v>88.605618000000007</v>
      </c>
      <c r="FJ50" s="83">
        <v>292.77408200000002</v>
      </c>
      <c r="FK50" s="83">
        <v>114.283407</v>
      </c>
      <c r="FL50" s="83">
        <v>75.356286999999995</v>
      </c>
      <c r="FM50" s="83">
        <v>324.32800500000002</v>
      </c>
      <c r="FN50" s="83">
        <v>64.962303000000006</v>
      </c>
      <c r="FO50" s="83">
        <v>257.28095200000001</v>
      </c>
      <c r="FP50" s="83">
        <v>81.664181999999997</v>
      </c>
      <c r="FQ50" s="83">
        <v>267.14525900000001</v>
      </c>
      <c r="FR50" s="83">
        <v>104.217465</v>
      </c>
      <c r="FS50" s="83">
        <v>71.176456000000002</v>
      </c>
      <c r="FT50" s="83">
        <v>334.64547399999998</v>
      </c>
      <c r="FU50" s="83">
        <v>72.425515000000004</v>
      </c>
      <c r="FV50" s="83">
        <v>274.99102299999998</v>
      </c>
      <c r="FW50" s="83">
        <v>87.034469000000001</v>
      </c>
      <c r="FX50" s="83">
        <v>283.69118700000001</v>
      </c>
      <c r="FY50" s="83">
        <v>112.204438</v>
      </c>
      <c r="FZ50" s="83">
        <v>76.615016999999995</v>
      </c>
      <c r="GA50" s="83">
        <v>309.11955599999999</v>
      </c>
      <c r="GB50" s="83">
        <v>63.521118000000001</v>
      </c>
      <c r="GC50" s="83">
        <v>257.03662400000002</v>
      </c>
      <c r="GD50" s="83">
        <v>81.396063999999996</v>
      </c>
      <c r="GE50" s="83">
        <v>268.92987399999998</v>
      </c>
      <c r="GF50" s="83">
        <v>103.89091500000001</v>
      </c>
      <c r="GG50" s="83">
        <v>69.259238999999994</v>
      </c>
      <c r="GH50" s="83">
        <v>320.638665</v>
      </c>
      <c r="GI50" s="83">
        <v>66.128444999999999</v>
      </c>
      <c r="GJ50" s="83">
        <v>289.18703699999998</v>
      </c>
      <c r="GK50" s="83">
        <v>91.504411000000005</v>
      </c>
      <c r="GL50" s="83">
        <v>299.14307700000001</v>
      </c>
      <c r="GM50" s="83">
        <v>117.964569</v>
      </c>
      <c r="GN50" s="83">
        <v>80.050116000000003</v>
      </c>
      <c r="GO50" s="83">
        <v>311.61255799999998</v>
      </c>
      <c r="GP50" s="83">
        <v>65.961281999999997</v>
      </c>
      <c r="GQ50" s="83">
        <v>244.5275</v>
      </c>
      <c r="GR50" s="83">
        <v>77.414461000000003</v>
      </c>
      <c r="GS50" s="83">
        <v>255.34750299999999</v>
      </c>
      <c r="GT50" s="83">
        <v>98.791931000000005</v>
      </c>
      <c r="GU50" s="83">
        <v>66.053826999999998</v>
      </c>
      <c r="GV50" s="83">
        <v>345.609734</v>
      </c>
      <c r="GW50" s="83">
        <v>72.503148999999993</v>
      </c>
      <c r="GX50" s="83">
        <v>302.13446399999998</v>
      </c>
      <c r="GY50" s="83">
        <v>95.629863999999998</v>
      </c>
      <c r="GZ50" s="83">
        <v>312.34797099999997</v>
      </c>
      <c r="HA50" s="83">
        <v>123.278803</v>
      </c>
      <c r="HB50" s="83">
        <v>83.849468000000002</v>
      </c>
      <c r="HC50" s="83">
        <v>333.25307600000002</v>
      </c>
      <c r="HD50" s="83">
        <v>69.538550000000001</v>
      </c>
      <c r="HE50" s="83">
        <v>270.83006799999998</v>
      </c>
      <c r="HF50" s="83">
        <v>85.775392999999994</v>
      </c>
      <c r="HG50" s="83">
        <v>282.91624999999999</v>
      </c>
      <c r="HH50" s="83">
        <v>109.47104299999999</v>
      </c>
      <c r="HI50" s="83">
        <v>73.250890999999996</v>
      </c>
      <c r="HJ50" s="83">
        <v>336.57278100000002</v>
      </c>
      <c r="HK50" s="83">
        <v>71.098626999999993</v>
      </c>
      <c r="HL50" s="83">
        <v>308.54860400000001</v>
      </c>
      <c r="HM50" s="83">
        <v>97.635678999999996</v>
      </c>
      <c r="HN50" s="83">
        <v>321.83854500000001</v>
      </c>
      <c r="HO50" s="83">
        <v>125.84402900000001</v>
      </c>
      <c r="HP50" s="83">
        <v>84.019728000000001</v>
      </c>
      <c r="HQ50" s="83">
        <v>377.61395900000002</v>
      </c>
      <c r="HR50" s="83">
        <v>78.697917000000004</v>
      </c>
      <c r="HS50" s="83">
        <v>300.715574</v>
      </c>
      <c r="HT50" s="83">
        <v>95.486897999999997</v>
      </c>
      <c r="HU50" s="83">
        <v>311.146004</v>
      </c>
      <c r="HV50" s="83">
        <v>121.835983</v>
      </c>
      <c r="HW50" s="83">
        <v>83.905788000000001</v>
      </c>
      <c r="HX50" s="83">
        <v>349.33115199999997</v>
      </c>
      <c r="HY50" s="83">
        <v>73.529043000000001</v>
      </c>
      <c r="HZ50" s="83">
        <v>295.91264999999999</v>
      </c>
      <c r="IA50" s="83">
        <v>93.322872000000004</v>
      </c>
      <c r="IB50" s="83">
        <v>305.34307999999999</v>
      </c>
      <c r="IC50" s="83">
        <v>120.378873</v>
      </c>
      <c r="ID50" s="83">
        <v>81.059016999999997</v>
      </c>
      <c r="IE50" s="83">
        <v>318.77691099999998</v>
      </c>
      <c r="IF50" s="83">
        <v>66.562634000000003</v>
      </c>
      <c r="IG50" s="83">
        <v>260.44000699999998</v>
      </c>
      <c r="IH50" s="83">
        <v>82.499707000000001</v>
      </c>
      <c r="II50" s="83">
        <v>271.30524400000002</v>
      </c>
      <c r="IJ50" s="83">
        <v>105.27363200000001</v>
      </c>
      <c r="IK50" s="83">
        <v>70.890252000000004</v>
      </c>
      <c r="IL50" s="83">
        <v>313.11372599999999</v>
      </c>
      <c r="IM50" s="83">
        <v>66.132699000000002</v>
      </c>
      <c r="IN50" s="83">
        <v>289.42000400000001</v>
      </c>
      <c r="IO50" s="83">
        <v>91.479453000000007</v>
      </c>
      <c r="IP50" s="83">
        <v>302.50099899999998</v>
      </c>
      <c r="IQ50" s="83">
        <v>117.924815</v>
      </c>
      <c r="IR50" s="83">
        <v>78.068214999999995</v>
      </c>
      <c r="IS50" s="83">
        <v>377.81507499999998</v>
      </c>
      <c r="IT50" s="83">
        <v>77.831658000000004</v>
      </c>
      <c r="IU50" s="83">
        <v>289.046404</v>
      </c>
      <c r="IV50" s="83">
        <v>91.676169000000002</v>
      </c>
      <c r="IW50" s="83">
        <v>299.51112499999999</v>
      </c>
      <c r="IX50" s="83">
        <v>116.964371</v>
      </c>
      <c r="IY50" s="83">
        <v>79.977552000000003</v>
      </c>
      <c r="IZ50" s="83">
        <v>327.73429800000002</v>
      </c>
      <c r="JA50" s="83">
        <v>69.194196000000005</v>
      </c>
      <c r="JB50" s="83">
        <v>278.301199</v>
      </c>
      <c r="JC50" s="83">
        <v>87.885554999999997</v>
      </c>
      <c r="JD50" s="83">
        <v>287.35071699999997</v>
      </c>
      <c r="JE50" s="83">
        <v>113.33959900000001</v>
      </c>
      <c r="JF50" s="83">
        <v>76.612285999999997</v>
      </c>
      <c r="JG50" s="83">
        <v>295.20041500000002</v>
      </c>
      <c r="JH50" s="83">
        <v>61.660324000000003</v>
      </c>
      <c r="JI50" s="83">
        <v>247.84001900000001</v>
      </c>
      <c r="JJ50" s="83">
        <v>78.575839999999999</v>
      </c>
      <c r="JK50" s="83">
        <v>257.91620999999998</v>
      </c>
      <c r="JL50" s="83">
        <v>100.27307500000001</v>
      </c>
      <c r="JM50" s="83">
        <v>67.882007999999999</v>
      </c>
      <c r="JN50" s="83">
        <v>215.19737799999999</v>
      </c>
      <c r="JO50" s="83">
        <v>65.427586000000005</v>
      </c>
      <c r="JP50" s="83">
        <v>201.17448400000001</v>
      </c>
      <c r="JQ50" s="83">
        <v>74.455062999999996</v>
      </c>
      <c r="JR50" s="83">
        <v>199.88951</v>
      </c>
      <c r="JS50" s="83">
        <v>218.42999399999999</v>
      </c>
      <c r="JT50" s="83">
        <v>212.642394</v>
      </c>
      <c r="JU50" s="83">
        <v>183.210947</v>
      </c>
      <c r="JV50" s="83">
        <v>182.77667099999999</v>
      </c>
      <c r="JW50" s="83">
        <v>197.58530099999999</v>
      </c>
      <c r="JX50" s="83">
        <v>190.01209399999999</v>
      </c>
      <c r="JY50" s="83">
        <v>189.30432300000001</v>
      </c>
      <c r="JZ50" s="83">
        <v>192.69087400000001</v>
      </c>
      <c r="KA50" s="83">
        <v>189.63056499999999</v>
      </c>
      <c r="KB50" s="83">
        <v>183.06323900000001</v>
      </c>
      <c r="KC50" s="83">
        <v>182.91470000000001</v>
      </c>
      <c r="KD50" s="83">
        <v>180.23814300000001</v>
      </c>
      <c r="KE50" s="83">
        <v>172.37173799999999</v>
      </c>
      <c r="KF50" s="83">
        <v>171.68647899999999</v>
      </c>
      <c r="KG50" s="83">
        <v>176.63774799999999</v>
      </c>
      <c r="KH50" s="83">
        <v>172.00232399999999</v>
      </c>
      <c r="KI50" s="83">
        <v>162.877835</v>
      </c>
      <c r="KJ50" s="83">
        <v>162.53453999999999</v>
      </c>
      <c r="KK50" s="83">
        <v>176.057087</v>
      </c>
      <c r="KL50" s="83">
        <v>169.40853899999999</v>
      </c>
      <c r="KM50" s="83">
        <v>168.77967100000001</v>
      </c>
      <c r="KN50" s="83">
        <v>171.78867299999999</v>
      </c>
      <c r="KO50" s="83">
        <v>169.069514</v>
      </c>
      <c r="KP50" s="83">
        <v>171.100157</v>
      </c>
      <c r="KQ50" s="83">
        <v>171.00208000000001</v>
      </c>
      <c r="KR50" s="83">
        <v>169.28527800000001</v>
      </c>
      <c r="KS50" s="83">
        <v>161.592803</v>
      </c>
      <c r="KT50" s="83">
        <v>160.90959100000001</v>
      </c>
      <c r="KU50" s="83">
        <v>165.756687</v>
      </c>
      <c r="KV50" s="83">
        <v>161.22450699999999</v>
      </c>
      <c r="KW50" s="83">
        <v>169.182512</v>
      </c>
      <c r="KX50" s="83">
        <v>168.898527</v>
      </c>
      <c r="KY50" s="83">
        <v>174.37909099999999</v>
      </c>
      <c r="KZ50" s="83">
        <v>167.380606</v>
      </c>
      <c r="LA50" s="83">
        <v>166.703306</v>
      </c>
      <c r="LB50" s="83">
        <v>169.94401300000001</v>
      </c>
      <c r="LC50" s="83">
        <v>167.01548399999999</v>
      </c>
      <c r="LD50" s="83">
        <v>159.012745</v>
      </c>
      <c r="LE50" s="83">
        <v>158.88998900000001</v>
      </c>
      <c r="LF50" s="83">
        <v>170.29492400000001</v>
      </c>
      <c r="LG50" s="83">
        <v>163.18017499999999</v>
      </c>
      <c r="LH50" s="83">
        <v>162.55719199999999</v>
      </c>
      <c r="LI50" s="83">
        <v>167.03663599999999</v>
      </c>
      <c r="LJ50" s="83">
        <v>162.84433799999999</v>
      </c>
      <c r="LK50" s="83">
        <v>175.79372599999999</v>
      </c>
      <c r="LL50" s="83">
        <v>175.44684899999999</v>
      </c>
      <c r="LM50" s="83">
        <v>174.89583400000001</v>
      </c>
      <c r="LN50" s="83">
        <v>168.04342800000001</v>
      </c>
      <c r="LO50" s="83">
        <v>167.39389399999999</v>
      </c>
      <c r="LP50" s="83">
        <v>170.50177299999999</v>
      </c>
      <c r="LQ50" s="83">
        <v>167.693275</v>
      </c>
      <c r="LR50" s="83">
        <v>161.84489400000001</v>
      </c>
      <c r="LS50" s="83">
        <v>161.69555099999999</v>
      </c>
      <c r="LT50" s="83">
        <v>167.69073499999999</v>
      </c>
      <c r="LU50" s="83">
        <v>160.24799100000001</v>
      </c>
      <c r="LV50" s="83">
        <v>159.602093</v>
      </c>
      <c r="LW50" s="83">
        <v>164.28569899999999</v>
      </c>
      <c r="LX50" s="83">
        <v>159.899787</v>
      </c>
      <c r="LY50" s="83">
        <v>159.34403499999999</v>
      </c>
      <c r="LZ50" s="83">
        <v>159.02509499999999</v>
      </c>
      <c r="MA50" s="83">
        <v>172.53892999999999</v>
      </c>
      <c r="MB50" s="83">
        <v>165.735274</v>
      </c>
      <c r="MC50" s="83">
        <v>165.08532199999999</v>
      </c>
      <c r="MD50" s="83">
        <v>168.19519600000001</v>
      </c>
      <c r="ME50" s="83">
        <v>165.38488599999999</v>
      </c>
      <c r="MF50" s="83">
        <v>187.38217599999999</v>
      </c>
      <c r="MG50" s="83">
        <v>187.28906699999999</v>
      </c>
      <c r="MH50" s="83">
        <v>181.78843900000001</v>
      </c>
      <c r="MI50" s="83">
        <v>174.296785</v>
      </c>
      <c r="MJ50" s="83">
        <v>173.630752</v>
      </c>
      <c r="MK50" s="83">
        <v>178.35155399999999</v>
      </c>
      <c r="ML50" s="83">
        <v>173.93773899999999</v>
      </c>
      <c r="MM50" s="83">
        <v>162.69986800000001</v>
      </c>
      <c r="MN50" s="83">
        <v>162.40104500000001</v>
      </c>
      <c r="MO50" s="83">
        <v>167.602981</v>
      </c>
      <c r="MP50" s="83">
        <v>160.97726900000001</v>
      </c>
      <c r="MQ50" s="83">
        <v>160.34197800000001</v>
      </c>
      <c r="MR50" s="83">
        <v>163.38169500000001</v>
      </c>
      <c r="MS50" s="83">
        <v>160.63480000000001</v>
      </c>
      <c r="MT50" s="83">
        <v>167.560678</v>
      </c>
      <c r="MU50" s="83">
        <v>167.45938100000001</v>
      </c>
      <c r="MV50" s="83">
        <v>182.91703100000001</v>
      </c>
      <c r="MW50" s="83">
        <v>174.906193</v>
      </c>
      <c r="MX50" s="83">
        <v>174.194444</v>
      </c>
      <c r="MY50" s="83">
        <v>179.242242</v>
      </c>
      <c r="MZ50" s="83">
        <v>174.52248700000001</v>
      </c>
      <c r="NA50" s="83">
        <v>172.54411099999999</v>
      </c>
      <c r="NB50" s="83">
        <v>172.407365</v>
      </c>
      <c r="NC50" s="83">
        <v>167.59104400000001</v>
      </c>
      <c r="ND50" s="83">
        <v>160.80188699999999</v>
      </c>
      <c r="NE50" s="83">
        <v>160.11736999999999</v>
      </c>
      <c r="NF50" s="83">
        <v>163.39259899999999</v>
      </c>
      <c r="NG50" s="83">
        <v>160.43287799999999</v>
      </c>
      <c r="NH50" s="83">
        <v>175.56075100000001</v>
      </c>
      <c r="NI50" s="83">
        <v>175.48772</v>
      </c>
      <c r="NJ50" s="83">
        <v>181.95958300000001</v>
      </c>
      <c r="NK50" s="83">
        <v>173.855785</v>
      </c>
      <c r="NL50" s="83">
        <v>173.12761399999999</v>
      </c>
      <c r="NM50" s="83">
        <v>178.23728600000001</v>
      </c>
      <c r="NN50" s="83">
        <v>173.46326400000001</v>
      </c>
      <c r="NO50" s="83">
        <v>161.459846</v>
      </c>
      <c r="NP50" s="83">
        <v>161.24113500000001</v>
      </c>
      <c r="NQ50" s="83">
        <v>173.05758299999999</v>
      </c>
      <c r="NR50" s="83">
        <v>166.51358099999999</v>
      </c>
      <c r="NS50" s="83">
        <v>165.87099000000001</v>
      </c>
      <c r="NT50" s="83">
        <v>168.94559599999999</v>
      </c>
      <c r="NU50" s="83">
        <v>166.16715500000001</v>
      </c>
      <c r="NV50" s="83">
        <v>170.64883900000001</v>
      </c>
      <c r="NW50" s="83">
        <v>170.44492600000001</v>
      </c>
      <c r="NX50" s="83">
        <v>170.06431900000001</v>
      </c>
      <c r="NY50" s="83">
        <v>162.65517</v>
      </c>
      <c r="NZ50" s="83">
        <v>162.027534</v>
      </c>
      <c r="OA50" s="83">
        <v>166.683795</v>
      </c>
      <c r="OB50" s="83">
        <v>162.31680800000001</v>
      </c>
      <c r="OC50" s="83">
        <v>169.69920999999999</v>
      </c>
      <c r="OD50" s="83">
        <v>169.31574000000001</v>
      </c>
      <c r="OE50" s="83">
        <v>174.70739499999999</v>
      </c>
      <c r="OF50" s="83">
        <v>167.88279399999999</v>
      </c>
      <c r="OG50" s="83">
        <v>167.24342999999999</v>
      </c>
      <c r="OH50" s="83">
        <v>170.30267799999999</v>
      </c>
      <c r="OI50" s="83">
        <v>167.53814199999999</v>
      </c>
      <c r="OJ50" s="83">
        <v>169.74098000000001</v>
      </c>
      <c r="OK50" s="83">
        <v>169.51588699999999</v>
      </c>
      <c r="OL50" s="83">
        <v>182.07794699999999</v>
      </c>
      <c r="OM50" s="83">
        <v>174.30770999999999</v>
      </c>
      <c r="ON50" s="83">
        <v>173.652624</v>
      </c>
      <c r="OO50" s="83">
        <v>178.534537</v>
      </c>
      <c r="OP50" s="83">
        <v>173.954566</v>
      </c>
      <c r="OQ50" s="83">
        <v>179.205095</v>
      </c>
      <c r="OR50" s="83">
        <v>178.837504</v>
      </c>
      <c r="OS50" s="83">
        <v>177.77292700000001</v>
      </c>
      <c r="OT50" s="83">
        <v>170.74673799999999</v>
      </c>
      <c r="OU50" s="83">
        <v>170.08308299999999</v>
      </c>
      <c r="OV50" s="83">
        <v>173.25850700000001</v>
      </c>
      <c r="OW50" s="83">
        <v>170.38896800000001</v>
      </c>
      <c r="OX50" s="83">
        <v>166.641648</v>
      </c>
      <c r="OY50" s="83">
        <v>166.44794400000001</v>
      </c>
      <c r="OZ50" s="83">
        <v>172.69064700000001</v>
      </c>
      <c r="PA50" s="83">
        <v>164.970595</v>
      </c>
      <c r="PB50" s="83">
        <v>164.311431</v>
      </c>
      <c r="PC50" s="83">
        <v>169.16517099999999</v>
      </c>
      <c r="PD50" s="83">
        <v>164.61525499999999</v>
      </c>
      <c r="PE50" s="83">
        <v>158.896052</v>
      </c>
      <c r="PF50" s="83">
        <v>158.58017899999999</v>
      </c>
      <c r="PG50" s="83">
        <v>171.05748299999999</v>
      </c>
      <c r="PH50" s="83">
        <v>164.13170700000001</v>
      </c>
      <c r="PI50" s="83">
        <v>163.468346</v>
      </c>
      <c r="PJ50" s="83">
        <v>166.642393</v>
      </c>
      <c r="PK50" s="83">
        <v>163.774114</v>
      </c>
      <c r="PL50" s="83">
        <v>176.67487700000001</v>
      </c>
      <c r="PM50" s="83">
        <v>176.44442599999999</v>
      </c>
      <c r="PN50" s="83">
        <v>173.405089</v>
      </c>
      <c r="PO50" s="83">
        <v>166.05921599999999</v>
      </c>
      <c r="PP50" s="83">
        <v>165.44483700000001</v>
      </c>
      <c r="PQ50" s="83">
        <v>170.05810500000001</v>
      </c>
      <c r="PR50" s="83">
        <v>165.72802999999999</v>
      </c>
      <c r="PS50" s="83">
        <v>187.928358</v>
      </c>
      <c r="PT50" s="83">
        <v>187.56122199999999</v>
      </c>
      <c r="PU50" s="83">
        <v>193.824106</v>
      </c>
      <c r="PV50" s="83">
        <v>185.85133999999999</v>
      </c>
      <c r="PW50" s="83">
        <v>185.088402</v>
      </c>
      <c r="PX50" s="83">
        <v>188.73895300000001</v>
      </c>
      <c r="PY50" s="83">
        <v>185.44006300000001</v>
      </c>
      <c r="PZ50" s="83">
        <v>154.982844</v>
      </c>
      <c r="QA50" s="83">
        <v>154.82609099999999</v>
      </c>
      <c r="QB50" s="83">
        <v>160.80332799999999</v>
      </c>
      <c r="QC50" s="83">
        <v>153.38903300000001</v>
      </c>
      <c r="QD50" s="83">
        <v>152.74784199999999</v>
      </c>
      <c r="QE50" s="83">
        <v>157.41263499999999</v>
      </c>
      <c r="QF50" s="83">
        <v>153.04338899999999</v>
      </c>
      <c r="QG50" s="83">
        <v>182.495588</v>
      </c>
      <c r="QH50" s="83">
        <v>182.16675799999999</v>
      </c>
      <c r="QI50" s="83">
        <v>188.20284799999999</v>
      </c>
      <c r="QJ50" s="83">
        <v>180.50429299999999</v>
      </c>
      <c r="QK50" s="83">
        <v>179.762495</v>
      </c>
      <c r="QL50" s="83">
        <v>183.31179700000001</v>
      </c>
      <c r="QM50" s="83">
        <v>180.10440399999999</v>
      </c>
      <c r="QN50" s="83">
        <v>172.34312399999999</v>
      </c>
      <c r="QO50" s="83">
        <v>172.16726299999999</v>
      </c>
      <c r="QP50" s="83">
        <v>178.49910499999999</v>
      </c>
      <c r="QQ50" s="83">
        <v>170.652637</v>
      </c>
      <c r="QR50" s="83">
        <v>169.976834</v>
      </c>
      <c r="QS50" s="83">
        <v>174.91242</v>
      </c>
    </row>
  </sheetData>
  <mergeCells count="4">
    <mergeCell ref="A4:J4"/>
    <mergeCell ref="K1:P1"/>
    <mergeCell ref="Q1:V1"/>
    <mergeCell ref="K3:V3"/>
  </mergeCells>
  <pageMargins left="0.7" right="0.7" top="0.75" bottom="0.75" header="0.3" footer="0.3"/>
  <pageSetup orientation="portrait" horizontalDpi="300" r:id="rId1"/>
  <customProperties>
    <customPr name="_pios_id" r:id="rId2"/>
    <customPr name="CofWorksheetType" r:id="rId3"/>
    <customPr name="EpmWorksheetKeyString_GUID" r:id="rId4"/>
    <customPr name="FPMExcelClientRefreshTime" r:id="rId5"/>
    <customPr name="IbpWorksheetKeyString_GUID" r:id="rId6"/>
  </customProperties>
  <drawing r:id="rId7"/>
  <legacyDrawing r:id="rId8"/>
  <picture r:id="rId9"/>
  <controls>
    <mc:AlternateContent xmlns:mc="http://schemas.openxmlformats.org/markup-compatibility/2006">
      <mc:Choice Requires="x14">
        <control shapeId="3130" r:id="rId10" name="CheckBox1">
          <controlPr defaultSize="0" autoLine="0" r:id="rId11">
            <anchor>
              <from>
                <xdr:col>5</xdr:col>
                <xdr:colOff>1771650</xdr:colOff>
                <xdr:row>3</xdr:row>
                <xdr:rowOff>28575</xdr:rowOff>
              </from>
              <to>
                <xdr:col>6</xdr:col>
                <xdr:colOff>381000</xdr:colOff>
                <xdr:row>3</xdr:row>
                <xdr:rowOff>333375</xdr:rowOff>
              </to>
            </anchor>
          </controlPr>
        </control>
      </mc:Choice>
      <mc:Fallback>
        <control shapeId="3130" r:id="rId10" name="CheckBox1"/>
      </mc:Fallback>
    </mc:AlternateContent>
    <mc:AlternateContent xmlns:mc="http://schemas.openxmlformats.org/markup-compatibility/2006">
      <mc:Choice Requires="x14">
        <control shapeId="3129" r:id="rId12" name="ListBox2">
          <controlPr defaultSize="0" autoLine="0" r:id="rId13">
            <anchor>
              <from>
                <xdr:col>5</xdr:col>
                <xdr:colOff>1343025</xdr:colOff>
                <xdr:row>3</xdr:row>
                <xdr:rowOff>771525</xdr:rowOff>
              </from>
              <to>
                <xdr:col>5</xdr:col>
                <xdr:colOff>1552575</xdr:colOff>
                <xdr:row>3</xdr:row>
                <xdr:rowOff>847725</xdr:rowOff>
              </to>
            </anchor>
          </controlPr>
        </control>
      </mc:Choice>
      <mc:Fallback>
        <control shapeId="3129" r:id="rId12" name="ListBox2"/>
      </mc:Fallback>
    </mc:AlternateContent>
    <mc:AlternateContent xmlns:mc="http://schemas.openxmlformats.org/markup-compatibility/2006">
      <mc:Choice Requires="x14">
        <control shapeId="3128" r:id="rId14" name="ListBox1">
          <controlPr defaultSize="0" autoLine="0" r:id="rId15">
            <anchor>
              <from>
                <xdr:col>0</xdr:col>
                <xdr:colOff>38100</xdr:colOff>
                <xdr:row>3</xdr:row>
                <xdr:rowOff>771525</xdr:rowOff>
              </from>
              <to>
                <xdr:col>3</xdr:col>
                <xdr:colOff>76200</xdr:colOff>
                <xdr:row>3</xdr:row>
                <xdr:rowOff>895350</xdr:rowOff>
              </to>
            </anchor>
          </controlPr>
        </control>
      </mc:Choice>
      <mc:Fallback>
        <control shapeId="3128" r:id="rId14" name="ListBox1"/>
      </mc:Fallback>
    </mc:AlternateContent>
    <mc:AlternateContent xmlns:mc="http://schemas.openxmlformats.org/markup-compatibility/2006">
      <mc:Choice Requires="x14">
        <control shapeId="3127" r:id="rId16" name="CommandButton7">
          <controlPr defaultSize="0" autoLine="0" r:id="rId17">
            <anchor>
              <from>
                <xdr:col>0</xdr:col>
                <xdr:colOff>38100</xdr:colOff>
                <xdr:row>1</xdr:row>
                <xdr:rowOff>419100</xdr:rowOff>
              </from>
              <to>
                <xdr:col>2</xdr:col>
                <xdr:colOff>57150</xdr:colOff>
                <xdr:row>2</xdr:row>
                <xdr:rowOff>171450</xdr:rowOff>
              </to>
            </anchor>
          </controlPr>
        </control>
      </mc:Choice>
      <mc:Fallback>
        <control shapeId="3127" r:id="rId16" name="CommandButton7"/>
      </mc:Fallback>
    </mc:AlternateContent>
    <mc:AlternateContent xmlns:mc="http://schemas.openxmlformats.org/markup-compatibility/2006">
      <mc:Choice Requires="x14">
        <control shapeId="3125" r:id="rId18" name="CommandButton6">
          <controlPr defaultSize="0" autoLine="0" r:id="rId19">
            <anchor>
              <from>
                <xdr:col>0</xdr:col>
                <xdr:colOff>57150</xdr:colOff>
                <xdr:row>1</xdr:row>
                <xdr:rowOff>400050</xdr:rowOff>
              </from>
              <to>
                <xdr:col>2</xdr:col>
                <xdr:colOff>76200</xdr:colOff>
                <xdr:row>2</xdr:row>
                <xdr:rowOff>171450</xdr:rowOff>
              </to>
            </anchor>
          </controlPr>
        </control>
      </mc:Choice>
      <mc:Fallback>
        <control shapeId="3125" r:id="rId18" name="CommandButton6"/>
      </mc:Fallback>
    </mc:AlternateContent>
    <mc:AlternateContent xmlns:mc="http://schemas.openxmlformats.org/markup-compatibility/2006">
      <mc:Choice Requires="x14">
        <control shapeId="3093" r:id="rId20" name="FPMExcelClientSheetOptionstb1">
          <controlPr defaultSize="0" autoLine="0" r:id="rId21">
            <anchor moveWithCells="1" sizeWithCells="1">
              <from>
                <xdr:col>0</xdr:col>
                <xdr:colOff>0</xdr:colOff>
                <xdr:row>0</xdr:row>
                <xdr:rowOff>0</xdr:rowOff>
              </from>
              <to>
                <xdr:col>0</xdr:col>
                <xdr:colOff>0</xdr:colOff>
                <xdr:row>0</xdr:row>
                <xdr:rowOff>0</xdr:rowOff>
              </to>
            </anchor>
          </controlPr>
        </control>
      </mc:Choice>
      <mc:Fallback>
        <control shapeId="3093" r:id="rId20" name="FPMExcelClientSheetOptionstb1"/>
      </mc:Fallback>
    </mc:AlternateContent>
    <mc:AlternateContent xmlns:mc="http://schemas.openxmlformats.org/markup-compatibility/2006">
      <mc:Choice Requires="x14">
        <control shapeId="3114" r:id="rId22" name="CommandButton1">
          <controlPr defaultSize="0" autoLine="0" altText="Refresh Chart" r:id="rId23">
            <anchor>
              <from>
                <xdr:col>0</xdr:col>
                <xdr:colOff>38100</xdr:colOff>
                <xdr:row>3</xdr:row>
                <xdr:rowOff>28575</xdr:rowOff>
              </from>
              <to>
                <xdr:col>2</xdr:col>
                <xdr:colOff>57150</xdr:colOff>
                <xdr:row>3</xdr:row>
                <xdr:rowOff>257175</xdr:rowOff>
              </to>
            </anchor>
          </controlPr>
        </control>
      </mc:Choice>
      <mc:Fallback>
        <control shapeId="3114" r:id="rId22" name="CommandButton1"/>
      </mc:Fallback>
    </mc:AlternateContent>
    <mc:AlternateContent xmlns:mc="http://schemas.openxmlformats.org/markup-compatibility/2006">
      <mc:Choice Requires="x14">
        <control shapeId="3116" r:id="rId24" name="Label1">
          <controlPr defaultSize="0" autoLine="0" r:id="rId25">
            <anchor>
              <from>
                <xdr:col>3</xdr:col>
                <xdr:colOff>0</xdr:colOff>
                <xdr:row>3</xdr:row>
                <xdr:rowOff>38100</xdr:rowOff>
              </from>
              <to>
                <xdr:col>5</xdr:col>
                <xdr:colOff>428625</xdr:colOff>
                <xdr:row>3</xdr:row>
                <xdr:rowOff>295275</xdr:rowOff>
              </to>
            </anchor>
          </controlPr>
        </control>
      </mc:Choice>
      <mc:Fallback>
        <control shapeId="3116" r:id="rId24" name="Label1"/>
      </mc:Fallback>
    </mc:AlternateContent>
    <mc:AlternateContent xmlns:mc="http://schemas.openxmlformats.org/markup-compatibility/2006">
      <mc:Choice Requires="x14">
        <control shapeId="3117" r:id="rId26" name="CommandButton2">
          <controlPr defaultSize="0" autoLine="0" r:id="rId27">
            <anchor>
              <from>
                <xdr:col>0</xdr:col>
                <xdr:colOff>38100</xdr:colOff>
                <xdr:row>3</xdr:row>
                <xdr:rowOff>514350</xdr:rowOff>
              </from>
              <to>
                <xdr:col>2</xdr:col>
                <xdr:colOff>57150</xdr:colOff>
                <xdr:row>3</xdr:row>
                <xdr:rowOff>742950</xdr:rowOff>
              </to>
            </anchor>
          </controlPr>
        </control>
      </mc:Choice>
      <mc:Fallback>
        <control shapeId="3117" r:id="rId26" name="CommandButton2"/>
      </mc:Fallback>
    </mc:AlternateContent>
    <mc:AlternateContent xmlns:mc="http://schemas.openxmlformats.org/markup-compatibility/2006">
      <mc:Choice Requires="x14">
        <control shapeId="3118" r:id="rId28" name="CommandButton3">
          <controlPr defaultSize="0" autoLine="0" r:id="rId29">
            <anchor>
              <from>
                <xdr:col>2</xdr:col>
                <xdr:colOff>85725</xdr:colOff>
                <xdr:row>3</xdr:row>
                <xdr:rowOff>514350</xdr:rowOff>
              </from>
              <to>
                <xdr:col>5</xdr:col>
                <xdr:colOff>0</xdr:colOff>
                <xdr:row>3</xdr:row>
                <xdr:rowOff>742950</xdr:rowOff>
              </to>
            </anchor>
          </controlPr>
        </control>
      </mc:Choice>
      <mc:Fallback>
        <control shapeId="3118" r:id="rId28" name="CommandButton3"/>
      </mc:Fallback>
    </mc:AlternateContent>
    <mc:AlternateContent xmlns:mc="http://schemas.openxmlformats.org/markup-compatibility/2006">
      <mc:Choice Requires="x14">
        <control shapeId="3120" r:id="rId30" name="Label2">
          <controlPr defaultSize="0" autoLine="0" r:id="rId31">
            <anchor>
              <from>
                <xdr:col>5</xdr:col>
                <xdr:colOff>38100</xdr:colOff>
                <xdr:row>3</xdr:row>
                <xdr:rowOff>552450</xdr:rowOff>
              </from>
              <to>
                <xdr:col>5</xdr:col>
                <xdr:colOff>676275</xdr:colOff>
                <xdr:row>3</xdr:row>
                <xdr:rowOff>714375</xdr:rowOff>
              </to>
            </anchor>
          </controlPr>
        </control>
      </mc:Choice>
      <mc:Fallback>
        <control shapeId="3120" r:id="rId30" name="Label2"/>
      </mc:Fallback>
    </mc:AlternateContent>
    <mc:AlternateContent xmlns:mc="http://schemas.openxmlformats.org/markup-compatibility/2006">
      <mc:Choice Requires="x14">
        <control shapeId="3121" r:id="rId32" name="CommandButton4">
          <controlPr defaultSize="0" autoLine="0" r:id="rId27">
            <anchor>
              <from>
                <xdr:col>5</xdr:col>
                <xdr:colOff>1343025</xdr:colOff>
                <xdr:row>3</xdr:row>
                <xdr:rowOff>514350</xdr:rowOff>
              </from>
              <to>
                <xdr:col>5</xdr:col>
                <xdr:colOff>1571625</xdr:colOff>
                <xdr:row>3</xdr:row>
                <xdr:rowOff>742950</xdr:rowOff>
              </to>
            </anchor>
          </controlPr>
        </control>
      </mc:Choice>
      <mc:Fallback>
        <control shapeId="3121" r:id="rId32" name="CommandButton4"/>
      </mc:Fallback>
    </mc:AlternateContent>
    <mc:AlternateContent xmlns:mc="http://schemas.openxmlformats.org/markup-compatibility/2006">
      <mc:Choice Requires="x14">
        <control shapeId="3122" r:id="rId33" name="CommandButton5">
          <controlPr defaultSize="0" autoLine="0" r:id="rId29">
            <anchor>
              <from>
                <xdr:col>5</xdr:col>
                <xdr:colOff>1600200</xdr:colOff>
                <xdr:row>3</xdr:row>
                <xdr:rowOff>514350</xdr:rowOff>
              </from>
              <to>
                <xdr:col>5</xdr:col>
                <xdr:colOff>1828800</xdr:colOff>
                <xdr:row>3</xdr:row>
                <xdr:rowOff>742950</xdr:rowOff>
              </to>
            </anchor>
          </controlPr>
        </control>
      </mc:Choice>
      <mc:Fallback>
        <control shapeId="3122" r:id="rId33" name="CommandButton5"/>
      </mc:Fallback>
    </mc:AlternateContent>
    <mc:AlternateContent xmlns:mc="http://schemas.openxmlformats.org/markup-compatibility/2006">
      <mc:Choice Requires="x14">
        <control shapeId="3123" r:id="rId34" name="Label3">
          <controlPr defaultSize="0" autoLine="0" r:id="rId35">
            <anchor>
              <from>
                <xdr:col>5</xdr:col>
                <xdr:colOff>1866900</xdr:colOff>
                <xdr:row>3</xdr:row>
                <xdr:rowOff>552450</xdr:rowOff>
              </from>
              <to>
                <xdr:col>6</xdr:col>
                <xdr:colOff>419100</xdr:colOff>
                <xdr:row>3</xdr:row>
                <xdr:rowOff>714375</xdr:rowOff>
              </to>
            </anchor>
          </controlPr>
        </control>
      </mc:Choice>
      <mc:Fallback>
        <control shapeId="3123" r:id="rId34" name="Label3"/>
      </mc:Fallback>
    </mc:AlternateContent>
    <mc:AlternateContent xmlns:mc="http://schemas.openxmlformats.org/markup-compatibility/2006">
      <mc:Choice Requires="x14">
        <control shapeId="3131" r:id="rId36" name="CheckBox2">
          <controlPr defaultSize="0" autoLine="0" r:id="rId37">
            <anchor>
              <from>
                <xdr:col>5</xdr:col>
                <xdr:colOff>371475</xdr:colOff>
                <xdr:row>3</xdr:row>
                <xdr:rowOff>28575</xdr:rowOff>
              </from>
              <to>
                <xdr:col>5</xdr:col>
                <xdr:colOff>1771650</xdr:colOff>
                <xdr:row>3</xdr:row>
                <xdr:rowOff>333375</xdr:rowOff>
              </to>
            </anchor>
          </controlPr>
        </control>
      </mc:Choice>
      <mc:Fallback>
        <control shapeId="3131" r:id="rId36" name="CheckBox2"/>
      </mc:Fallback>
    </mc:AlternateContent>
    <mc:AlternateContent xmlns:mc="http://schemas.openxmlformats.org/markup-compatibility/2006">
      <mc:Choice Requires="x14">
        <control shapeId="3132" r:id="rId38" name="CheckBox3">
          <controlPr defaultSize="0" autoLine="0" r:id="rId39">
            <anchor>
              <from>
                <xdr:col>5</xdr:col>
                <xdr:colOff>371475</xdr:colOff>
                <xdr:row>3</xdr:row>
                <xdr:rowOff>219075</xdr:rowOff>
              </from>
              <to>
                <xdr:col>5</xdr:col>
                <xdr:colOff>1771650</xdr:colOff>
                <xdr:row>3</xdr:row>
                <xdr:rowOff>485775</xdr:rowOff>
              </to>
            </anchor>
          </controlPr>
        </control>
      </mc:Choice>
      <mc:Fallback>
        <control shapeId="3132" r:id="rId38" name="CheckBox3"/>
      </mc:Fallback>
    </mc:AlternateContent>
    <mc:AlternateContent xmlns:mc="http://schemas.openxmlformats.org/markup-compatibility/2006">
      <mc:Choice Requires="x14">
        <control shapeId="3138" r:id="rId40" name="ConnectionDescriptorsInfoDCtb1">
          <controlPr defaultSize="0" autoLine="0" autoPict="0" r:id="rId41">
            <anchor moveWithCells="1">
              <from>
                <xdr:col>0</xdr:col>
                <xdr:colOff>0</xdr:colOff>
                <xdr:row>0</xdr:row>
                <xdr:rowOff>0</xdr:rowOff>
              </from>
              <to>
                <xdr:col>5</xdr:col>
                <xdr:colOff>381000</xdr:colOff>
                <xdr:row>0</xdr:row>
                <xdr:rowOff>0</xdr:rowOff>
              </to>
            </anchor>
          </controlPr>
        </control>
      </mc:Choice>
      <mc:Fallback>
        <control shapeId="3138" r:id="rId40" name="ConnectionDescriptorsInfoDCtb1"/>
      </mc:Fallback>
    </mc:AlternateContent>
    <mc:AlternateContent xmlns:mc="http://schemas.openxmlformats.org/markup-compatibility/2006">
      <mc:Choice Requires="x14">
        <control shapeId="3139" r:id="rId42" name="MultipleReportManagerInfoDCtb1">
          <controlPr defaultSize="0" autoLine="0" autoPict="0" r:id="rId43">
            <anchor moveWithCells="1">
              <from>
                <xdr:col>0</xdr:col>
                <xdr:colOff>0</xdr:colOff>
                <xdr:row>0</xdr:row>
                <xdr:rowOff>0</xdr:rowOff>
              </from>
              <to>
                <xdr:col>5</xdr:col>
                <xdr:colOff>381000</xdr:colOff>
                <xdr:row>0</xdr:row>
                <xdr:rowOff>0</xdr:rowOff>
              </to>
            </anchor>
          </controlPr>
        </control>
      </mc:Choice>
      <mc:Fallback>
        <control shapeId="3139" r:id="rId42" name="MultipleReportManagerInfoDCtb1"/>
      </mc:Fallback>
    </mc:AlternateContent>
    <mc:AlternateContent xmlns:mc="http://schemas.openxmlformats.org/markup-compatibility/2006">
      <mc:Choice Requires="x14">
        <control shapeId="3140" r:id="rId44" name="ReportSubmitManagerControlDCtb1">
          <controlPr defaultSize="0" autoLine="0" autoPict="0" r:id="rId45">
            <anchor moveWithCells="1">
              <from>
                <xdr:col>0</xdr:col>
                <xdr:colOff>0</xdr:colOff>
                <xdr:row>0</xdr:row>
                <xdr:rowOff>0</xdr:rowOff>
              </from>
              <to>
                <xdr:col>5</xdr:col>
                <xdr:colOff>381000</xdr:colOff>
                <xdr:row>0</xdr:row>
                <xdr:rowOff>0</xdr:rowOff>
              </to>
            </anchor>
          </controlPr>
        </control>
      </mc:Choice>
      <mc:Fallback>
        <control shapeId="3140" r:id="rId44" name="ReportSubmitManagerControlDCtb1"/>
      </mc:Fallback>
    </mc:AlternateContent>
    <mc:AlternateContent xmlns:mc="http://schemas.openxmlformats.org/markup-compatibility/2006">
      <mc:Choice Requires="x14">
        <control shapeId="3141" r:id="rId46" name="ReportSubmitControl_1DCtb1">
          <controlPr defaultSize="0" autoLine="0" autoPict="0" r:id="rId47">
            <anchor moveWithCells="1">
              <from>
                <xdr:col>0</xdr:col>
                <xdr:colOff>0</xdr:colOff>
                <xdr:row>0</xdr:row>
                <xdr:rowOff>0</xdr:rowOff>
              </from>
              <to>
                <xdr:col>5</xdr:col>
                <xdr:colOff>381000</xdr:colOff>
                <xdr:row>0</xdr:row>
                <xdr:rowOff>0</xdr:rowOff>
              </to>
            </anchor>
          </controlPr>
        </control>
      </mc:Choice>
      <mc:Fallback>
        <control shapeId="3141" r:id="rId46" name="ReportSubmitControl_1DCtb1"/>
      </mc:Fallback>
    </mc:AlternateContent>
    <mc:AlternateContent xmlns:mc="http://schemas.openxmlformats.org/markup-compatibility/2006">
      <mc:Choice Requires="x14">
        <control shapeId="3142" r:id="rId48" name="AnalyzerDynReportDC000tb1">
          <controlPr defaultSize="0" autoLine="0" autoPict="0" r:id="rId49">
            <anchor moveWithCells="1">
              <from>
                <xdr:col>0</xdr:col>
                <xdr:colOff>0</xdr:colOff>
                <xdr:row>0</xdr:row>
                <xdr:rowOff>0</xdr:rowOff>
              </from>
              <to>
                <xdr:col>5</xdr:col>
                <xdr:colOff>381000</xdr:colOff>
                <xdr:row>0</xdr:row>
                <xdr:rowOff>0</xdr:rowOff>
              </to>
            </anchor>
          </controlPr>
        </control>
      </mc:Choice>
      <mc:Fallback>
        <control shapeId="3142" r:id="rId48"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D9F2166D59D0A48A949E5097BE98C8F" ma:contentTypeVersion="4" ma:contentTypeDescription="Create a new document." ma:contentTypeScope="" ma:versionID="92ad84078f1c9538bc985af30a7d398b">
  <xsd:schema xmlns:xsd="http://www.w3.org/2001/XMLSchema" xmlns:xs="http://www.w3.org/2001/XMLSchema" xmlns:p="http://schemas.microsoft.com/office/2006/metadata/properties" xmlns:ns2="6f235531-6c84-4004-a2cf-aad1ef8f5c8f" targetNamespace="http://schemas.microsoft.com/office/2006/metadata/properties" ma:root="true" ma:fieldsID="9bcabc24eaed68f91bdd549c4daeecc0" ns2:_="">
    <xsd:import namespace="6f235531-6c84-4004-a2cf-aad1ef8f5c8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235531-6c84-4004-a2cf-aad1ef8f5c8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onfig xmlns="http://com.sap.sop/sopconfig">
  <template xmlns="">DP130 Demand Planning_G144_RET</template>
  <favorite xmlns=""/>
  <bookSettings xmlns="">
    <scenarios>
      <value>__BASELINE</value>
    </scenarios>
    <simulations>
      <value>__PLAN</value>
    </simulations>
    <planningUnits>
      <planningVersion>__BASELINE</planningVersion>
      <planningScenario>__PLAN</planningScenario>
      <timeRelativeFrom>0</timeRelativeFrom>
      <timeRelativeTo>130</timeRelativeTo>
    </planningUnits>
    <dimsDispOptnId>
      <value>LOCID</value>
      <value>PRDID</value>
    </dimsDispOptnId>
    <dimsDispOptnBoth/>
    <dimsTmpltFltrMandatory/>
    <dimsTmpltFltrOptional/>
    <planningScopeSopV2/>
  </bookSettings>
  <report_Sheet2 xmlns="">
    <settings>
      <flexibleTime>
        <time>
          <dimension>PERIODID0</dimension>
          <rolling>1</rolling>
          <mode>0</mode>
          <totalName/>
          <realTime>true</realTime>
          <fromAbsolute/>
          <toAbsolute/>
          <fromRelative>-730</fromRelative>
          <toRelative>729</toRelative>
          <fromTimeAbsolute>0001-01-01T00:00:00</fromTimeAbsolute>
          <toTimeAbsolute>0001-01-01T00:00:00</toTimeAbsolute>
          <fromTimeRelativeInDays>0</fromTimeRelativeInDays>
          <toTimeRelativeInDays>450</toTimeRelativeInDays>
        </time>
      </flexibleTime>
      <planningLevels>
        <value>PRDDESCR</value>
        <value>PRDID</value>
        <value>LOCID</value>
        <value>LOCDESCR</value>
      </planningLevels>
      <keyFigures>
        <value>ZGFAPPROVEDFCSTQTY</value>
      </keyFigures>
      <conversions>
        <conversion>
          <dimension>CURRTOID</dimension>
          <member>AUD</member>
        </conversion>
        <conversion>
          <dimension>UOMTOID</dimension>
          <member>PUM</member>
        </conversion>
      </conversions>
      <rowAxis>
        <value>PRDDESCR</value>
        <value>PRDID</value>
        <value>LOCID</value>
        <value>LOCDESCR</value>
        <value>KEY_FIGURES</value>
      </rowAxis>
      <columnAxis>
        <value>PERIODID0</value>
      </columnAxis>
      <alerts/>
      <dimsDispOptnId>
        <value>LOCID</value>
        <value>PRDID</value>
        <value>LOCID</value>
      </dimsDispOptnId>
      <dimsDispOptnBoth/>
      <dimsTmpltFltrMandatory/>
      <dimsTmpltFltrOptional>
        <value>MARKETSEGMENT</value>
      </dimsTmpltFltrOptional>
      <attributeSortings>
        <attributeSorting>
          <sortOrder>
            <sortOrderItem>__AZ</sortOrderItem>
          </sortOrder>
          <dimensionId>PRDDESCR</dimensionId>
          <description>Ascending</description>
          <name>A-Z</name>
          <id>-11</id>
        </attributeSorting>
        <attributeSorting>
          <sortOrder>
            <sortOrderItem>__AZ</sortOrderItem>
          </sortOrder>
          <dimensionId>PRDID</dimensionId>
          <description>Ascending</description>
          <name>A-Z</name>
          <id>-11</id>
        </attributeSorting>
        <attributeSorting>
          <sortOrder>
            <sortOrderItem>__AZ</sortOrderItem>
          </sortOrder>
          <dimensionId>LOCID</dimensionId>
          <description>Ascending</description>
          <name>A-Z</name>
          <id>-11</id>
        </attributeSorting>
        <attributeSorting>
          <sortOrder>
            <sortOrderItem>__AZ</sortOrderItem>
          </sortOrder>
          <dimensionId>LOCDESCR</dimensionId>
          <description>Ascending</description>
          <name>A-Z</name>
          <id>-11</id>
        </attributeSorting>
      </attributeSortings>
      <commentType>ALL</commentType>
      <isWorkbookFilterExcluded>false</isWorkbookFilterExcluded>
    </settings>
    <filter>
      <name/>
      <id>0</id>
      <conditions>
        <condition>
          <dimension>MARKETSEGMENT</dimension>
          <operator>EQ</operator>
          <values>
            <value>G610_01_01</value>
          </values>
          <relations/>
        </condition>
        <condition>
          <dimension>CATEGORY</dimension>
          <operator>EQ</operator>
          <values>
            <value>383</value>
          </values>
          <relations/>
        </condition>
        <condition>
          <dimension>PRDID</dimension>
          <operator>EQ</operator>
          <values>
            <value>168847</value>
            <value>168846</value>
            <value>168848</value>
            <value>179649</value>
            <value>179650</value>
          </values>
          <relations/>
        </condition>
        <condition>
          <dimension>LOCID</dimension>
          <operator>EQ</operator>
          <values>
            <value>6103</value>
            <value>6104</value>
            <value>6105</value>
            <value>6110</value>
            <value>6120</value>
            <value>6123</value>
            <value>6125</value>
            <value>6130</value>
            <value>6134</value>
          </values>
          <relations/>
        </condition>
      </conditions>
    </filter>
  </report_Sheet2>
</config>
</file>

<file path=customXml/item5.xml><?xml version="1.0" encoding="utf-8"?>
<config xmlns="http://com.sap.sop/sopconfigpv">
  <favoriteName xmlns=""/>
  <templateName xmlns="">DP130 Demand Planning_G144_RET</templateName>
  <IBPReportBookSettings xmlns="">{"isHistoryBook":false,"planningScope":{"versions":["__BASELINE"],"scenarios":["__PLAN"],"subnetworks":[],"fromRelative":"0","toRelative":"130"},"planningScopeSopV2":null,"scenarios":["__PLAN"],"versions":["__BASELINE"],"attributeBasedFilter":null,"attributesDisplayId":["LOCID","PRDID"],"attributesDisplayBoth":null,"attributesTemplateFilterMan":null,"attributesTemplateFilterOpt":null}</IBPReportBookSettings>
</config>
</file>

<file path=customXml/itemProps1.xml><?xml version="1.0" encoding="utf-8"?>
<ds:datastoreItem xmlns:ds="http://schemas.openxmlformats.org/officeDocument/2006/customXml" ds:itemID="{7B46218D-5039-4834-9BD2-65BDC5A9CE00}">
  <ds:schemaRefs>
    <ds:schemaRef ds:uri="http://schemas.microsoft.com/sharepoint/v3/contenttype/forms"/>
  </ds:schemaRefs>
</ds:datastoreItem>
</file>

<file path=customXml/itemProps2.xml><?xml version="1.0" encoding="utf-8"?>
<ds:datastoreItem xmlns:ds="http://schemas.openxmlformats.org/officeDocument/2006/customXml" ds:itemID="{66784DB3-683E-4B3E-86B2-65E1A632D1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235531-6c84-4004-a2cf-aad1ef8f5c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302C930-0374-44CE-B7C5-610E8899C41B}">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A9F5F7EC-08D2-4226-8E42-0CE394CBCA1C}">
  <ds:schemaRefs>
    <ds:schemaRef ds:uri="http://com.sap.sop/sopconfig"/>
    <ds:schemaRef ds:uri=""/>
  </ds:schemaRefs>
</ds:datastoreItem>
</file>

<file path=customXml/itemProps5.xml><?xml version="1.0" encoding="utf-8"?>
<ds:datastoreItem xmlns:ds="http://schemas.openxmlformats.org/officeDocument/2006/customXml" ds:itemID="{9509358B-F05E-4EF1-9CEF-46B3257AF53E}">
  <ds:schemaRefs>
    <ds:schemaRef ds:uri="http://com.sap.sop/sopconfigpv"/>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SapIbpChartFeeder</vt:lpstr>
      <vt:lpstr>IBPFormattingSheet</vt:lpstr>
      <vt:lpstr>G144_RET</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CONTI, ALBERTO</dc:creator>
  <cp:lastModifiedBy>Abhishek Khetrapal</cp:lastModifiedBy>
  <dcterms:created xsi:type="dcterms:W3CDTF">2012-11-19T20:56:01Z</dcterms:created>
  <dcterms:modified xsi:type="dcterms:W3CDTF">2025-10-15T22:43:17Z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ContentTypeId">
    <vt:lpwstr>0x010100DD9F2166D59D0A48A949E5097BE98C8F</vt:lpwstr>
  </property>
  <property fmtid="{D5CDD505-2E9C-101B-9397-08002B2CF9AE}" pid="4" name="CofWorkbookId">
    <vt:lpwstr>baf5bfe8-aa26-4a2e-b200-0a597cdea5e8</vt:lpwstr>
  </property>
  <property fmtid="{D5CDD505-2E9C-101B-9397-08002B2CF9AE}" pid="5" name="IbpWorkbookKeyString_GUID">
    <vt:lpwstr>5a2ea1d5-e592-4f96-966a-2c30b098251a</vt:lpwstr>
  </property>
</Properties>
</file>