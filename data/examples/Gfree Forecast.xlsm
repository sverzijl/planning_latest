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4.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omments1.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simeon.verzijl\Downloads\WPy64-31311b1\planning_latest\planning_latest\data\examples\"/>
    </mc:Choice>
  </mc:AlternateContent>
  <xr:revisionPtr revIDLastSave="0" documentId="13_ncr:1_{11BD5C24-B33E-41B2-994A-E2E4056CB178}" xr6:coauthVersionLast="47" xr6:coauthVersionMax="47" xr10:uidLastSave="{00000000-0000-0000-0000-000000000000}"/>
  <bookViews>
    <workbookView xWindow="-108" yWindow="-108" windowWidth="23256" windowHeight="14016" tabRatio="462" firstSheet="2" activeTab="2" xr2:uid="{00000000-000D-0000-FFFF-FFFF00000000}"/>
  </bookViews>
  <sheets>
    <sheet name="SapIbpChartFeeder" sheetId="6" state="hidden" r:id="rId1"/>
    <sheet name="IBPFormattingSheet" sheetId="12" state="hidden" r:id="rId2"/>
    <sheet name="G610_RET" sheetId="5" r:id="rId3"/>
  </sheets>
  <definedNames>
    <definedName name="__FPMExcelClient_CellBasedFunctionStatus" localSheetId="2" hidden="1">"2_1_2_2_2_2"</definedName>
    <definedName name="__FPMExcelClient_Connection" localSheetId="2">"{A63CB8EE-6674-452e-ACA5-65D5174D689E}_[https://my302556.scmibp1.ondemand.com/sap/sop/sopfnd/services/addin/excel/]_[SOP]_[GFIBPPRD01]_[]_[]_[false]_[True]\1"</definedName>
    <definedName name="_xlnm._FilterDatabase" localSheetId="2" hidden="1">G610_RET!$A$5:$DO$1690</definedName>
    <definedName name="_SOP">" "</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IBPFormattingSheet!$D$148</definedName>
    <definedName name="AddMemberFirst_1" localSheetId="1" hidden="1">IBPFormattingSheet!$D$41</definedName>
    <definedName name="AddMemberFirst_10" localSheetId="1" hidden="1">IBPFormattingSheet!$D$68</definedName>
    <definedName name="AddMemberFirst_11" localSheetId="1" hidden="1">IBPFormattingSheet!$D$71</definedName>
    <definedName name="AddMemberFirst_12" localSheetId="1" hidden="1">IBPFormattingSheet!$D$74</definedName>
    <definedName name="AddMemberFirst_13" localSheetId="1" hidden="1">IBPFormattingSheet!$D$77</definedName>
    <definedName name="AddMemberFirst_14" localSheetId="1" hidden="1">IBPFormattingSheet!$D$80</definedName>
    <definedName name="AddMemberFirst_15" localSheetId="1" hidden="1">IBPFormattingSheet!$D$83</definedName>
    <definedName name="AddMemberFirst_16" localSheetId="1" hidden="1">IBPFormattingSheet!$D$86</definedName>
    <definedName name="AddMemberFirst_17" localSheetId="1" hidden="1">IBPFormattingSheet!$D$89</definedName>
    <definedName name="AddMemberFirst_18" localSheetId="1" hidden="1">IBPFormattingSheet!$D$92</definedName>
    <definedName name="AddMemberFirst_19" localSheetId="1" hidden="1">IBPFormattingSheet!$D$95</definedName>
    <definedName name="AddMemberFirst_2" localSheetId="1" hidden="1">IBPFormattingSheet!$D$44</definedName>
    <definedName name="AddMemberFirst_20" localSheetId="1" hidden="1">IBPFormattingSheet!$D$98</definedName>
    <definedName name="AddMemberFirst_21" localSheetId="1" hidden="1">IBPFormattingSheet!$D$101</definedName>
    <definedName name="AddMemberFirst_22" localSheetId="1" hidden="1">IBPFormattingSheet!$D$104</definedName>
    <definedName name="AddMemberFirst_23" localSheetId="1" hidden="1">IBPFormattingSheet!$D$107</definedName>
    <definedName name="AddMemberFirst_24" localSheetId="1" hidden="1">IBPFormattingSheet!$D$110</definedName>
    <definedName name="AddMemberFirst_25" localSheetId="1" hidden="1">IBPFormattingSheet!$D$113</definedName>
    <definedName name="AddMemberFirst_26" localSheetId="1" hidden="1">IBPFormattingSheet!$D$116</definedName>
    <definedName name="AddMemberFirst_27" localSheetId="1" hidden="1">IBPFormattingSheet!$D$119</definedName>
    <definedName name="AddMemberFirst_28" localSheetId="1" hidden="1">IBPFormattingSheet!$D$122</definedName>
    <definedName name="AddMemberFirst_29" localSheetId="1" hidden="1">IBPFormattingSheet!$D$125</definedName>
    <definedName name="AddMemberFirst_3" localSheetId="1" hidden="1">IBPFormattingSheet!$D$47</definedName>
    <definedName name="AddMemberFirst_30" localSheetId="1" hidden="1">IBPFormattingSheet!$D$128</definedName>
    <definedName name="AddMemberFirst_31" localSheetId="1" hidden="1">IBPFormattingSheet!$D$131</definedName>
    <definedName name="AddMemberFirst_32" localSheetId="1" hidden="1">IBPFormattingSheet!$D$134</definedName>
    <definedName name="AddMemberFirst_33" localSheetId="1" hidden="1">IBPFormattingSheet!$D$137</definedName>
    <definedName name="AddMemberFirst_34" localSheetId="1" hidden="1">IBPFormattingSheet!$D$140</definedName>
    <definedName name="AddMemberFirst_35" localSheetId="1" hidden="1">IBPFormattingSheet!$D$143</definedName>
    <definedName name="AddMemberFirst_36" localSheetId="1" hidden="1">IBPFormattingSheet!$D$146</definedName>
    <definedName name="AddMemberFirst_4" localSheetId="1" hidden="1">IBPFormattingSheet!$D$50</definedName>
    <definedName name="AddMemberFirst_5" localSheetId="1" hidden="1">IBPFormattingSheet!$D$53</definedName>
    <definedName name="AddMemberFirst_6" localSheetId="1" hidden="1">IBPFormattingSheet!$D$56</definedName>
    <definedName name="AddMemberFirst_7" localSheetId="1" hidden="1">IBPFormattingSheet!$D$59</definedName>
    <definedName name="AddMemberFirst_8" localSheetId="1" hidden="1">IBPFormattingSheet!$D$62</definedName>
    <definedName name="AddMemberFirst_9" localSheetId="1" hidden="1">IBPFormattingSheet!$D$65</definedName>
    <definedName name="AddMemberSecond" localSheetId="1" hidden="1">IBPFormattingSheet!$D$187</definedName>
    <definedName name="AddMemberSecond_1" localSheetId="1" hidden="1">IBPFormattingSheet!$D$167</definedName>
    <definedName name="AddMemberSecond_2" localSheetId="1" hidden="1">IBPFormattingSheet!$D$170</definedName>
    <definedName name="AddMemberSecond_3" localSheetId="1" hidden="1">IBPFormattingSheet!$D$173</definedName>
    <definedName name="AddMemberSecond_4" localSheetId="1" hidden="1">IBPFormattingSheet!$D$176</definedName>
    <definedName name="AddMemberSecond_5" localSheetId="1" hidden="1">IBPFormattingSheet!$D$179</definedName>
    <definedName name="AddMemberSecond_6" localSheetId="1" hidden="1">IBPFormattingSheet!$D$182</definedName>
    <definedName name="AddMemberSecond_7" localSheetId="1" hidden="1">IBPFormattingSheet!$D$185</definedName>
    <definedName name="DataFirst" localSheetId="1" hidden="1">IBPFormattingSheet!$E$25:$G$25</definedName>
    <definedName name="DataSecond" localSheetId="1" hidden="1">IBPFormattingSheet!$E$202:$G$202</definedName>
    <definedName name="DataUseFirst" localSheetId="1" hidden="1">IBPFormattingSheet!$H$25</definedName>
    <definedName name="DataUseSecond" localSheetId="1" hidden="1">IBPFormattingSheet!$H$202</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IBPFormattingSheet!$F$199</definedName>
    <definedName name="EvenDataSecond" localSheetId="1" hidden="1">IBPFormattingSheet!$F$207</definedName>
    <definedName name="EvenDataUseFirst" localSheetId="1" hidden="1">IBPFormattingSheet!$H$199</definedName>
    <definedName name="EvenDataUseSecond" localSheetId="1" hidden="1">IBPFormattingSheet!$H$207</definedName>
    <definedName name="EvenHeaderFirst" localSheetId="1" hidden="1">IBPFormattingSheet!$J$199</definedName>
    <definedName name="EvenHeaderSecond" localSheetId="1" hidden="1">IBPFormattingSheet!$J$207</definedName>
    <definedName name="EvenHeaderUseFirst" localSheetId="1" hidden="1">IBPFormattingSheet!$L$199</definedName>
    <definedName name="EvenHeaderUseSecond" localSheetId="1" hidden="1">IBPFormattingSheet!$L$207</definedName>
    <definedName name="HeaderFirst" localSheetId="1" hidden="1">IBPFormattingSheet!$I$25:$K$25</definedName>
    <definedName name="HeaderSecond" localSheetId="1" hidden="1">IBPFormattingSheet!$I$202:$K$202</definedName>
    <definedName name="HeaderSmallGrid" localSheetId="1" hidden="1">IBPFormattingSheet!$A$1</definedName>
    <definedName name="HeaderUseFirst" localSheetId="1" hidden="1">IBPFormattingSheet!$L$25</definedName>
    <definedName name="HeaderUseSecond" localSheetId="1" hidden="1">IBPFormattingSheet!$L$202</definedName>
    <definedName name="HeaderUseSmallGrid" localSheetId="1" hidden="1">IBPFormattingSheet!$A$1</definedName>
    <definedName name="IBPClientFormattingSheet" localSheetId="1" hidden="1">"3_3"</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IBPFormattingSheet!$B$189</definedName>
    <definedName name="MemberFirstBlock" localSheetId="1" hidden="1">IBPFormattingSheet!$B$24:$B$149</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10" localSheetId="1" hidden="1">IBPFormattingSheet!$F$68</definedName>
    <definedName name="MemberFirstDataItem_11" localSheetId="1" hidden="1">IBPFormattingSheet!$F$71</definedName>
    <definedName name="MemberFirstDataItem_12" localSheetId="1" hidden="1">IBPFormattingSheet!$F$74</definedName>
    <definedName name="MemberFirstDataItem_13" localSheetId="1" hidden="1">IBPFormattingSheet!$F$77</definedName>
    <definedName name="MemberFirstDataItem_14" localSheetId="1" hidden="1">IBPFormattingSheet!$F$80</definedName>
    <definedName name="MemberFirstDataItem_15" localSheetId="1" hidden="1">IBPFormattingSheet!$F$83</definedName>
    <definedName name="MemberFirstDataItem_16" localSheetId="1" hidden="1">IBPFormattingSheet!$F$86</definedName>
    <definedName name="MemberFirstDataItem_17" localSheetId="1" hidden="1">IBPFormattingSheet!$F$89</definedName>
    <definedName name="MemberFirstDataItem_18" localSheetId="1" hidden="1">IBPFormattingSheet!$F$92</definedName>
    <definedName name="MemberFirstDataItem_19" localSheetId="1" hidden="1">IBPFormattingSheet!$F$95</definedName>
    <definedName name="MemberFirstDataItem_2" localSheetId="1" hidden="1">IBPFormattingSheet!$F$44</definedName>
    <definedName name="MemberFirstDataItem_20" localSheetId="1" hidden="1">IBPFormattingSheet!$F$98</definedName>
    <definedName name="MemberFirstDataItem_21" localSheetId="1" hidden="1">IBPFormattingSheet!$F$101</definedName>
    <definedName name="MemberFirstDataItem_22" localSheetId="1" hidden="1">IBPFormattingSheet!$F$104</definedName>
    <definedName name="MemberFirstDataItem_23" localSheetId="1" hidden="1">IBPFormattingSheet!$F$107</definedName>
    <definedName name="MemberFirstDataItem_24" localSheetId="1" hidden="1">IBPFormattingSheet!$F$110</definedName>
    <definedName name="MemberFirstDataItem_25" localSheetId="1" hidden="1">IBPFormattingSheet!$F$113</definedName>
    <definedName name="MemberFirstDataItem_26" localSheetId="1" hidden="1">IBPFormattingSheet!$F$116</definedName>
    <definedName name="MemberFirstDataItem_27" localSheetId="1" hidden="1">IBPFormattingSheet!$F$119</definedName>
    <definedName name="MemberFirstDataItem_28" localSheetId="1" hidden="1">IBPFormattingSheet!$F$122</definedName>
    <definedName name="MemberFirstDataItem_29" localSheetId="1" hidden="1">IBPFormattingSheet!$F$125</definedName>
    <definedName name="MemberFirstDataItem_3" localSheetId="1" hidden="1">IBPFormattingSheet!$F$47</definedName>
    <definedName name="MemberFirstDataItem_30" localSheetId="1" hidden="1">IBPFormattingSheet!$F$128</definedName>
    <definedName name="MemberFirstDataItem_31" localSheetId="1" hidden="1">IBPFormattingSheet!$F$131</definedName>
    <definedName name="MemberFirstDataItem_32" localSheetId="1" hidden="1">IBPFormattingSheet!$F$134</definedName>
    <definedName name="MemberFirstDataItem_33" localSheetId="1" hidden="1">IBPFormattingSheet!$F$137</definedName>
    <definedName name="MemberFirstDataItem_34" localSheetId="1" hidden="1">IBPFormattingSheet!$F$140</definedName>
    <definedName name="MemberFirstDataItem_35" localSheetId="1" hidden="1">IBPFormattingSheet!$F$143</definedName>
    <definedName name="MemberFirstDataItem_36" localSheetId="1" hidden="1">IBPFormattingSheet!$F$146</definedName>
    <definedName name="MemberFirstDataItem_4" localSheetId="1" hidden="1">IBPFormattingSheet!$F$50</definedName>
    <definedName name="MemberFirstDataItem_5" localSheetId="1" hidden="1">IBPFormattingSheet!$F$53</definedName>
    <definedName name="MemberFirstDataItem_6" localSheetId="1" hidden="1">IBPFormattingSheet!$F$56</definedName>
    <definedName name="MemberFirstDataItem_7" localSheetId="1" hidden="1">IBPFormattingSheet!$F$59</definedName>
    <definedName name="MemberFirstDataItem_8" localSheetId="1" hidden="1">IBPFormattingSheet!$F$62</definedName>
    <definedName name="MemberFirstDataItem_9" localSheetId="1" hidden="1">IBPFormattingSheet!$F$65</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10" localSheetId="1" hidden="1">IBPFormattingSheet!$H$68</definedName>
    <definedName name="MemberFirstDataUseItem_11" localSheetId="1" hidden="1">IBPFormattingSheet!$H$71</definedName>
    <definedName name="MemberFirstDataUseItem_12" localSheetId="1" hidden="1">IBPFormattingSheet!$H$74</definedName>
    <definedName name="MemberFirstDataUseItem_13" localSheetId="1" hidden="1">IBPFormattingSheet!$H$77</definedName>
    <definedName name="MemberFirstDataUseItem_14" localSheetId="1" hidden="1">IBPFormattingSheet!$H$80</definedName>
    <definedName name="MemberFirstDataUseItem_15" localSheetId="1" hidden="1">IBPFormattingSheet!$H$83</definedName>
    <definedName name="MemberFirstDataUseItem_16" localSheetId="1" hidden="1">IBPFormattingSheet!$H$86</definedName>
    <definedName name="MemberFirstDataUseItem_17" localSheetId="1" hidden="1">IBPFormattingSheet!$H$89</definedName>
    <definedName name="MemberFirstDataUseItem_18" localSheetId="1" hidden="1">IBPFormattingSheet!$H$92</definedName>
    <definedName name="MemberFirstDataUseItem_19" localSheetId="1" hidden="1">IBPFormattingSheet!$H$95</definedName>
    <definedName name="MemberFirstDataUseItem_2" localSheetId="1" hidden="1">IBPFormattingSheet!$H$44</definedName>
    <definedName name="MemberFirstDataUseItem_20" localSheetId="1" hidden="1">IBPFormattingSheet!$H$98</definedName>
    <definedName name="MemberFirstDataUseItem_21" localSheetId="1" hidden="1">IBPFormattingSheet!$H$101</definedName>
    <definedName name="MemberFirstDataUseItem_22" localSheetId="1" hidden="1">IBPFormattingSheet!$H$104</definedName>
    <definedName name="MemberFirstDataUseItem_23" localSheetId="1" hidden="1">IBPFormattingSheet!$H$107</definedName>
    <definedName name="MemberFirstDataUseItem_24" localSheetId="1" hidden="1">IBPFormattingSheet!$H$110</definedName>
    <definedName name="MemberFirstDataUseItem_25" localSheetId="1" hidden="1">IBPFormattingSheet!$H$113</definedName>
    <definedName name="MemberFirstDataUseItem_26" localSheetId="1" hidden="1">IBPFormattingSheet!$H$116</definedName>
    <definedName name="MemberFirstDataUseItem_27" localSheetId="1" hidden="1">IBPFormattingSheet!$H$119</definedName>
    <definedName name="MemberFirstDataUseItem_28" localSheetId="1" hidden="1">IBPFormattingSheet!$H$122</definedName>
    <definedName name="MemberFirstDataUseItem_29" localSheetId="1" hidden="1">IBPFormattingSheet!$H$125</definedName>
    <definedName name="MemberFirstDataUseItem_3" localSheetId="1" hidden="1">IBPFormattingSheet!$H$47</definedName>
    <definedName name="MemberFirstDataUseItem_30" localSheetId="1" hidden="1">IBPFormattingSheet!$H$128</definedName>
    <definedName name="MemberFirstDataUseItem_31" localSheetId="1" hidden="1">IBPFormattingSheet!$H$131</definedName>
    <definedName name="MemberFirstDataUseItem_32" localSheetId="1" hidden="1">IBPFormattingSheet!$H$134</definedName>
    <definedName name="MemberFirstDataUseItem_33" localSheetId="1" hidden="1">IBPFormattingSheet!$H$137</definedName>
    <definedName name="MemberFirstDataUseItem_34" localSheetId="1" hidden="1">IBPFormattingSheet!$H$140</definedName>
    <definedName name="MemberFirstDataUseItem_35" localSheetId="1" hidden="1">IBPFormattingSheet!$H$143</definedName>
    <definedName name="MemberFirstDataUseItem_36" localSheetId="1" hidden="1">IBPFormattingSheet!$H$146</definedName>
    <definedName name="MemberFirstDataUseItem_4" localSheetId="1" hidden="1">IBPFormattingSheet!$H$50</definedName>
    <definedName name="MemberFirstDataUseItem_5" localSheetId="1" hidden="1">IBPFormattingSheet!$H$53</definedName>
    <definedName name="MemberFirstDataUseItem_6" localSheetId="1" hidden="1">IBPFormattingSheet!$H$56</definedName>
    <definedName name="MemberFirstDataUseItem_7" localSheetId="1" hidden="1">IBPFormattingSheet!$H$59</definedName>
    <definedName name="MemberFirstDataUseItem_8" localSheetId="1" hidden="1">IBPFormattingSheet!$H$62</definedName>
    <definedName name="MemberFirstDataUseItem_9" localSheetId="1" hidden="1">IBPFormattingSheet!$H$65</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10" localSheetId="1" hidden="1">IBPFormattingSheet!$J$68</definedName>
    <definedName name="MemberFirstHeaderItem_11" localSheetId="1" hidden="1">IBPFormattingSheet!$J$71</definedName>
    <definedName name="MemberFirstHeaderItem_12" localSheetId="1" hidden="1">IBPFormattingSheet!$J$74</definedName>
    <definedName name="MemberFirstHeaderItem_13" localSheetId="1" hidden="1">IBPFormattingSheet!$J$77</definedName>
    <definedName name="MemberFirstHeaderItem_14" localSheetId="1" hidden="1">IBPFormattingSheet!$J$80</definedName>
    <definedName name="MemberFirstHeaderItem_15" localSheetId="1" hidden="1">IBPFormattingSheet!$J$83</definedName>
    <definedName name="MemberFirstHeaderItem_16" localSheetId="1" hidden="1">IBPFormattingSheet!$J$86</definedName>
    <definedName name="MemberFirstHeaderItem_17" localSheetId="1" hidden="1">IBPFormattingSheet!$J$89</definedName>
    <definedName name="MemberFirstHeaderItem_18" localSheetId="1" hidden="1">IBPFormattingSheet!$J$92</definedName>
    <definedName name="MemberFirstHeaderItem_19" localSheetId="1" hidden="1">IBPFormattingSheet!$J$95</definedName>
    <definedName name="MemberFirstHeaderItem_2" localSheetId="1" hidden="1">IBPFormattingSheet!$J$44</definedName>
    <definedName name="MemberFirstHeaderItem_20" localSheetId="1" hidden="1">IBPFormattingSheet!$J$98</definedName>
    <definedName name="MemberFirstHeaderItem_21" localSheetId="1" hidden="1">IBPFormattingSheet!$J$101</definedName>
    <definedName name="MemberFirstHeaderItem_22" localSheetId="1" hidden="1">IBPFormattingSheet!$J$104</definedName>
    <definedName name="MemberFirstHeaderItem_23" localSheetId="1" hidden="1">IBPFormattingSheet!$J$107</definedName>
    <definedName name="MemberFirstHeaderItem_24" localSheetId="1" hidden="1">IBPFormattingSheet!$J$110</definedName>
    <definedName name="MemberFirstHeaderItem_25" localSheetId="1" hidden="1">IBPFormattingSheet!$J$113</definedName>
    <definedName name="MemberFirstHeaderItem_26" localSheetId="1" hidden="1">IBPFormattingSheet!$J$116</definedName>
    <definedName name="MemberFirstHeaderItem_27" localSheetId="1" hidden="1">IBPFormattingSheet!$J$119</definedName>
    <definedName name="MemberFirstHeaderItem_28" localSheetId="1" hidden="1">IBPFormattingSheet!$J$122</definedName>
    <definedName name="MemberFirstHeaderItem_29" localSheetId="1" hidden="1">IBPFormattingSheet!$J$125</definedName>
    <definedName name="MemberFirstHeaderItem_3" localSheetId="1" hidden="1">IBPFormattingSheet!$J$47</definedName>
    <definedName name="MemberFirstHeaderItem_30" localSheetId="1" hidden="1">IBPFormattingSheet!$J$128</definedName>
    <definedName name="MemberFirstHeaderItem_31" localSheetId="1" hidden="1">IBPFormattingSheet!$J$131</definedName>
    <definedName name="MemberFirstHeaderItem_32" localSheetId="1" hidden="1">IBPFormattingSheet!$J$134</definedName>
    <definedName name="MemberFirstHeaderItem_33" localSheetId="1" hidden="1">IBPFormattingSheet!$J$137</definedName>
    <definedName name="MemberFirstHeaderItem_34" localSheetId="1" hidden="1">IBPFormattingSheet!$J$140</definedName>
    <definedName name="MemberFirstHeaderItem_35" localSheetId="1" hidden="1">IBPFormattingSheet!$J$143</definedName>
    <definedName name="MemberFirstHeaderItem_36" localSheetId="1" hidden="1">IBPFormattingSheet!$J$146</definedName>
    <definedName name="MemberFirstHeaderItem_4" localSheetId="1" hidden="1">IBPFormattingSheet!$J$50</definedName>
    <definedName name="MemberFirstHeaderItem_5" localSheetId="1" hidden="1">IBPFormattingSheet!$J$53</definedName>
    <definedName name="MemberFirstHeaderItem_6" localSheetId="1" hidden="1">IBPFormattingSheet!$J$56</definedName>
    <definedName name="MemberFirstHeaderItem_7" localSheetId="1" hidden="1">IBPFormattingSheet!$J$59</definedName>
    <definedName name="MemberFirstHeaderItem_8" localSheetId="1" hidden="1">IBPFormattingSheet!$J$62</definedName>
    <definedName name="MemberFirstHeaderItem_9" localSheetId="1" hidden="1">IBPFormattingSheet!$J$65</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10" localSheetId="1" hidden="1">IBPFormattingSheet!$L$68</definedName>
    <definedName name="MemberFirstHeaderUseItem_11" localSheetId="1" hidden="1">IBPFormattingSheet!$L$71</definedName>
    <definedName name="MemberFirstHeaderUseItem_12" localSheetId="1" hidden="1">IBPFormattingSheet!$L$74</definedName>
    <definedName name="MemberFirstHeaderUseItem_13" localSheetId="1" hidden="1">IBPFormattingSheet!$L$77</definedName>
    <definedName name="MemberFirstHeaderUseItem_14" localSheetId="1" hidden="1">IBPFormattingSheet!$L$80</definedName>
    <definedName name="MemberFirstHeaderUseItem_15" localSheetId="1" hidden="1">IBPFormattingSheet!$L$83</definedName>
    <definedName name="MemberFirstHeaderUseItem_16" localSheetId="1" hidden="1">IBPFormattingSheet!$L$86</definedName>
    <definedName name="MemberFirstHeaderUseItem_17" localSheetId="1" hidden="1">IBPFormattingSheet!$L$89</definedName>
    <definedName name="MemberFirstHeaderUseItem_18" localSheetId="1" hidden="1">IBPFormattingSheet!$L$92</definedName>
    <definedName name="MemberFirstHeaderUseItem_19" localSheetId="1" hidden="1">IBPFormattingSheet!$L$95</definedName>
    <definedName name="MemberFirstHeaderUseItem_2" localSheetId="1" hidden="1">IBPFormattingSheet!$L$44</definedName>
    <definedName name="MemberFirstHeaderUseItem_20" localSheetId="1" hidden="1">IBPFormattingSheet!$L$98</definedName>
    <definedName name="MemberFirstHeaderUseItem_21" localSheetId="1" hidden="1">IBPFormattingSheet!$L$101</definedName>
    <definedName name="MemberFirstHeaderUseItem_22" localSheetId="1" hidden="1">IBPFormattingSheet!$L$104</definedName>
    <definedName name="MemberFirstHeaderUseItem_23" localSheetId="1" hidden="1">IBPFormattingSheet!$L$107</definedName>
    <definedName name="MemberFirstHeaderUseItem_24" localSheetId="1" hidden="1">IBPFormattingSheet!$L$110</definedName>
    <definedName name="MemberFirstHeaderUseItem_25" localSheetId="1" hidden="1">IBPFormattingSheet!$L$113</definedName>
    <definedName name="MemberFirstHeaderUseItem_26" localSheetId="1" hidden="1">IBPFormattingSheet!$L$116</definedName>
    <definedName name="MemberFirstHeaderUseItem_27" localSheetId="1" hidden="1">IBPFormattingSheet!$L$119</definedName>
    <definedName name="MemberFirstHeaderUseItem_28" localSheetId="1" hidden="1">IBPFormattingSheet!$L$122</definedName>
    <definedName name="MemberFirstHeaderUseItem_29" localSheetId="1" hidden="1">IBPFormattingSheet!$L$125</definedName>
    <definedName name="MemberFirstHeaderUseItem_3" localSheetId="1" hidden="1">IBPFormattingSheet!$L$47</definedName>
    <definedName name="MemberFirstHeaderUseItem_30" localSheetId="1" hidden="1">IBPFormattingSheet!$L$128</definedName>
    <definedName name="MemberFirstHeaderUseItem_31" localSheetId="1" hidden="1">IBPFormattingSheet!$L$131</definedName>
    <definedName name="MemberFirstHeaderUseItem_32" localSheetId="1" hidden="1">IBPFormattingSheet!$L$134</definedName>
    <definedName name="MemberFirstHeaderUseItem_33" localSheetId="1" hidden="1">IBPFormattingSheet!$L$137</definedName>
    <definedName name="MemberFirstHeaderUseItem_34" localSheetId="1" hidden="1">IBPFormattingSheet!$L$140</definedName>
    <definedName name="MemberFirstHeaderUseItem_35" localSheetId="1" hidden="1">IBPFormattingSheet!$L$143</definedName>
    <definedName name="MemberFirstHeaderUseItem_36" localSheetId="1" hidden="1">IBPFormattingSheet!$L$146</definedName>
    <definedName name="MemberFirstHeaderUseItem_4" localSheetId="1" hidden="1">IBPFormattingSheet!$L$50</definedName>
    <definedName name="MemberFirstHeaderUseItem_5" localSheetId="1" hidden="1">IBPFormattingSheet!$L$53</definedName>
    <definedName name="MemberFirstHeaderUseItem_6" localSheetId="1" hidden="1">IBPFormattingSheet!$L$56</definedName>
    <definedName name="MemberFirstHeaderUseItem_7" localSheetId="1" hidden="1">IBPFormattingSheet!$L$59</definedName>
    <definedName name="MemberFirstHeaderUseItem_8" localSheetId="1" hidden="1">IBPFormattingSheet!$L$62</definedName>
    <definedName name="MemberFirstHeaderUseItem_9" localSheetId="1" hidden="1">IBPFormattingSheet!$L$65</definedName>
    <definedName name="MemberFirstHeaderUseLocal" localSheetId="1" hidden="1">IBPFormattingSheet!$L$33</definedName>
    <definedName name="MemberSecondBlock" localSheetId="1" hidden="1">IBPFormattingSheet!$B$150:$B$188</definedName>
    <definedName name="MemberSecondDataCalculated" localSheetId="1" hidden="1">IBPFormattingSheet!$F$153</definedName>
    <definedName name="MemberSecondDataChanged" localSheetId="1" hidden="1">IBPFormattingSheet!$F$162</definedName>
    <definedName name="MemberSecondDataCustom" localSheetId="1" hidden="1">IBPFormattingSheet!#REF!</definedName>
    <definedName name="MemberSecondDataInputable" localSheetId="1" hidden="1">IBPFormattingSheet!$F$156</definedName>
    <definedName name="MemberSecondDataItem_1" localSheetId="1" hidden="1">IBPFormattingSheet!$F$167</definedName>
    <definedName name="MemberSecondDataItem_2" localSheetId="1" hidden="1">IBPFormattingSheet!$F$170</definedName>
    <definedName name="MemberSecondDataItem_3" localSheetId="1" hidden="1">IBPFormattingSheet!$F$173</definedName>
    <definedName name="MemberSecondDataItem_4" localSheetId="1" hidden="1">IBPFormattingSheet!$F$176</definedName>
    <definedName name="MemberSecondDataItem_5" localSheetId="1" hidden="1">IBPFormattingSheet!$F$179</definedName>
    <definedName name="MemberSecondDataItem_6" localSheetId="1" hidden="1">IBPFormattingSheet!$F$182</definedName>
    <definedName name="MemberSecondDataItem_7" localSheetId="1" hidden="1">IBPFormattingSheet!$F$185</definedName>
    <definedName name="MemberSecondDataLocal" localSheetId="1" hidden="1">IBPFormattingSheet!$F$159</definedName>
    <definedName name="MemberSecondDataUseCalculated" localSheetId="1" hidden="1">IBPFormattingSheet!$H$153</definedName>
    <definedName name="MemberSecondDataUseChanged" localSheetId="1" hidden="1">IBPFormattingSheet!$H$162</definedName>
    <definedName name="MemberSecondDataUseCustom" localSheetId="1" hidden="1">IBPFormattingSheet!#REF!</definedName>
    <definedName name="MemberSecondDataUseInputable" localSheetId="1" hidden="1">IBPFormattingSheet!$H$156</definedName>
    <definedName name="MemberSecondDataUseItem_1" localSheetId="1" hidden="1">IBPFormattingSheet!$H$167</definedName>
    <definedName name="MemberSecondDataUseItem_2" localSheetId="1" hidden="1">IBPFormattingSheet!$H$170</definedName>
    <definedName name="MemberSecondDataUseItem_3" localSheetId="1" hidden="1">IBPFormattingSheet!$H$173</definedName>
    <definedName name="MemberSecondDataUseItem_4" localSheetId="1" hidden="1">IBPFormattingSheet!$H$176</definedName>
    <definedName name="MemberSecondDataUseItem_5" localSheetId="1" hidden="1">IBPFormattingSheet!$H$179</definedName>
    <definedName name="MemberSecondDataUseItem_6" localSheetId="1" hidden="1">IBPFormattingSheet!$H$182</definedName>
    <definedName name="MemberSecondDataUseItem_7" localSheetId="1" hidden="1">IBPFormattingSheet!$H$185</definedName>
    <definedName name="MemberSecondDataUseLocal" localSheetId="1" hidden="1">IBPFormattingSheet!$H$159</definedName>
    <definedName name="MemberSecondHeaderCalculated" localSheetId="1" hidden="1">IBPFormattingSheet!$J$153</definedName>
    <definedName name="MemberSecondHeaderChanged" localSheetId="1" hidden="1">IBPFormattingSheet!$J$162</definedName>
    <definedName name="MemberSecondHeaderCustom" localSheetId="1" hidden="1">IBPFormattingSheet!#REF!</definedName>
    <definedName name="MemberSecondHeaderInputable" localSheetId="1" hidden="1">IBPFormattingSheet!$J$156</definedName>
    <definedName name="MemberSecondHeaderItem_1" localSheetId="1" hidden="1">IBPFormattingSheet!$J$167</definedName>
    <definedName name="MemberSecondHeaderItem_2" localSheetId="1" hidden="1">IBPFormattingSheet!$J$170</definedName>
    <definedName name="MemberSecondHeaderItem_3" localSheetId="1" hidden="1">IBPFormattingSheet!$J$173</definedName>
    <definedName name="MemberSecondHeaderItem_4" localSheetId="1" hidden="1">IBPFormattingSheet!$J$176</definedName>
    <definedName name="MemberSecondHeaderItem_5" localSheetId="1" hidden="1">IBPFormattingSheet!$J$179</definedName>
    <definedName name="MemberSecondHeaderItem_6" localSheetId="1" hidden="1">IBPFormattingSheet!$J$182</definedName>
    <definedName name="MemberSecondHeaderItem_7" localSheetId="1" hidden="1">IBPFormattingSheet!$J$185</definedName>
    <definedName name="MemberSecondHeaderLocal" localSheetId="1" hidden="1">IBPFormattingSheet!$J$159</definedName>
    <definedName name="MemberSecondHeaderUseCalculated" localSheetId="1" hidden="1">IBPFormattingSheet!$L$153</definedName>
    <definedName name="MemberSecondHeaderUseChanged" localSheetId="1" hidden="1">IBPFormattingSheet!$L$162</definedName>
    <definedName name="MemberSecondHeaderUseCustom" localSheetId="1" hidden="1">IBPFormattingSheet!#REF!</definedName>
    <definedName name="MemberSecondHeaderUseInputable" localSheetId="1" hidden="1">IBPFormattingSheet!$L$156</definedName>
    <definedName name="MemberSecondHeaderUseItem_1" localSheetId="1" hidden="1">IBPFormattingSheet!$L$167</definedName>
    <definedName name="MemberSecondHeaderUseItem_2" localSheetId="1" hidden="1">IBPFormattingSheet!$L$170</definedName>
    <definedName name="MemberSecondHeaderUseItem_3" localSheetId="1" hidden="1">IBPFormattingSheet!$L$173</definedName>
    <definedName name="MemberSecondHeaderUseItem_4" localSheetId="1" hidden="1">IBPFormattingSheet!$L$176</definedName>
    <definedName name="MemberSecondHeaderUseItem_5" localSheetId="1" hidden="1">IBPFormattingSheet!$L$179</definedName>
    <definedName name="MemberSecondHeaderUseItem_6" localSheetId="1" hidden="1">IBPFormattingSheet!$L$182</definedName>
    <definedName name="MemberSecondHeaderUseItem_7" localSheetId="1" hidden="1">IBPFormattingSheet!$L$185</definedName>
    <definedName name="MemberSecondHeaderUseLocal" localSheetId="1" hidden="1">IBPFormattingSheet!$L$159</definedName>
    <definedName name="OddDataFirst" localSheetId="1" hidden="1">IBPFormattingSheet!$F$196</definedName>
    <definedName name="OddDataSecond" localSheetId="1" hidden="1">IBPFormattingSheet!$F$204</definedName>
    <definedName name="OddDataUseFirst" localSheetId="1" hidden="1">IBPFormattingSheet!$H$196</definedName>
    <definedName name="OddDataUseSecond" localSheetId="1" hidden="1">IBPFormattingSheet!$H$204</definedName>
    <definedName name="OddEvenEndBlock" localSheetId="1" hidden="1">IBPFormattingSheet!$B$209</definedName>
    <definedName name="OddEvenFirstBlock" localSheetId="1" hidden="1">IBPFormattingSheet!$B$193:$B$200</definedName>
    <definedName name="OddEvenSecondBlock" localSheetId="1" hidden="1">IBPFormattingSheet!$B$201:$B$208</definedName>
    <definedName name="OddHeaderFirst" localSheetId="1" hidden="1">IBPFormattingSheet!$J$196</definedName>
    <definedName name="OddHeaderSecond" localSheetId="1" hidden="1">IBPFormattingSheet!$J$204</definedName>
    <definedName name="OddHeaderUseFirst" localSheetId="1" hidden="1">IBPFormattingSheet!$L$196</definedName>
    <definedName name="OddHeaderUseSecond" localSheetId="1" hidden="1">IBPFormattingSheet!$L$204</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"PD6"</definedName>
    <definedName name="SOP_Connection_Name">"Demand Planning"</definedName>
    <definedName name="SOP_Favorite_Name">" "</definedName>
    <definedName name="SOP_Filter" localSheetId="2">{"Market Segment = G610_01_01","Category = Gluten Free","Product ID = 168847; 168846; 168848; 179649; 179650","Location ID = 6103; 6104; 6105; 6110; 6120; 6123; 6125; 6130"}</definedName>
    <definedName name="SOP_Filter" localSheetId="1">{" "}</definedName>
    <definedName name="SOP_Filter">{" "}</definedName>
    <definedName name="SOP_Filter_Criteria_Count" localSheetId="2">4</definedName>
    <definedName name="SOP_Filter_Name" localSheetId="2">"(Ad Hoc Filter)"</definedName>
    <definedName name="SOP_Heading1" localSheetId="2">"Key Figure"</definedName>
    <definedName name="SOP_Heading10" localSheetId="2">" "</definedName>
    <definedName name="SOP_Heading11" localSheetId="2">" "</definedName>
    <definedName name="SOP_Heading12" localSheetId="2">" "</definedName>
    <definedName name="SOP_Heading13" localSheetId="2">" "</definedName>
    <definedName name="SOP_Heading14" localSheetId="2">" "</definedName>
    <definedName name="SOP_Heading15" localSheetId="2">" "</definedName>
    <definedName name="SOP_Heading2" localSheetId="2">"Location"</definedName>
    <definedName name="SOP_Heading3" localSheetId="2">"Location ID"</definedName>
    <definedName name="SOP_Heading4" localSheetId="2">"Product ID"</definedName>
    <definedName name="SOP_Heading5" localSheetId="2">"Product Desc"</definedName>
    <definedName name="SOP_Heading6" localSheetId="2">" "</definedName>
    <definedName name="SOP_Heading7" localSheetId="2">" "</definedName>
    <definedName name="SOP_Heading8" localSheetId="2">" "</definedName>
    <definedName name="SOP_Heading9" localSheetId="2">" "</definedName>
    <definedName name="SOP_Planning_Area" localSheetId="1">"SAP6PFT"</definedName>
    <definedName name="SOP_Planning_Area">"GFIBPPRD01"</definedName>
    <definedName name="SOP_Planning_Scope" localSheetId="1">" "</definedName>
    <definedName name="SOP_Planning_Scope">" "</definedName>
    <definedName name="SOP_Planning_Scope_v2">" "</definedName>
    <definedName name="SOP_Refresh_Timestamp" localSheetId="1">43129.8290046296</definedName>
    <definedName name="SOP_Refresh_Timestamp">45937.6144328704</definedName>
    <definedName name="SOP_TargetCurrency" localSheetId="2">"AUD"</definedName>
    <definedName name="SOP_TargetUoM" localSheetId="2">"PUM"</definedName>
    <definedName name="SOP_Template_Name">"DP130 Demand Planning_G144_RET"</definedName>
    <definedName name="SOP_Value_Based_Filter" localSheetId="2">{" "}</definedName>
    <definedName name="SOP_Value_Based_Filter_Name" localSheetId="2">"(None)"</definedName>
    <definedName name="SOP_WB_Filter">{" "}</definedName>
    <definedName name="SOP_WB_Filter_Criteria_Count">0</definedName>
    <definedName name="SOP_WB_Filter_Name">"(None)"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5" l="1"/>
  <c r="K5" i="5"/>
  <c r="S5" i="5"/>
  <c r="AA5" i="5"/>
  <c r="AI5" i="5"/>
  <c r="AQ5" i="5"/>
  <c r="AY5" i="5"/>
  <c r="BG5" i="5"/>
  <c r="BO5" i="5"/>
  <c r="BW5" i="5"/>
  <c r="CE5" i="5"/>
  <c r="CM5" i="5"/>
  <c r="CU5" i="5"/>
  <c r="DC5" i="5"/>
  <c r="DK5" i="5"/>
  <c r="DS5" i="5"/>
  <c r="EA5" i="5"/>
  <c r="EI5" i="5"/>
  <c r="EQ5" i="5"/>
  <c r="EY5" i="5"/>
  <c r="FG5" i="5"/>
  <c r="FO5" i="5"/>
  <c r="FW5" i="5"/>
  <c r="GE5" i="5"/>
  <c r="GM5" i="5"/>
  <c r="GU5" i="5"/>
  <c r="HC5" i="5"/>
  <c r="HK5" i="5"/>
  <c r="HS5" i="5"/>
  <c r="IA5" i="5"/>
  <c r="II5" i="5"/>
  <c r="IQ5" i="5"/>
  <c r="IY5" i="5"/>
  <c r="JG5" i="5"/>
  <c r="JO5" i="5"/>
  <c r="JW5" i="5"/>
  <c r="KE5" i="5"/>
  <c r="KM5" i="5"/>
  <c r="KU5" i="5"/>
  <c r="LC5" i="5"/>
  <c r="LK5" i="5"/>
  <c r="LS5" i="5"/>
  <c r="MA5" i="5"/>
  <c r="MI5" i="5"/>
  <c r="MQ5" i="5"/>
  <c r="MY5" i="5"/>
  <c r="NG5" i="5"/>
  <c r="NO5" i="5"/>
  <c r="NW5" i="5"/>
  <c r="OE5" i="5"/>
  <c r="OM5" i="5"/>
  <c r="OU5" i="5"/>
  <c r="PC5" i="5"/>
  <c r="PK5" i="5"/>
  <c r="PS5" i="5"/>
  <c r="QA5" i="5"/>
  <c r="QI5" i="5"/>
  <c r="QQ5" i="5"/>
  <c r="OV5" i="5"/>
  <c r="PL5" i="5"/>
  <c r="PT5" i="5"/>
  <c r="QB5" i="5"/>
  <c r="QJ5" i="5"/>
  <c r="QR5" i="5"/>
  <c r="NY5" i="5"/>
  <c r="PE5" i="5"/>
  <c r="PM5" i="5"/>
  <c r="QS5" i="5"/>
  <c r="QD5" i="5"/>
  <c r="HW5" i="5"/>
  <c r="IE5" i="5"/>
  <c r="IU5" i="5"/>
  <c r="JK5" i="5"/>
  <c r="JS5" i="5"/>
  <c r="KA5" i="5"/>
  <c r="KI5" i="5"/>
  <c r="KY5" i="5"/>
  <c r="LG5" i="5"/>
  <c r="MM5" i="5"/>
  <c r="NK5" i="5"/>
  <c r="OA5" i="5"/>
  <c r="OY5" i="5"/>
  <c r="PW5" i="5"/>
  <c r="AN5" i="5"/>
  <c r="BD5" i="5"/>
  <c r="CJ5" i="5"/>
  <c r="CZ5" i="5"/>
  <c r="EV5" i="5"/>
  <c r="FT5" i="5"/>
  <c r="GJ5" i="5"/>
  <c r="GZ5" i="5"/>
  <c r="IF5" i="5"/>
  <c r="JL5" i="5"/>
  <c r="KJ5" i="5"/>
  <c r="LP5" i="5"/>
  <c r="MV5" i="5"/>
  <c r="OB5" i="5"/>
  <c r="OZ5" i="5"/>
  <c r="QN5" i="5"/>
  <c r="AG5" i="5"/>
  <c r="FU5" i="5"/>
  <c r="IO5" i="5"/>
  <c r="JM5" i="5"/>
  <c r="MO5" i="5"/>
  <c r="L5" i="5"/>
  <c r="T5" i="5"/>
  <c r="AB5" i="5"/>
  <c r="AJ5" i="5"/>
  <c r="AR5" i="5"/>
  <c r="AZ5" i="5"/>
  <c r="BH5" i="5"/>
  <c r="BP5" i="5"/>
  <c r="BX5" i="5"/>
  <c r="CF5" i="5"/>
  <c r="CN5" i="5"/>
  <c r="CV5" i="5"/>
  <c r="DD5" i="5"/>
  <c r="DL5" i="5"/>
  <c r="DT5" i="5"/>
  <c r="EB5" i="5"/>
  <c r="EJ5" i="5"/>
  <c r="ER5" i="5"/>
  <c r="EZ5" i="5"/>
  <c r="FH5" i="5"/>
  <c r="FP5" i="5"/>
  <c r="FX5" i="5"/>
  <c r="GF5" i="5"/>
  <c r="GN5" i="5"/>
  <c r="GV5" i="5"/>
  <c r="HD5" i="5"/>
  <c r="HL5" i="5"/>
  <c r="HT5" i="5"/>
  <c r="IB5" i="5"/>
  <c r="IJ5" i="5"/>
  <c r="IR5" i="5"/>
  <c r="IZ5" i="5"/>
  <c r="JH5" i="5"/>
  <c r="JP5" i="5"/>
  <c r="JX5" i="5"/>
  <c r="KF5" i="5"/>
  <c r="KN5" i="5"/>
  <c r="KV5" i="5"/>
  <c r="LD5" i="5"/>
  <c r="LL5" i="5"/>
  <c r="LT5" i="5"/>
  <c r="MB5" i="5"/>
  <c r="MJ5" i="5"/>
  <c r="MR5" i="5"/>
  <c r="MZ5" i="5"/>
  <c r="NH5" i="5"/>
  <c r="NP5" i="5"/>
  <c r="NX5" i="5"/>
  <c r="OF5" i="5"/>
  <c r="ON5" i="5"/>
  <c r="PD5" i="5"/>
  <c r="NI5" i="5"/>
  <c r="OG5" i="5"/>
  <c r="OW5" i="5"/>
  <c r="PU5" i="5"/>
  <c r="QC5" i="5"/>
  <c r="QK5" i="5"/>
  <c r="PN5" i="5"/>
  <c r="QL5" i="5"/>
  <c r="IM5" i="5"/>
  <c r="JC5" i="5"/>
  <c r="NL5" i="5"/>
  <c r="PH5" i="5"/>
  <c r="BE5" i="5"/>
  <c r="CS5" i="5"/>
  <c r="DI5" i="5"/>
  <c r="HA5" i="5"/>
  <c r="HY5" i="5"/>
  <c r="JU5" i="5"/>
  <c r="LA5" i="5"/>
  <c r="LY5" i="5"/>
  <c r="MW5" i="5"/>
  <c r="NM5" i="5"/>
  <c r="OS5" i="5"/>
  <c r="PA5" i="5"/>
  <c r="PY5" i="5"/>
  <c r="M5" i="5"/>
  <c r="U5" i="5"/>
  <c r="AC5" i="5"/>
  <c r="AK5" i="5"/>
  <c r="AS5" i="5"/>
  <c r="BA5" i="5"/>
  <c r="BI5" i="5"/>
  <c r="BQ5" i="5"/>
  <c r="BY5" i="5"/>
  <c r="CG5" i="5"/>
  <c r="CO5" i="5"/>
  <c r="CW5" i="5"/>
  <c r="DE5" i="5"/>
  <c r="DM5" i="5"/>
  <c r="DU5" i="5"/>
  <c r="EC5" i="5"/>
  <c r="EK5" i="5"/>
  <c r="ES5" i="5"/>
  <c r="FA5" i="5"/>
  <c r="FI5" i="5"/>
  <c r="FQ5" i="5"/>
  <c r="FY5" i="5"/>
  <c r="GG5" i="5"/>
  <c r="GO5" i="5"/>
  <c r="GW5" i="5"/>
  <c r="HE5" i="5"/>
  <c r="HM5" i="5"/>
  <c r="HU5" i="5"/>
  <c r="IC5" i="5"/>
  <c r="IK5" i="5"/>
  <c r="IS5" i="5"/>
  <c r="JA5" i="5"/>
  <c r="JI5" i="5"/>
  <c r="JQ5" i="5"/>
  <c r="JY5" i="5"/>
  <c r="KG5" i="5"/>
  <c r="KO5" i="5"/>
  <c r="KW5" i="5"/>
  <c r="LE5" i="5"/>
  <c r="LM5" i="5"/>
  <c r="LU5" i="5"/>
  <c r="MC5" i="5"/>
  <c r="MK5" i="5"/>
  <c r="MS5" i="5"/>
  <c r="NA5" i="5"/>
  <c r="NQ5" i="5"/>
  <c r="OO5" i="5"/>
  <c r="P5" i="5"/>
  <c r="AV5" i="5"/>
  <c r="BT5" i="5"/>
  <c r="DX5" i="5"/>
  <c r="FD5" i="5"/>
  <c r="GB5" i="5"/>
  <c r="HH5" i="5"/>
  <c r="HX5" i="5"/>
  <c r="JD5" i="5"/>
  <c r="JT5" i="5"/>
  <c r="KZ5" i="5"/>
  <c r="LX5" i="5"/>
  <c r="ND5" i="5"/>
  <c r="OR5" i="5"/>
  <c r="PP5" i="5"/>
  <c r="QF5" i="5"/>
  <c r="AW5" i="5"/>
  <c r="CK5" i="5"/>
  <c r="DQ5" i="5"/>
  <c r="FE5" i="5"/>
  <c r="GC5" i="5"/>
  <c r="HQ5" i="5"/>
  <c r="LQ5" i="5"/>
  <c r="NE5" i="5"/>
  <c r="OC5" i="5"/>
  <c r="PQ5" i="5"/>
  <c r="QO5" i="5"/>
  <c r="N5" i="5"/>
  <c r="V5" i="5"/>
  <c r="AD5" i="5"/>
  <c r="AL5" i="5"/>
  <c r="AT5" i="5"/>
  <c r="BB5" i="5"/>
  <c r="BJ5" i="5"/>
  <c r="BR5" i="5"/>
  <c r="BZ5" i="5"/>
  <c r="CH5" i="5"/>
  <c r="CP5" i="5"/>
  <c r="CX5" i="5"/>
  <c r="DF5" i="5"/>
  <c r="DN5" i="5"/>
  <c r="DV5" i="5"/>
  <c r="ED5" i="5"/>
  <c r="EL5" i="5"/>
  <c r="ET5" i="5"/>
  <c r="FB5" i="5"/>
  <c r="FJ5" i="5"/>
  <c r="FR5" i="5"/>
  <c r="FZ5" i="5"/>
  <c r="GH5" i="5"/>
  <c r="GP5" i="5"/>
  <c r="GX5" i="5"/>
  <c r="HF5" i="5"/>
  <c r="HN5" i="5"/>
  <c r="HV5" i="5"/>
  <c r="ID5" i="5"/>
  <c r="IL5" i="5"/>
  <c r="IT5" i="5"/>
  <c r="JB5" i="5"/>
  <c r="JJ5" i="5"/>
  <c r="JR5" i="5"/>
  <c r="JZ5" i="5"/>
  <c r="KH5" i="5"/>
  <c r="KP5" i="5"/>
  <c r="KX5" i="5"/>
  <c r="LF5" i="5"/>
  <c r="LN5" i="5"/>
  <c r="LV5" i="5"/>
  <c r="MD5" i="5"/>
  <c r="ML5" i="5"/>
  <c r="MT5" i="5"/>
  <c r="NB5" i="5"/>
  <c r="NJ5" i="5"/>
  <c r="NR5" i="5"/>
  <c r="NZ5" i="5"/>
  <c r="OH5" i="5"/>
  <c r="OP5" i="5"/>
  <c r="OX5" i="5"/>
  <c r="PF5" i="5"/>
  <c r="PV5" i="5"/>
  <c r="KQ5" i="5"/>
  <c r="LO5" i="5"/>
  <c r="LW5" i="5"/>
  <c r="MU5" i="5"/>
  <c r="OQ5" i="5"/>
  <c r="PO5" i="5"/>
  <c r="QM5" i="5"/>
  <c r="X5" i="5"/>
  <c r="BL5" i="5"/>
  <c r="DH5" i="5"/>
  <c r="EF5" i="5"/>
  <c r="GR5" i="5"/>
  <c r="HP5" i="5"/>
  <c r="IN5" i="5"/>
  <c r="IV5" i="5"/>
  <c r="KB5" i="5"/>
  <c r="LH5" i="5"/>
  <c r="MF5" i="5"/>
  <c r="NT5" i="5"/>
  <c r="PX5" i="5"/>
  <c r="Q5" i="5"/>
  <c r="AO5" i="5"/>
  <c r="CC5" i="5"/>
  <c r="DY5" i="5"/>
  <c r="EO5" i="5"/>
  <c r="EW5" i="5"/>
  <c r="FM5" i="5"/>
  <c r="GS5" i="5"/>
  <c r="HI5" i="5"/>
  <c r="IG5" i="5"/>
  <c r="KC5" i="5"/>
  <c r="LI5" i="5"/>
  <c r="MG5" i="5"/>
  <c r="O5" i="5"/>
  <c r="W5" i="5"/>
  <c r="AE5" i="5"/>
  <c r="AM5" i="5"/>
  <c r="AU5" i="5"/>
  <c r="BC5" i="5"/>
  <c r="BK5" i="5"/>
  <c r="BS5" i="5"/>
  <c r="CA5" i="5"/>
  <c r="CI5" i="5"/>
  <c r="CQ5" i="5"/>
  <c r="CY5" i="5"/>
  <c r="DG5" i="5"/>
  <c r="DO5" i="5"/>
  <c r="DW5" i="5"/>
  <c r="EE5" i="5"/>
  <c r="EM5" i="5"/>
  <c r="EU5" i="5"/>
  <c r="FC5" i="5"/>
  <c r="FK5" i="5"/>
  <c r="FS5" i="5"/>
  <c r="GA5" i="5"/>
  <c r="GI5" i="5"/>
  <c r="GQ5" i="5"/>
  <c r="GY5" i="5"/>
  <c r="HG5" i="5"/>
  <c r="HO5" i="5"/>
  <c r="BM5" i="5"/>
  <c r="DA5" i="5"/>
  <c r="EG5" i="5"/>
  <c r="JE5" i="5"/>
  <c r="KK5" i="5"/>
  <c r="NU5" i="5"/>
  <c r="PI5" i="5"/>
  <c r="QG5" i="5"/>
  <c r="R5" i="5"/>
  <c r="Z5" i="5"/>
  <c r="AH5" i="5"/>
  <c r="AP5" i="5"/>
  <c r="AX5" i="5"/>
  <c r="BF5" i="5"/>
  <c r="BN5" i="5"/>
  <c r="BV5" i="5"/>
  <c r="CD5" i="5"/>
  <c r="CL5" i="5"/>
  <c r="CT5" i="5"/>
  <c r="DB5" i="5"/>
  <c r="DJ5" i="5"/>
  <c r="DR5" i="5"/>
  <c r="DZ5" i="5"/>
  <c r="EH5" i="5"/>
  <c r="EP5" i="5"/>
  <c r="EX5" i="5"/>
  <c r="FF5" i="5"/>
  <c r="FN5" i="5"/>
  <c r="FV5" i="5"/>
  <c r="GD5" i="5"/>
  <c r="GL5" i="5"/>
  <c r="GT5" i="5"/>
  <c r="HB5" i="5"/>
  <c r="HJ5" i="5"/>
  <c r="HR5" i="5"/>
  <c r="HZ5" i="5"/>
  <c r="IH5" i="5"/>
  <c r="IP5" i="5"/>
  <c r="IX5" i="5"/>
  <c r="JF5" i="5"/>
  <c r="JN5" i="5"/>
  <c r="JV5" i="5"/>
  <c r="KD5" i="5"/>
  <c r="KL5" i="5"/>
  <c r="KT5" i="5"/>
  <c r="LB5" i="5"/>
  <c r="LJ5" i="5"/>
  <c r="LR5" i="5"/>
  <c r="LZ5" i="5"/>
  <c r="MH5" i="5"/>
  <c r="MP5" i="5"/>
  <c r="MX5" i="5"/>
  <c r="NF5" i="5"/>
  <c r="NN5" i="5"/>
  <c r="NV5" i="5"/>
  <c r="OD5" i="5"/>
  <c r="OL5" i="5"/>
  <c r="OT5" i="5"/>
  <c r="PB5" i="5"/>
  <c r="PJ5" i="5"/>
  <c r="PR5" i="5"/>
  <c r="PZ5" i="5"/>
  <c r="QH5" i="5"/>
  <c r="QP5" i="5"/>
  <c r="ME5" i="5"/>
  <c r="NC5" i="5"/>
  <c r="NS5" i="5"/>
  <c r="OI5" i="5"/>
  <c r="PG5" i="5"/>
  <c r="QE5" i="5"/>
  <c r="AF5" i="5"/>
  <c r="CB5" i="5"/>
  <c r="CR5" i="5"/>
  <c r="DP5" i="5"/>
  <c r="EN5" i="5"/>
  <c r="FL5" i="5"/>
  <c r="KR5" i="5"/>
  <c r="MN5" i="5"/>
  <c r="OJ5" i="5"/>
  <c r="Y5" i="5"/>
  <c r="BU5" i="5"/>
  <c r="GK5" i="5"/>
  <c r="IW5" i="5"/>
  <c r="KS5" i="5"/>
  <c r="OK5" i="5"/>
  <c r="F6" i="5"/>
  <c r="I7" i="5"/>
  <c r="G9" i="5"/>
  <c r="J10" i="5"/>
  <c r="H12" i="5"/>
  <c r="F14" i="5"/>
  <c r="I15" i="5"/>
  <c r="J18" i="5"/>
  <c r="H20" i="5"/>
  <c r="I23" i="5"/>
  <c r="J26" i="5"/>
  <c r="G33" i="5"/>
  <c r="G41" i="5"/>
  <c r="H44" i="5"/>
  <c r="F27" i="5"/>
  <c r="I44" i="5"/>
  <c r="G6" i="5"/>
  <c r="J7" i="5"/>
  <c r="H9" i="5"/>
  <c r="F11" i="5"/>
  <c r="I12" i="5"/>
  <c r="G14" i="5"/>
  <c r="J15" i="5"/>
  <c r="H17" i="5"/>
  <c r="F19" i="5"/>
  <c r="I20" i="5"/>
  <c r="G22" i="5"/>
  <c r="H33" i="5"/>
  <c r="J39" i="5"/>
  <c r="H6" i="5"/>
  <c r="F8" i="5"/>
  <c r="I9" i="5"/>
  <c r="G11" i="5"/>
  <c r="J12" i="5"/>
  <c r="H14" i="5"/>
  <c r="F16" i="5"/>
  <c r="I17" i="5"/>
  <c r="G19" i="5"/>
  <c r="J20" i="5"/>
  <c r="H22" i="5"/>
  <c r="F24" i="5"/>
  <c r="I25" i="5"/>
  <c r="G27" i="5"/>
  <c r="J28" i="5"/>
  <c r="H30" i="5"/>
  <c r="F32" i="5"/>
  <c r="I33" i="5"/>
  <c r="G35" i="5"/>
  <c r="J36" i="5"/>
  <c r="H38" i="5"/>
  <c r="F40" i="5"/>
  <c r="I41" i="5"/>
  <c r="G43" i="5"/>
  <c r="J44" i="5"/>
  <c r="H43" i="5"/>
  <c r="F45" i="5"/>
  <c r="J22" i="5"/>
  <c r="H24" i="5"/>
  <c r="F26" i="5"/>
  <c r="I27" i="5"/>
  <c r="G29" i="5"/>
  <c r="J30" i="5"/>
  <c r="H32" i="5"/>
  <c r="I35" i="5"/>
  <c r="H40" i="5"/>
  <c r="I43" i="5"/>
  <c r="F35" i="5"/>
  <c r="I6" i="5"/>
  <c r="G8" i="5"/>
  <c r="J9" i="5"/>
  <c r="H11" i="5"/>
  <c r="F13" i="5"/>
  <c r="I14" i="5"/>
  <c r="G16" i="5"/>
  <c r="J17" i="5"/>
  <c r="H19" i="5"/>
  <c r="F21" i="5"/>
  <c r="I22" i="5"/>
  <c r="G24" i="5"/>
  <c r="J25" i="5"/>
  <c r="H27" i="5"/>
  <c r="F29" i="5"/>
  <c r="I30" i="5"/>
  <c r="G32" i="5"/>
  <c r="J33" i="5"/>
  <c r="H35" i="5"/>
  <c r="F37" i="5"/>
  <c r="I38" i="5"/>
  <c r="G40" i="5"/>
  <c r="J41" i="5"/>
  <c r="G21" i="5"/>
  <c r="J6" i="5"/>
  <c r="H8" i="5"/>
  <c r="F10" i="5"/>
  <c r="I11" i="5"/>
  <c r="G13" i="5"/>
  <c r="J14" i="5"/>
  <c r="H16" i="5"/>
  <c r="F18" i="5"/>
  <c r="I19" i="5"/>
  <c r="F34" i="5"/>
  <c r="G37" i="5"/>
  <c r="J38" i="5"/>
  <c r="F42" i="5"/>
  <c r="G45" i="5"/>
  <c r="F7" i="5"/>
  <c r="I8" i="5"/>
  <c r="G10" i="5"/>
  <c r="J11" i="5"/>
  <c r="H13" i="5"/>
  <c r="F15" i="5"/>
  <c r="I16" i="5"/>
  <c r="G18" i="5"/>
  <c r="J19" i="5"/>
  <c r="H21" i="5"/>
  <c r="F23" i="5"/>
  <c r="I24" i="5"/>
  <c r="G26" i="5"/>
  <c r="J27" i="5"/>
  <c r="H29" i="5"/>
  <c r="F31" i="5"/>
  <c r="I32" i="5"/>
  <c r="G34" i="5"/>
  <c r="J35" i="5"/>
  <c r="H37" i="5"/>
  <c r="F39" i="5"/>
  <c r="I40" i="5"/>
  <c r="G42" i="5"/>
  <c r="J43" i="5"/>
  <c r="H45" i="5"/>
  <c r="H41" i="5"/>
  <c r="G7" i="5"/>
  <c r="J8" i="5"/>
  <c r="H10" i="5"/>
  <c r="F12" i="5"/>
  <c r="I13" i="5"/>
  <c r="G15" i="5"/>
  <c r="J16" i="5"/>
  <c r="H18" i="5"/>
  <c r="F20" i="5"/>
  <c r="I21" i="5"/>
  <c r="G23" i="5"/>
  <c r="J24" i="5"/>
  <c r="H26" i="5"/>
  <c r="F28" i="5"/>
  <c r="I29" i="5"/>
  <c r="G31" i="5"/>
  <c r="J32" i="5"/>
  <c r="H34" i="5"/>
  <c r="F36" i="5"/>
  <c r="I37" i="5"/>
  <c r="G39" i="5"/>
  <c r="J40" i="5"/>
  <c r="H42" i="5"/>
  <c r="F44" i="5"/>
  <c r="I45" i="5"/>
  <c r="I39" i="5"/>
  <c r="H25" i="5"/>
  <c r="G30" i="5"/>
  <c r="I36" i="5"/>
  <c r="H7" i="5"/>
  <c r="F9" i="5"/>
  <c r="I10" i="5"/>
  <c r="G12" i="5"/>
  <c r="J13" i="5"/>
  <c r="H15" i="5"/>
  <c r="F17" i="5"/>
  <c r="I18" i="5"/>
  <c r="G20" i="5"/>
  <c r="J21" i="5"/>
  <c r="H23" i="5"/>
  <c r="F25" i="5"/>
  <c r="I26" i="5"/>
  <c r="G28" i="5"/>
  <c r="J29" i="5"/>
  <c r="H31" i="5"/>
  <c r="F33" i="5"/>
  <c r="I34" i="5"/>
  <c r="G36" i="5"/>
  <c r="J37" i="5"/>
  <c r="H39" i="5"/>
  <c r="F41" i="5"/>
  <c r="I42" i="5"/>
  <c r="G44" i="5"/>
  <c r="J45" i="5"/>
  <c r="G17" i="5"/>
  <c r="F22" i="5"/>
  <c r="G25" i="5"/>
  <c r="H28" i="5"/>
  <c r="F30" i="5"/>
  <c r="I31" i="5"/>
  <c r="J34" i="5"/>
  <c r="H36" i="5"/>
  <c r="F38" i="5"/>
  <c r="J42" i="5"/>
  <c r="J23" i="5"/>
  <c r="I28" i="5"/>
  <c r="J31" i="5"/>
  <c r="G38" i="5"/>
  <c r="F43" i="5"/>
  <c r="K3" i="5" l="1"/>
  <c r="J3" i="5" l="1"/>
  <c r="J2" i="5" l="1"/>
  <c r="Q1" i="5"/>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Gill</author>
  </authors>
  <commentList>
    <comment ref="D41" authorId="0" shapeId="0" xr:uid="{E4C9C5F4-B14F-4192-8AC4-31A1E0B153E3}">
      <text>
        <r>
          <rPr>
            <b/>
            <sz val="9"/>
            <color indexed="81"/>
            <rFont val="Tahoma"/>
            <family val="2"/>
          </rPr>
          <t>Property#KEY_FIGURES#EDITABLE#Equals#ALL</t>
        </r>
      </text>
    </comment>
    <comment ref="D44" authorId="0" shapeId="0" xr:uid="{A69F588F-FB05-4F82-89D7-8D6EEA266E17}">
      <text>
        <r>
          <rPr>
            <b/>
            <sz val="9"/>
            <color indexed="81"/>
            <rFont val="Tahoma"/>
            <family val="2"/>
          </rPr>
          <t>(Property#KEY_FIGURES#EDITABLE#Equals#FUTURE)&amp;&amp;(Property#PERIODID0#PASTCURRENTFUTURE#Equals#C)</t>
        </r>
      </text>
    </comment>
    <comment ref="D47" authorId="0" shapeId="0" xr:uid="{1106107F-E9DF-45DC-95F8-533CD02CA547}">
      <text>
        <r>
          <rPr>
            <b/>
            <sz val="9"/>
            <color indexed="81"/>
            <rFont val="Tahoma"/>
            <family val="2"/>
          </rPr>
          <t>(Property#KEY_FIGURES#EDITABLE#Equals#FUTURE)&amp;&amp;(Property#PERIODID#PASTCURRENTFUTURE#Equals#C)</t>
        </r>
      </text>
    </comment>
    <comment ref="D50" authorId="0" shapeId="0" xr:uid="{A27C622C-3AB1-4079-BFC3-278974C97D6D}">
      <text>
        <r>
          <rPr>
            <b/>
            <sz val="9"/>
            <color indexed="81"/>
            <rFont val="Tahoma"/>
            <family val="2"/>
          </rPr>
          <t>(Property#KEY_FIGURES#EDITABLE#Equals#FUTURE)&amp;&amp;(Property#PERIODID1#PASTCURRENTFUTURE#Equals#CF)</t>
        </r>
      </text>
    </comment>
    <comment ref="D53" authorId="0" shapeId="0" xr:uid="{D69D6D25-5D5F-46CB-8E02-A169881B94CE}">
      <text>
        <r>
          <rPr>
            <b/>
            <sz val="9"/>
            <color indexed="81"/>
            <rFont val="Tahoma"/>
            <family val="2"/>
          </rPr>
          <t>(Property#KEY_FIGURES#EDITABLE#Equals#FUTURE)&amp;&amp;(Property#PERIODID2#PASTCURRENTFUTURE#Equals#CF)</t>
        </r>
      </text>
    </comment>
    <comment ref="D56" authorId="0" shapeId="0" xr:uid="{6424E717-853D-4006-A4AA-FF07F1ED7081}">
      <text>
        <r>
          <rPr>
            <b/>
            <sz val="9"/>
            <color indexed="81"/>
            <rFont val="Tahoma"/>
            <family val="2"/>
          </rPr>
          <t>(Property#KEY_FIGURES#EDITABLE#Equals#FUTURE)&amp;&amp;(Property#PERIODID3#PASTCURRENTFUTURE#Equals#CF)</t>
        </r>
      </text>
    </comment>
    <comment ref="D59" authorId="0" shapeId="0" xr:uid="{113C385B-12B4-4DF6-A0C4-7208EFAB3090}">
      <text>
        <r>
          <rPr>
            <b/>
            <sz val="9"/>
            <color indexed="81"/>
            <rFont val="Tahoma"/>
            <family val="2"/>
          </rPr>
          <t>(Property#KEY_FIGURES#EDITABLE#Equals#FUTURE)&amp;&amp;(Property#PERIODID4#PASTCURRENTFUTURE#Equals#CF)</t>
        </r>
      </text>
    </comment>
    <comment ref="D62" authorId="0" shapeId="0" xr:uid="{982BB3EA-3A27-4AAC-BD59-CDF0FA6FDA06}">
      <text>
        <r>
          <rPr>
            <b/>
            <sz val="9"/>
            <color indexed="81"/>
            <rFont val="Tahoma"/>
            <family val="2"/>
          </rPr>
          <t>(Property#KEY_FIGURES#EDITABLE#Equals#FUTURE)&amp;&amp;(Property#PERIODID5#PASTCURRENTFUTURE#Equals#CF)</t>
        </r>
      </text>
    </comment>
    <comment ref="D65" authorId="0" shapeId="0" xr:uid="{CAE3D4E5-1A75-48F3-9F78-3E93701FCB3E}">
      <text>
        <r>
          <rPr>
            <b/>
            <sz val="9"/>
            <color indexed="81"/>
            <rFont val="Tahoma"/>
            <family val="2"/>
          </rPr>
          <t>(Property#KEY_FIGURES#EDITABLE#Equals#FUTURE)&amp;&amp;(Property#PERIODID#PASTCURRENTFUTURE#Equals#CF)</t>
        </r>
      </text>
    </comment>
    <comment ref="D68" authorId="0" shapeId="0" xr:uid="{0679138B-DA31-4B0E-B3F4-CCF1BDB595C7}">
      <text>
        <r>
          <rPr>
            <b/>
            <sz val="9"/>
            <color indexed="81"/>
            <rFont val="Tahoma"/>
            <family val="2"/>
          </rPr>
          <t>(Property#KEY_FIGURES#EDITABLE#Equals#FUTURE)&amp;&amp;(Property#PERIODID0#PASTCURRENTFUTURE#Equals#F)</t>
        </r>
      </text>
    </comment>
    <comment ref="D71" authorId="0" shapeId="0" xr:uid="{AA1E70F1-2EA5-4920-8AB1-AE91B37CB439}">
      <text>
        <r>
          <rPr>
            <b/>
            <sz val="9"/>
            <color indexed="81"/>
            <rFont val="Tahoma"/>
            <family val="2"/>
          </rPr>
          <t>(Property#KEY_FIGURES#EDITABLE#Equals#FUTURE)&amp;&amp;(Property#PERIODID1#PASTCURRENTFUTURE#Equals#F)</t>
        </r>
      </text>
    </comment>
    <comment ref="D74" authorId="0" shapeId="0" xr:uid="{5B1BB669-9DC1-4391-B0F6-B94720E28614}">
      <text>
        <r>
          <rPr>
            <b/>
            <sz val="9"/>
            <color indexed="81"/>
            <rFont val="Tahoma"/>
            <family val="2"/>
          </rPr>
          <t>(Property#KEY_FIGURES#EDITABLE#Equals#FUTURE)&amp;&amp;(Property#PERIODID2#PASTCURRENTFUTURE#Equals#F)</t>
        </r>
      </text>
    </comment>
    <comment ref="D77" authorId="0" shapeId="0" xr:uid="{5BF86CA0-2503-4FEE-9F9C-F179E8E42082}">
      <text>
        <r>
          <rPr>
            <b/>
            <sz val="9"/>
            <color indexed="81"/>
            <rFont val="Tahoma"/>
            <family val="2"/>
          </rPr>
          <t>(Property#KEY_FIGURES#EDITABLE#Equals#FUTURE)&amp;&amp;(Property#PERIODID3#PASTCURRENTFUTURE#Equals#F)</t>
        </r>
      </text>
    </comment>
    <comment ref="D80" authorId="0" shapeId="0" xr:uid="{8FC52B8A-2B21-4F3C-902D-ECDCD48261A1}">
      <text>
        <r>
          <rPr>
            <b/>
            <sz val="9"/>
            <color indexed="81"/>
            <rFont val="Tahoma"/>
            <family val="2"/>
          </rPr>
          <t>(Property#KEY_FIGURES#EDITABLE#Equals#FUTURE)&amp;&amp;(Property#PERIODID4#PASTCURRENTFUTURE#Equals#F)</t>
        </r>
      </text>
    </comment>
    <comment ref="D83" authorId="0" shapeId="0" xr:uid="{ACE4EB92-5423-4687-A931-029C70F16D46}">
      <text>
        <r>
          <rPr>
            <b/>
            <sz val="9"/>
            <color indexed="81"/>
            <rFont val="Tahoma"/>
            <family val="2"/>
          </rPr>
          <t>(Property#KEY_FIGURES#EDITABLE#Equals#FUTURE)&amp;&amp;(Property#PERIODID5#PASTCURRENTFUTURE#Equals#F)</t>
        </r>
      </text>
    </comment>
    <comment ref="D86" authorId="0" shapeId="0" xr:uid="{3977648B-2EB6-429A-8B4A-F1046B66D0EE}">
      <text>
        <r>
          <rPr>
            <b/>
            <sz val="9"/>
            <color indexed="81"/>
            <rFont val="Tahoma"/>
            <family val="2"/>
          </rPr>
          <t>(Property#KEY_FIGURES#EDITABLE#Equals#FUTURE)&amp;&amp;(Property#PERIODID#PASTCURRENTFUTURE#Equals#F)</t>
        </r>
      </text>
    </comment>
    <comment ref="D89" authorId="0" shapeId="0" xr:uid="{98CA5373-703A-42D4-9DC6-C986A9AD89EF}">
      <text>
        <r>
          <rPr>
            <b/>
            <sz val="9"/>
            <color indexed="81"/>
            <rFont val="Tahoma"/>
            <family val="2"/>
          </rPr>
          <t>(Property#KEY_FIGURES#EDITABLE#Equals#PAST)&amp;&amp;(Property#PERIODID0#PASTCURRENTFUTURE#Equals#P)</t>
        </r>
      </text>
    </comment>
    <comment ref="D92" authorId="0" shapeId="0" xr:uid="{A4C22930-5F03-4387-9C12-8D0B263260B4}">
      <text>
        <r>
          <rPr>
            <b/>
            <sz val="9"/>
            <color indexed="81"/>
            <rFont val="Tahoma"/>
            <family val="2"/>
          </rPr>
          <t>(Property#KEY_FIGURES#EDITABLE#Equals#PAST)&amp;&amp;(Property#PERIODID1#PASTCURRENTFUTURE#Equals#P)</t>
        </r>
      </text>
    </comment>
    <comment ref="D95" authorId="0" shapeId="0" xr:uid="{7B37415F-C771-48F3-92B4-4A6F4B7514EE}">
      <text>
        <r>
          <rPr>
            <b/>
            <sz val="9"/>
            <color indexed="81"/>
            <rFont val="Tahoma"/>
            <family val="2"/>
          </rPr>
          <t>(Property#KEY_FIGURES#EDITABLE#Equals#PAST)&amp;&amp;(Property#PERIODID2#PASTCURRENTFUTURE#Equals#P)</t>
        </r>
      </text>
    </comment>
    <comment ref="D98" authorId="0" shapeId="0" xr:uid="{412E1BD6-0524-4E16-B4F2-83AA7DE3B471}">
      <text>
        <r>
          <rPr>
            <b/>
            <sz val="9"/>
            <color indexed="81"/>
            <rFont val="Tahoma"/>
            <family val="2"/>
          </rPr>
          <t>(Property#KEY_FIGURES#EDITABLE#Equals#PAST)&amp;&amp;(Property#PERIODID3#PASTCURRENTFUTURE#Equals#P)</t>
        </r>
      </text>
    </comment>
    <comment ref="D101" authorId="0" shapeId="0" xr:uid="{B1E2B81E-EB0D-4EE0-BBE1-28B1C23C3780}">
      <text>
        <r>
          <rPr>
            <b/>
            <sz val="9"/>
            <color indexed="81"/>
            <rFont val="Tahoma"/>
            <family val="2"/>
          </rPr>
          <t>(Property#KEY_FIGURES#EDITABLE#Equals#PAST)&amp;&amp;(Property#PERIODID4#PASTCURRENTFUTURE#Equals#P)</t>
        </r>
      </text>
    </comment>
    <comment ref="D104" authorId="0" shapeId="0" xr:uid="{6BAFAC41-741F-44E8-817B-63359C2240BE}">
      <text>
        <r>
          <rPr>
            <b/>
            <sz val="9"/>
            <color indexed="81"/>
            <rFont val="Tahoma"/>
            <family val="2"/>
          </rPr>
          <t>(Property#KEY_FIGURES#EDITABLE#Equals#PAST)&amp;&amp;(Property#PERIODID5#PASTCURRENTFUTURE#Equals#P)</t>
        </r>
      </text>
    </comment>
    <comment ref="D107" authorId="0" shapeId="0" xr:uid="{43EE9328-98A5-4526-8612-8CF875633F56}">
      <text>
        <r>
          <rPr>
            <b/>
            <sz val="9"/>
            <color indexed="81"/>
            <rFont val="Tahoma"/>
            <family val="2"/>
          </rPr>
          <t>(Property#KEY_FIGURES#EDITABLE#Equals#PAST)&amp;&amp;(Property#PERIODID#PASTCURRENTFUTURE#Equals#P)</t>
        </r>
      </text>
    </comment>
    <comment ref="D110" authorId="0" shapeId="0" xr:uid="{EDE9F4FC-D7EA-4CD0-B73D-510C13B2E15D}">
      <text>
        <r>
          <rPr>
            <b/>
            <sz val="9"/>
            <color indexed="81"/>
            <rFont val="Tahoma"/>
            <family val="2"/>
          </rPr>
          <t>TotalMember</t>
        </r>
      </text>
    </comment>
    <comment ref="D113" authorId="0" shapeId="0" xr:uid="{33A8B094-B773-46FF-A5F7-8F75A7ECDADC}">
      <text>
        <r>
          <rPr>
            <b/>
            <sz val="9"/>
            <color indexed="81"/>
            <rFont val="Tahoma"/>
            <family val="2"/>
          </rPr>
          <t>Property#KEY_FIGURES#FIXING#Equals#Y</t>
        </r>
      </text>
    </comment>
    <comment ref="D116" authorId="0" shapeId="0" xr:uid="{223A8CFD-77A1-4110-8A9B-237219AAF9A6}">
      <text>
        <r>
          <rPr>
            <b/>
            <sz val="9"/>
            <color indexed="81"/>
            <rFont val="Tahoma"/>
            <family val="2"/>
          </rPr>
          <t>Members#[KEY_FIGURES].[].[ZGFADJUSTMENTQTYPCT]</t>
        </r>
      </text>
    </comment>
    <comment ref="D119" authorId="0" shapeId="0" xr:uid="{7AD18505-4041-4BAE-AE94-CB7E21C3629F}">
      <text>
        <r>
          <rPr>
            <b/>
            <sz val="9"/>
            <color indexed="81"/>
            <rFont val="Tahoma"/>
            <family val="2"/>
          </rPr>
          <t>Members#[KEY_FIGURES].[].[ZGFSTATFCSTQTY]</t>
        </r>
      </text>
    </comment>
    <comment ref="D122" authorId="0" shapeId="0" xr:uid="{B34AFBDC-FF49-41E1-BAB9-970CD2EEAA09}">
      <text>
        <r>
          <rPr>
            <b/>
            <sz val="9"/>
            <color indexed="81"/>
            <rFont val="Tahoma"/>
            <family val="2"/>
          </rPr>
          <t>Members#[KEY_FIGURES].[].[ZGFSALESORDQTY]</t>
        </r>
      </text>
    </comment>
    <comment ref="D125" authorId="0" shapeId="0" xr:uid="{F54DD155-53F1-4AA7-A0E2-13823C0A809B}">
      <text>
        <r>
          <rPr>
            <b/>
            <sz val="9"/>
            <color indexed="81"/>
            <rFont val="Tahoma"/>
            <family val="2"/>
          </rPr>
          <t>Members#[KEY_FIGURES].[].[ZGFACTCORRINVQTY]</t>
        </r>
      </text>
    </comment>
    <comment ref="D128" authorId="0" shapeId="0" xr:uid="{BB53FD1E-E509-43E2-B229-6E0616DB6E43}">
      <text>
        <r>
          <rPr>
            <b/>
            <sz val="9"/>
            <color indexed="81"/>
            <rFont val="Tahoma"/>
            <family val="2"/>
          </rPr>
          <t>Members#[KEY_FIGURES].[].[ZGFINVQTY]</t>
        </r>
      </text>
    </comment>
    <comment ref="D131" authorId="0" shapeId="0" xr:uid="{45AAFE30-AA0E-4C88-88FA-2644006F3D61}">
      <text>
        <r>
          <rPr>
            <b/>
            <sz val="9"/>
            <color indexed="81"/>
            <rFont val="Tahoma"/>
            <family val="2"/>
          </rPr>
          <t>Members#[KEY_FIGURES].[].[ZGFADJACTINVQTY]</t>
        </r>
      </text>
    </comment>
    <comment ref="D134" authorId="0" shapeId="0" xr:uid="{D5B19AC8-0385-495A-95FC-F8EB009715C5}">
      <text>
        <r>
          <rPr>
            <b/>
            <sz val="9"/>
            <color indexed="81"/>
            <rFont val="Tahoma"/>
            <family val="2"/>
          </rPr>
          <t>Members#[KEY_FIGURES].[].[ZGFBASELINEADJUSTED]</t>
        </r>
      </text>
    </comment>
    <comment ref="D137" authorId="0" shapeId="0" xr:uid="{D4DB5952-5C05-4C66-A427-607C26E912AE}">
      <text>
        <r>
          <rPr>
            <b/>
            <sz val="9"/>
            <color indexed="81"/>
            <rFont val="Tahoma"/>
            <family val="2"/>
          </rPr>
          <t>Members#[KEY_FIGURES].[].[ZGFPROMOINC]</t>
        </r>
      </text>
    </comment>
    <comment ref="D140" authorId="0" shapeId="0" xr:uid="{A5341C54-D369-410F-9435-4D604A2663EE}">
      <text>
        <r>
          <rPr>
            <b/>
            <sz val="9"/>
            <color indexed="81"/>
            <rFont val="Tahoma"/>
            <family val="2"/>
          </rPr>
          <t>Members#[KEY_FIGURES].[].[ZGFPREVAPPROVEDFCSTTY]</t>
        </r>
      </text>
    </comment>
    <comment ref="D143" authorId="0" shapeId="0" xr:uid="{B6C392A7-0B4D-4B79-89B3-C92E28932027}">
      <text>
        <r>
          <rPr>
            <b/>
            <sz val="9"/>
            <color indexed="81"/>
            <rFont val="Tahoma"/>
            <family val="2"/>
          </rPr>
          <t>Members#[KEY_FIGURES].[].[ZGFPROPFACTORDAY]</t>
        </r>
      </text>
    </comment>
    <comment ref="D146" authorId="0" shapeId="0" xr:uid="{DAA5D5ED-9807-4F56-B083-077708AE837F}">
      <text>
        <r>
          <rPr>
            <b/>
            <sz val="9"/>
            <color indexed="81"/>
            <rFont val="Tahoma"/>
            <family val="2"/>
          </rPr>
          <t>Members#[KEY_FIGURES].[].[ZGFAPPROVEDFCSTQTY]</t>
        </r>
      </text>
    </comment>
    <comment ref="D167" authorId="0" shapeId="0" xr:uid="{27BBFDF0-0B46-4AEE-A14D-CEA77B2D1344}">
      <text>
        <r>
          <rPr>
            <b/>
            <sz val="9"/>
            <color indexed="81"/>
            <rFont val="Tahoma"/>
            <family val="2"/>
          </rPr>
          <t>Property#PERIODID#TIMELEVEL#Equals#TOTAL</t>
        </r>
      </text>
    </comment>
    <comment ref="D170" authorId="0" shapeId="0" xr:uid="{7167949C-E7A6-420B-A0F0-F3E97207B8F3}">
      <text>
        <r>
          <rPr>
            <b/>
            <sz val="9"/>
            <color indexed="81"/>
            <rFont val="Tahoma"/>
            <family val="2"/>
          </rPr>
          <t>Property#PERIODID#TIMELEVEL#Equals#PERIODID0</t>
        </r>
      </text>
    </comment>
    <comment ref="D173" authorId="0" shapeId="0" xr:uid="{C3AECB2F-F407-467E-AE49-29FF1CCAEE6B}">
      <text>
        <r>
          <rPr>
            <b/>
            <sz val="9"/>
            <color indexed="81"/>
            <rFont val="Tahoma"/>
            <family val="2"/>
          </rPr>
          <t>Property#PERIODID#TIMELEVEL#Equals#PERIODID1</t>
        </r>
      </text>
    </comment>
    <comment ref="D176" authorId="0" shapeId="0" xr:uid="{E8A53B76-F8D5-4BF8-80E0-B162CA63298F}">
      <text>
        <r>
          <rPr>
            <b/>
            <sz val="9"/>
            <color indexed="81"/>
            <rFont val="Tahoma"/>
            <family val="2"/>
          </rPr>
          <t>Property#PERIODID#TIMELEVEL#Equals#PERIODID2</t>
        </r>
      </text>
    </comment>
    <comment ref="D179" authorId="0" shapeId="0" xr:uid="{64EBD77F-AEDB-4668-861A-6178205F4BD2}">
      <text>
        <r>
          <rPr>
            <b/>
            <sz val="9"/>
            <color indexed="81"/>
            <rFont val="Tahoma"/>
            <family val="2"/>
          </rPr>
          <t>Property#PERIODID#TIMELEVEL#Equals#PERIODID3</t>
        </r>
      </text>
    </comment>
    <comment ref="D182" authorId="0" shapeId="0" xr:uid="{2531F22B-679F-484C-B43A-B21573AA6C94}">
      <text>
        <r>
          <rPr>
            <b/>
            <sz val="9"/>
            <color indexed="81"/>
            <rFont val="Tahoma"/>
            <family val="2"/>
          </rPr>
          <t>Property#PERIODID#TIMELEVEL#Equals#PERIODID4</t>
        </r>
      </text>
    </comment>
    <comment ref="D185" authorId="0" shapeId="0" xr:uid="{755A6370-D6C6-4A2E-9FAE-7EC9E0A93CD5}">
      <text>
        <r>
          <rPr>
            <b/>
            <sz val="9"/>
            <color indexed="81"/>
            <rFont val="Tahoma"/>
            <family val="2"/>
          </rPr>
          <t>Property#PERIODID#TIMELEVEL#Equals#PERIODID5</t>
        </r>
      </text>
    </comment>
  </commentList>
</comments>
</file>

<file path=xl/sharedStrings.xml><?xml version="1.0" encoding="utf-8"?>
<sst xmlns="http://schemas.openxmlformats.org/spreadsheetml/2006/main" count="532" uniqueCount="322">
  <si>
    <t>Sheet2_SERIES</t>
  </si>
  <si>
    <t>= EPMOlapMemberO("[KEY_FIGURES].[].[ZGFADJACTINVQTY]","","Actuals Adjusted (Inv)","","000")_x000D_
= EPMOlapMemberO("[KEY_FIGURES].[].[ZGFINVQTY]","","Invoice Quantity","","000")_x000D_
= EPMOlapMemberO("[KEY_FIGURES].[].[ZGFBASELINEADJUSTED]","","Baseline Adjusted","","000")_x000D_
= EPMOlapMemberO("[KEY_FIGURES].[].[ZGFNETFORECAST]","","Net Forecast","","000")_x000D_
= EPMOlapMemberO("[KEY_FIGURES].[].[ZGFAPPROVEDFCSTQTY]","","Approved Forecast","","000")</t>
  </si>
  <si>
    <t>Sheet2_FILTER</t>
  </si>
  <si>
    <t>Sheet2_CHART</t>
  </si>
  <si>
    <t>30.01.2023</t>
  </si>
  <si>
    <t>06.02.2023</t>
  </si>
  <si>
    <t>13.02.2023</t>
  </si>
  <si>
    <t>20.02.2023</t>
  </si>
  <si>
    <t>27.02.2023</t>
  </si>
  <si>
    <t>06.03.2023</t>
  </si>
  <si>
    <t>13.03.2023</t>
  </si>
  <si>
    <t>20.03.2023</t>
  </si>
  <si>
    <t>27.03.2023</t>
  </si>
  <si>
    <t>03.04.2023</t>
  </si>
  <si>
    <t>10.04.2023</t>
  </si>
  <si>
    <t>17.04.2023</t>
  </si>
  <si>
    <t>24.04.2023</t>
  </si>
  <si>
    <t>01.05.2023</t>
  </si>
  <si>
    <t>08.05.2023</t>
  </si>
  <si>
    <t>15.05.2023</t>
  </si>
  <si>
    <t>22.05.2023</t>
  </si>
  <si>
    <t>29.05.2023</t>
  </si>
  <si>
    <t>05.06.2023</t>
  </si>
  <si>
    <t>12.06.2023</t>
  </si>
  <si>
    <t>19.06.2023</t>
  </si>
  <si>
    <t>26.06.2023</t>
  </si>
  <si>
    <t>03.07.2023</t>
  </si>
  <si>
    <t>10.07.2023</t>
  </si>
  <si>
    <t>17.07.2023</t>
  </si>
  <si>
    <t>24.07.2023</t>
  </si>
  <si>
    <t>31.07.2023</t>
  </si>
  <si>
    <t>07.08.2023</t>
  </si>
  <si>
    <t>14.08.2023</t>
  </si>
  <si>
    <t>21.08.2023</t>
  </si>
  <si>
    <t>28.08.2023</t>
  </si>
  <si>
    <t>04.09.2023</t>
  </si>
  <si>
    <t>11.09.2023</t>
  </si>
  <si>
    <t>18.09.2023</t>
  </si>
  <si>
    <t>25.09.2023</t>
  </si>
  <si>
    <t>02.10.2023</t>
  </si>
  <si>
    <t>09.10.2023</t>
  </si>
  <si>
    <t>16.10.2023</t>
  </si>
  <si>
    <t>23.10.2023</t>
  </si>
  <si>
    <t>30.10.2023</t>
  </si>
  <si>
    <t>06.11.2023</t>
  </si>
  <si>
    <t>13.11.2023</t>
  </si>
  <si>
    <t>20.11.2023</t>
  </si>
  <si>
    <t>27.11.2023</t>
  </si>
  <si>
    <t>04.12.2023</t>
  </si>
  <si>
    <t>11.12.2023</t>
  </si>
  <si>
    <t>18.12.2023</t>
  </si>
  <si>
    <t>25.12.2023</t>
  </si>
  <si>
    <t>01.01.2024</t>
  </si>
  <si>
    <t>08.01.2024</t>
  </si>
  <si>
    <t>15.01.2024</t>
  </si>
  <si>
    <t>22.01.2024</t>
  </si>
  <si>
    <t>29.01.2024</t>
  </si>
  <si>
    <t>05.02.2024</t>
  </si>
  <si>
    <t>12.02.2024</t>
  </si>
  <si>
    <t>19.02.2024</t>
  </si>
  <si>
    <t>26.02.2024</t>
  </si>
  <si>
    <t>04.03.2024</t>
  </si>
  <si>
    <t>11.03.2024</t>
  </si>
  <si>
    <t>18.03.2024</t>
  </si>
  <si>
    <t>25.03.2024</t>
  </si>
  <si>
    <t>01.04.2024</t>
  </si>
  <si>
    <t>08.04.2024</t>
  </si>
  <si>
    <t>15.04.2024</t>
  </si>
  <si>
    <t>22.04.2024</t>
  </si>
  <si>
    <t>29.04.2024</t>
  </si>
  <si>
    <t>06.05.2024</t>
  </si>
  <si>
    <t>13.05.2024</t>
  </si>
  <si>
    <t>20.05.2024</t>
  </si>
  <si>
    <t>27.05.2024</t>
  </si>
  <si>
    <t>03.06.2024</t>
  </si>
  <si>
    <t>10.06.2024</t>
  </si>
  <si>
    <t>17.06.2024</t>
  </si>
  <si>
    <t>24.06.2024</t>
  </si>
  <si>
    <t>01.07.2024</t>
  </si>
  <si>
    <t>08.07.2024</t>
  </si>
  <si>
    <t>15.07.2024</t>
  </si>
  <si>
    <t>22.07.2024</t>
  </si>
  <si>
    <t>29.07.2024</t>
  </si>
  <si>
    <t>05.08.2024</t>
  </si>
  <si>
    <t>12.08.2024</t>
  </si>
  <si>
    <t>19.08.2024</t>
  </si>
  <si>
    <t>26.08.2024</t>
  </si>
  <si>
    <t>02.09.2024</t>
  </si>
  <si>
    <t>09.09.2024</t>
  </si>
  <si>
    <t>16.09.2024</t>
  </si>
  <si>
    <t>23.09.2024</t>
  </si>
  <si>
    <t>30.09.2024</t>
  </si>
  <si>
    <t>07.10.2024</t>
  </si>
  <si>
    <t>14.10.2024</t>
  </si>
  <si>
    <t>21.10.2024</t>
  </si>
  <si>
    <t>28.10.2024</t>
  </si>
  <si>
    <t>04.11.2024</t>
  </si>
  <si>
    <t>11.11.2024</t>
  </si>
  <si>
    <t>18.11.2024</t>
  </si>
  <si>
    <t>25.11.2024</t>
  </si>
  <si>
    <t>02.12.2024</t>
  </si>
  <si>
    <t>09.12.2024</t>
  </si>
  <si>
    <t>16.12.2024</t>
  </si>
  <si>
    <t>23.12.2024</t>
  </si>
  <si>
    <t>30.12.2024</t>
  </si>
  <si>
    <t>06.01.2025</t>
  </si>
  <si>
    <t>13.01.2025</t>
  </si>
  <si>
    <t>20.01.2025</t>
  </si>
  <si>
    <t>27.01.2025</t>
  </si>
  <si>
    <t>03.02.2025</t>
  </si>
  <si>
    <t>10.02.2025</t>
  </si>
  <si>
    <t>17.02.2025</t>
  </si>
  <si>
    <t>24.02.2025</t>
  </si>
  <si>
    <t>03.03.2025</t>
  </si>
  <si>
    <t>10.03.2025</t>
  </si>
  <si>
    <t>17.03.2025</t>
  </si>
  <si>
    <t>24.03.2025</t>
  </si>
  <si>
    <t>31.03.2025</t>
  </si>
  <si>
    <t>07.04.2025</t>
  </si>
  <si>
    <t>14.04.2025</t>
  </si>
  <si>
    <t>21.04.2025</t>
  </si>
  <si>
    <t>28.04.2025</t>
  </si>
  <si>
    <t>05.05.2025</t>
  </si>
  <si>
    <t>12.05.2025</t>
  </si>
  <si>
    <t>19.05.2025</t>
  </si>
  <si>
    <t>26.05.2025</t>
  </si>
  <si>
    <t>02.06.2025</t>
  </si>
  <si>
    <t>09.06.2025</t>
  </si>
  <si>
    <t>16.06.2025</t>
  </si>
  <si>
    <t>23.06.2025</t>
  </si>
  <si>
    <t>30.06.2025</t>
  </si>
  <si>
    <t>07.07.2025</t>
  </si>
  <si>
    <t>14.07.2025</t>
  </si>
  <si>
    <t>21.07.2025</t>
  </si>
  <si>
    <t>28.07.2025</t>
  </si>
  <si>
    <t>04.08.2025</t>
  </si>
  <si>
    <t>11.08.2025</t>
  </si>
  <si>
    <t>18.08.2025</t>
  </si>
  <si>
    <t>25.08.2025</t>
  </si>
  <si>
    <t>01.09.2025</t>
  </si>
  <si>
    <t>08.09.2025</t>
  </si>
  <si>
    <t>15.09.2025</t>
  </si>
  <si>
    <t>22.09.2025</t>
  </si>
  <si>
    <t>29.09.2025</t>
  </si>
  <si>
    <t>06.10.2025</t>
  </si>
  <si>
    <t>13.10.2025</t>
  </si>
  <si>
    <t>20.10.2025</t>
  </si>
  <si>
    <t>27.10.2025</t>
  </si>
  <si>
    <t>03.11.2025</t>
  </si>
  <si>
    <t>10.11.2025</t>
  </si>
  <si>
    <t>17.11.2025</t>
  </si>
  <si>
    <t>24.11.2025</t>
  </si>
  <si>
    <t>01.12.2025</t>
  </si>
  <si>
    <t>08.12.2025</t>
  </si>
  <si>
    <t>15.12.2025</t>
  </si>
  <si>
    <t>22.12.2025</t>
  </si>
  <si>
    <t>29.12.2025</t>
  </si>
  <si>
    <t>05.01.2026</t>
  </si>
  <si>
    <t>12.01.2026</t>
  </si>
  <si>
    <t>19.01.2026</t>
  </si>
  <si>
    <t>26.01.2026</t>
  </si>
  <si>
    <t>02.02.2026</t>
  </si>
  <si>
    <t>09.02.2026</t>
  </si>
  <si>
    <t>16.02.2026</t>
  </si>
  <si>
    <t>23.02.2026</t>
  </si>
  <si>
    <t>02.03.2026</t>
  </si>
  <si>
    <t>09.03.2026</t>
  </si>
  <si>
    <t>16.03.2026</t>
  </si>
  <si>
    <t>23.03.2026</t>
  </si>
  <si>
    <t>30.03.2026</t>
  </si>
  <si>
    <t>06.04.2026</t>
  </si>
  <si>
    <t>13.04.2026</t>
  </si>
  <si>
    <t>20.04.2026</t>
  </si>
  <si>
    <t>27.04.2026</t>
  </si>
  <si>
    <t>04.05.2026</t>
  </si>
  <si>
    <t>11.05.2026</t>
  </si>
  <si>
    <t>18.05.2026</t>
  </si>
  <si>
    <t>25.05.2026</t>
  </si>
  <si>
    <t>01.06.2026</t>
  </si>
  <si>
    <t>08.06.2026</t>
  </si>
  <si>
    <t>15.06.2026</t>
  </si>
  <si>
    <t>22.06.2026</t>
  </si>
  <si>
    <t>29.06.2026</t>
  </si>
  <si>
    <t>06.07.2026</t>
  </si>
  <si>
    <t>13.07.2026</t>
  </si>
  <si>
    <t>20.07.2026</t>
  </si>
  <si>
    <t>27.07.2026</t>
  </si>
  <si>
    <t>03.08.2026</t>
  </si>
  <si>
    <t>10.08.2026</t>
  </si>
  <si>
    <t>17.08.2026</t>
  </si>
  <si>
    <t>24.08.2026</t>
  </si>
  <si>
    <t>31.08.2026</t>
  </si>
  <si>
    <t>07.09.2026</t>
  </si>
  <si>
    <t>14.09.2026</t>
  </si>
  <si>
    <t>21.09.2026</t>
  </si>
  <si>
    <t>28.09.2026</t>
  </si>
  <si>
    <t>05.10.2026</t>
  </si>
  <si>
    <t>12.10.2026</t>
  </si>
  <si>
    <t>19.10.2026</t>
  </si>
  <si>
    <t>26.10.2026</t>
  </si>
  <si>
    <t>02.11.2026</t>
  </si>
  <si>
    <t>09.11.2026</t>
  </si>
  <si>
    <t>16.11.2026</t>
  </si>
  <si>
    <t>23.11.2026</t>
  </si>
  <si>
    <t>30.11.2026</t>
  </si>
  <si>
    <t>Actuals Adjusted (Inv)</t>
  </si>
  <si>
    <t>Invoice Quantity</t>
  </si>
  <si>
    <t>Baseline Adjusted</t>
  </si>
  <si>
    <t>Net Forecast</t>
  </si>
  <si>
    <t>Approved Forecast</t>
  </si>
  <si>
    <t>Sheet2_OFFLINE</t>
  </si>
  <si>
    <t xml:space="preserve">Offline Parameters Columns Count  </t>
  </si>
  <si>
    <t>2</t>
  </si>
  <si>
    <t>dataTopLeftRow</t>
  </si>
  <si>
    <t>5</t>
  </si>
  <si>
    <t>dataTopLeftColumn</t>
  </si>
  <si>
    <t>1</t>
  </si>
  <si>
    <t>maxRows</t>
  </si>
  <si>
    <t>3</t>
  </si>
  <si>
    <t>maxColumns</t>
  </si>
  <si>
    <t>211</t>
  </si>
  <si>
    <t>topLeft</t>
  </si>
  <si>
    <t>K6</t>
  </si>
  <si>
    <t>caMembers</t>
  </si>
  <si>
    <t>[PERIODID4].[].[200473]_x000D_
[PERIODID4].[].[200474]_x000D_
[PERIODID4].[].[200475]_x000D_
[PERIODID4].[].[200476]_x000D_
[PERIODID4].[].[200477]_x000D_
[PERIODID4].[].[200478]_x000D_
[PERIODID4].[].[200479]_x000D_
[PERIODID4].[].[200480]_x000D_
[PERIODID4].[].[200481]_x000D_
[PERIODID4].[].[200482]_x000D_
[PERIODID4].[].[200483]_x000D_
[PERIODID4].[].[200484]_x000D_
[PERIODID4].[].[200485]_x000D_
[PERIODID4].[].[200486]_x000D_
[PERIODID4].[].[200487]_x000D_
[PERIODID4].[].[200488]_x000D_
[PERIODID4].[].[200489]_x000D_
[PERIODID4].[].[200490]_x000D_
[PERIODID4].[].[200491]_x000D_
[PERIODID4].[].[200492]_x000D_
[PERIODID4].[].[200493]_x000D_
[PERIODID4].[].[200494]_x000D_
[PERIODID4].[].[200495]_x000D_
[PERIODID4].[].[200496]_x000D_
[PERIODID4].[].[200497]_x000D_
[PERIODID4].[].[200498]_x000D_
[PERIODID4].[].[200499]_x000D_
[PERIODID4].[].[200500]_x000D_
[PERIODID4].[].[200501]_x000D_
[PERIODID4].[].[200502]_x000D_
[PERIODID4].[].[200503]_x000D_
[PERIODID4].[].[200504]_x000D_
[PERIODID4].[].[200505]_x000D_
[PERIODID4].[].[200506]_x000D_
[PERIODID4].[].[200507]_x000D_
[PERIODID4].[].[200508]_x000D_
[PERIODID4].[].[200509]_x000D_
[PERIODID4].[].[200510]_x000D_
[PERIODID4].[].[200511]_x000D_
[PERIODID4].[].[200512]_x000D_
[PERIODID4].[].[200513]_x000D_
[PERIODID4].[].[200514]_x000D_
[PERIODID4].[].[200515]_x000D_
[PERIODID4].[].[200516]_x000D_
[PERIODID4].[].[200517]_x000D_
[PERIODID4].[].[200518]_x000D_
[PERIODID4].[].[200519]_x000D_
[PERIODID4].[].[200520]_x000D_
[PERIODID4].[].[200521]_x000D_
[PERIODID4].[].[200522]_x000D_
[PERIODID4].[].[200523]_x000D_
[PERIODID4].[].[200524]_x000D_
[PERIODID4].[].[200525]_x000D_
[PERIODID4].[].[200526]_x000D_
[PERIODID4].[].[200527]_x000D_
[PERIODID4].[].[200528]_x000D_
[PERIODID4].[].[200529]_x000D_
[PERIODID4].[].[200530]_x000D_
[PERIODID4].[].[200531]_x000D_
[PERIODID4].[].[200532]_x000D_
[PERIODID4].[].[200533]_x000D_
[PERIODID4].[].[200534]_x000D_
[PERIODID4].[].[200535]_x000D_
[PERIODID4].[].[200536]_x000D_
[PERIODID4].[].[200537]_x000D_
[PERIODID4].[].[200538]_x000D_
[PERIODID4].[].[200539]_x000D_
[PERIODID4].[].[200540]_x000D_
[PERIODID4].[].[200541]_x000D_
[PERIODID4].[].[200542]_x000D_
[PERIODID4].[].[200543]_x000D_
[PERIODID4].[].[200544]_x000D_
[PERIODID4].[].[200545]_x000D_
[PERIODID4].[].[200546]_x000D_
[PERIODID4].[].[200547]_x000D_
[PERIODID4].[].[200548]_x000D_
[PERIODID4].[].[200549]_x000D_
[PERIODID4].[].[200550]_x000D_
[PERIODID4].[].[200551]_x000D_
[PERIODID4].[].[200552]_x000D_
[PERIODID4].[].[200553]_x000D_
[PERIODID4].[].[200554]_x000D_
[PERIODID4].[].[200555]_x000D_
[PERIODID4].[].[200556]_x000D_
[PERIODID4].[].[200557]_x000D_
[PERIODID4].[].[200558]_x000D_
[PERIODID4].[].[200559]_x000D_
[PERIODID4].[].[200560]_x000D_
[PERIODID4].[].[200561]_x000D_
[PERIODID4].[].[200562]_x000D_
[PERIODID4].[].[200563]_x000D_
[PERIODID4].[].[200564]_x000D_
[PERIODID4].[].[200565]_x000D_
[PERIODID4].[].[200566]_x000D_
[PERIODID4].[].[200567]_x000D_
[PERIODID4].[].[200568]_x000D_
[PERIODID4].[].[200569]_x000D_
[PERIODID4].[].[200570]_x000D_
[PERIODID4].[].[200571]_x000D_
[PERIODID4].[].[200572]_x000D_
[PERIODID4].[].[200573]_x000D_
[PERIODID4].[].[200574]_x000D_
[PERIODID4].[].[200575]_x000D_
[PERIODID4].[].[200576]_x000D_
[PERIODID4].[].[200577]_x000D_
[PERIODID4].[].[200578]_x000D_
[PERIODID4].[].[200579]_x000D_
[PERIODID4].[].[200580]_x000D_
[PERIODID4].[].[200581]_x000D_
[PERIODID4].[].[200582]_x000D_
[PERIODID4].[].[200583]_x000D_
[PERIODID4].[].[200584]_x000D_
[PERIODID4].[].[200585]_x000D_
[PERIODID4].[].[200586]_x000D_
[PERIODID4].[].[200587]_x000D_
[PERIODID4].[].[200588]_x000D_
[PERIODID4].[].[200589]_x000D_
[PERIODID4].[].[200590]_x000D_
[PERIODID4].[].[200591]_x000D_
[PERIODID4].[].[200592]_x000D_
[PERIODID4].[].[200593]_x000D_
[PERIODID4].[].[200594]_x000D_
[PERIODID4].[].[200595]_x000D_
[PERIODID4].[].[200596]_x000D_
[PERIODID4].[].[200597]_x000D_
[PERIODID4].[].[200598]_x000D_
[PERIODID4].[].[200599]_x000D_
[PERIODID4].[].[200600]_x000D_
[PERIODID4].[].[200601]_x000D_
[PERIODID4].[].[200602]_x000D_
[PERIODID4].[].[200603]_x000D_
[PERIODID4].[].[200604]_x000D_
[PERIODID4].[].[200605]_x000D_
[PERIODID4].[].[200606]_x000D_
[PERIODID4].[].[200607]_x000D_
[PERIODID4].[].[200608]_x000D_
[PERIODID4].[].[200609]_x000D_
[PERIODID4].[].[200610]_x000D_
[PERIODID4].[].[200611]_x000D_
[PERIODID4].[].[200612]_x000D_
[PERIODID4].[].[200613]_x000D_
[PERIODID4].[].[200614]_x000D_
[PERIODID4].[].[200615]_x000D_
[PERIODID4].[].[200616]_x000D_
[PERIODID4].[].[200617]_x000D_
[PERIODID4].[].[200618]_x000D_
[PERIODID4].[].[200619]_x000D_
[PERIODID4].[].[200620]_x000D_
[PERIODID4].[].[200621]_x000D_
[PERIODID4].[].[200622]_x000D_
[PERIODID4].[].[200623]_x000D_
[PERIODID4].[].[200624]_x000D_
[PERIODID4].[].[200625]_x000D_
[PERIODID4].[].[200626]_x000D_
[PERIODID4].[].[200627]_x000D_
[PERIODID4].[].[200628]_x000D_
[PERIODID4].[].[200629]_x000D_
[PERIODID4].[].[200630]_x000D_
[PERIODID4].[].[200631]_x000D_
[PERIODID4].[].[200632]_x000D_
[PERIODID4].[].[200633]_x000D_
[PERIODID4].[].[200634]_x000D_
[PERIODID4].[].[200635]_x000D_
[PERIODID4].[].[200636]_x000D_
[PERIODID4].[].[200637]_x000D_
[PERIODID4].[].[200638]_x000D_
[PERIODID4].[].[200639]_x000D_
[PERIODID4].[].[200640]_x000D_
[PERIODID4].[].[200641]_x000D_
[PERIODID4].[].[200642]_x000D_
[PERIODID4].[].[200643]_x000D_
[PERIODID4].[].[200644]_x000D_
[PERIODID4].[].[200645]_x000D_
[PERIODID4].[].[200646]_x000D_
[PERIODID4].[].[200647]_x000D_
[PERIODID4].[].[200648]_x000D_
[PERIODID4].[].[200649]_x000D_
[PERIODID4].[].[200650]_x000D_
[PERIODID4].[].[200651]_x000D_
[PERIODID4].[].[200652]_x000D_
[PERIODID4].[].[200653]_x000D_
[PERIODID4].[].[200654]_x000D_
[PERIODID4].[].[200655]_x000D_
[PERIODID4].[].[200656]_x000D_
[PERIODID4].[].[200657]_x000D_
[PERIODID4].[].[200658]_x000D_
[PERIODID4].[].[200659]_x000D_
[PERIODID4].[].[200660]_x000D_
[PERIODID4].[].[200661]_x000D_
[PERIODID4].[].[200662]_x000D_
[PERIODID4].[].[200663]_x000D_
[PERIODID4].[].[200664]_x000D_
[PERIODID4].[].[200665]_x000D_
[PERIODID4].[].[200666]_x000D_
[PERIODID4].[].[200667]_x000D_
[PERIODID4].[].[200668]_x000D_
[PERIODID4].[].[200669]_x000D_
[PERIODID4].[].[200670]_x000D_
[PERIODID4].[].[200671]_x000D_
[PERIODID4].[].[200672]</t>
  </si>
  <si>
    <t>[PERIODID4].[].[200673]</t>
  </si>
  <si>
    <t>raMembers</t>
  </si>
  <si>
    <t>[MARKETSEGMENT].[].[__ALL]_x000D_
[ZLPG].[].[__ALL]_x000D_
[ZGFCUSTGROUP].[].[__ALL]_x000D_
[LOCID].[].[__ALL]_x000D_
[KEY_FIGURES].[].[ZGFLYINVQTY]_x000D_
[MARKETSEGMENT].[].[__ALL]_x000D_
[ZLPG].[].[__ALL]_x000D_
[ZGFCUSTGROUP].[].[__ALL]_x000D_
[LOCID].[].[__ALL]_x000D_
[KEY_FIGURES].[].[ZGFLYINVQTY]</t>
  </si>
  <si>
    <t/>
  </si>
  <si>
    <t>[MARKETSEGMENT].[].[G144_01_01]_x000D_
[ZLPG].[].[V7]_x000D_
[ZGFCUSTGROUP].[].[BO]_x000D_
[LOCID].[].[2012]_x000D_
[KEY_FIGURES].[].[ZGFADJINVQTYMAN]_x000D_
[MARKETSEGMENT].[].[G144_01_01]_x000D_
[ZLPG].[].[V7]_x000D_
[ZGFCUSTGROUP].[].[BO]_x000D_
[LOCID].[].[2012]_x000D_
[KEY_FIGURES].[].[ZGFADJACTINVQTY]_x000D_
[MARKETSEGMENT].[].[G144_01_01]_x000D_
[ZLPG].[].[V7]_x000D_
[ZGFCUSTGROUP].[].[BO]_x000D_
[LOCID].[].[2012]_x000D_
[KEY_FIGURES].[].[ZGFSTATFCSTQTY]_x000D_
[MARKETSEGMENT].[].[G144_01_01]_x000D_
[ZLPG].[].[V7]_x000D_
[ZGFCUSTGROUP].[].[BO]_x000D_
[LOCID].[].[2012]_x000D_
[KEY_FIGURES].[].[ZGFADJUSTMENTQTY]_x000D_
[MARKETSEGMENT].[].[G144_01_01]_x000D_
[ZLPG].[].[V7]_x000D_
[ZGFCUSTGROUP].[].[BO]_x000D_
[LOCID].[].[2012]_x000D_
[KEY_FIGURES].[].[ZGFADJUSTMENTQTYPCT]_x000D_
[MARKETSEGMENT].[].[G144_01_01]_x000D_
[ZLPG].[].[V7]_x000D_
[ZGFCUSTGROUP].[].[BO]_x000D_
[LOCID].[].[2012]_x000D_
[KEY_FIGURES].[].[ZGFBASELINEADJUSTED]_x000D_
[MARKETSEGMENT].[].[G144_01_01]_x000D_
[ZLPG].[].[V7]_x000D_
[ZGFCUSTGROUP].[].[BO]_x000D_
[LOCID].[].[2012]_x000D_
[KEY_FIGURES].[].[ZGFPROMOINC]_x000D_
[MARKETSEGMENT].[].[G144_01_01]_x000D_
[ZLPG].[].[V7]_x000D_
[ZGFCUSTGROUP].[].[BO]_x000D_
[LOCID].[].[2012]_x000D_
[KEY_FIGURES].[].[ZGFEVENTADJUSTMENTS1]_x000D_
[MARKETSEGMENT].[].[G144_01_01]_x000D_
[ZLPG].[].[V7]_x000D_
[ZGFCUSTGROUP].[].[BO]_x000D_
[LOCID].[].[2012]_x000D_
[KEY_FIGURES].[].[ZGFEVENTADJUSTMENTS2]_x000D_
[MARKETSEGMENT].[].[G144_01_01]_x000D_
[ZLPG].[].[V7]_x000D_
[ZGFCUSTGROUP].[].[BO]_x000D_
[LOCID].[].[2012]_x000D_
[KEY_FIGURES].[].[ZGFNETFORECAST]_x000D_
[MARKETSEGMENT].[].[G144_01_01]_x000D_
[ZLPG].[].[V7]_x000D_
[ZGFCUSTGROUP].[].[BO]_x000D_
[LOCID].[].[2012]_x000D_
[KEY_FIGURES].[].[ZGFAPPROVEDFCSTQTY]_x000D_
[MARKETSEGMENT].[].[G144_01_01]_x000D_
[ZLPG].[].[V7]_x000D_
[ZGFCUSTGROUP].[].[BO]_x000D_
[LOCID].[].[2012]_x000D_
[KEY_FIGURES].[].[ZGFFCSTOVERWRITEMAN]_x000D_
[MARKETSEGMENT].[].[G144_01_01]_x000D_
[ZLPG].[].[V7]_x000D_
[ZGFCUSTGROUP].[].[BO]_x000D_
[LOCID].[].[2012]_x000D_
[KEY_FIGURES].[].[ZGFPREVAPPROVEDFCSTTY]_x000D_
[MARKETSEGMENT].[].[G144_01_01]_x000D_
[ZLPG].[].[V7]_x000D_
[ZGFCUSTGROUP].[].[BO]_x000D_
[LOCID].[].[2012]_x000D_
[KEY_FIGURES].[].[ZGFPROPFACTORDAY]_x000D_
[MARKETSEGMENT].[].[G144_01_01]_x000D_
[ZLPG].[].[V7]_x000D_
[ZGFCUSTGROUP].[].[BO]_x000D_
[LOCID].[].[2012]_x000D_
[KEY_FIGURES].[].[ZGFPROPFACTORDAYACT]_x000D_
[MARKETSEGMENT].[].[G144_01_01]_x000D_
[ZLPG].[].[V7]_x000D_
[ZGFCUSTGROUP].[].[BO]_x000D_
[LOCID].[].[2013]_x000D_
[KEY_FIGURES].[].[ZGFLYINVQTY]_x000D_
[MARKETSEGMENT].[].[G144_01_01]_x000D_
[ZLPG].[].[V7]_x000D_
[ZGFCUSTGROUP].[].[BO]_x000D_
[LOCID].[].[2013]_x000D_
[KEY_FIGURES].[].[ZGFSALESORDQTY]_x000D_
[MARKETSEGMENT].[].[G144_01_01]_x000D_
[ZLPG].[].[V7]_x000D_
[ZGFCUSTGROUP].[].[BO]_x000D_
[LOCID].[].[2013]_x000D_
[KEY_FIGURES].[].[ZGFINVQTY]_x000D_
[MARKETSEGMENT].[].[G144_01_01]_x000D_
[ZLPG].[].[V7]_x000D_
[ZGFCUSTGROUP].[].[BO]_x000D_
[LOCID].[].[2013]_x000D_
[KEY_FIGURES].[].[ZGFACTCORRINVQTY]_x000D_
[MARKETSEGMENT].[].[G144_01_01]_x000D_
[ZLPG].[].[V7]_x000D_
[ZGFCUSTGROUP].[].[BO]_x000D_
[LOCID].[].[2013]_x000D_
[KEY_FIGURES].[].[ZGFADJINVQTYMAN]_x000D_
[MARKETSEGMENT].[].[G144_01_01]_x000D_
[ZLPG].[].[V7]_x000D_
[ZGFCUSTGROUP].[].[BO]_x000D_
[LOCID].[].[2013]_x000D_
[KEY_FIGURES].[].[ZGFADJACTINVQTY]_x000D_
[MARKETSEGMENT].[].[G144_01_01]_x000D_
[ZLPG].[].[V7]_x000D_
[ZGFCUSTGROUP].[].[BO]_x000D_
[LOCID].[].[2013]_x000D_
[KEY_FIGURES].[].[ZGFSTATFCSTQTY]_x000D_
[MARKETSEGMENT].[].[G144_01_01]_x000D_
[ZLPG].[].[V7]_x000D_
[ZGFCUSTGROUP].[].[BO]_x000D_
[LOCID].[].[2013]_x000D_
[KEY_FIGURES].[].[ZGFADJUSTMENTQTY]_x000D_
[MARKETSEGMENT].[].[G144_01_01]_x000D_
[ZLPG].[].[V7]_x000D_
[ZGFCUSTGROUP].[].[BO]_x000D_
[LOCID].[].[2013]_x000D_
[KEY_FIGURES].[].[ZGFADJUSTMENTQTYPCT]_x000D_
[MARKETSEGMENT].[].[G144_01_01]_x000D_
[ZLPG].[].[V7]_x000D_
[ZGFCUSTGROUP].[].[BO]_x000D_
[LOCID].[].[2013]_x000D_
[KEY_FIGURES].[].[ZGFBASELINEADJUSTED]_x000D_
[MARKETSEGMENT].[].[G144_01_01]_x000D_
[ZLPG].[].[V7]_x000D_
[ZGFCUSTGROUP].[].[BO]_x000D_
[LOCID].[].[2013]_x000D_
[KEY_FIGURES].[].[ZGFPROMOINC]_x000D_
[MARKETSEGMENT].[].[G144_01_01]_x000D_
[ZLPG].[].[V7]_x000D_
[ZGFCUSTGROUP].[].[BO]_x000D_
[LOCID].[].[2013]_x000D_
[KEY_FIGURES].[].[ZGFEVENTADJUSTMENTS1]_x000D_
[MARKETSEGMENT].[].[G144_01_01]_x000D_
[ZLPG].[].[V7]_x000D_
[ZGFCUSTGROUP].[].[BO]_x000D_
[LOCID].[].[2013]_x000D_
[KEY_FIGURES].[].[ZGFEVENTADJUSTMENTS2]_x000D_
[MARKETSEGMENT].[].[G144_01_01]_x000D_
[ZLPG].[].[V7]_x000D_
[ZGFCUSTGROUP].[].[BO]_x000D_
[LOCID].[].[2013]_x000D_
[KEY_FIGURES].[].[ZGFNETFORECAST]_x000D_
[MARKETSEGMENT].[].[G144_01_01]_x000D_
[ZLPG].[].[V7]_x000D_
[ZGFCUSTGROUP].[].[BO]_x000D_
[LOCID].[].[2013]_x000D_
[KEY_FIGURES].[].[ZGFAPPROVEDFCSTQTY]_x000D_
[MARKETSEGMENT].[].[G144_01_01]_x000D_
[ZLPG].[].[V7]_x000D_
[ZGFCUSTGROUP].[].[BO]_x000D_
[LOCID].[].[2013]_x000D_
[KEY_FIGURES].[].[ZGFFCSTOVERWRITEMAN]_x000D_
[MARKETSEGMENT].[].[G144_01_01]_x000D_
[ZLPG].[].[V7]_x000D_
[ZGFCUSTGROUP].[].[BO]_x000D_
[LOCID].[].[2013]_x000D_
[KEY_FIGURES].[].[ZGFPREVAPPROVEDFCSTTY]_x000D_
[MARKETSEGMENT].[].[G144_01_01]_x000D_
[ZLPG].[].[V7]_x000D_
[ZGFCUSTGROUP].[].[BO]_x000D_
[LOCID].[].[2013]_x000D_
[KEY_FIGURES].[].[ZGFPROPFACTORDAY]_x000D_
[MARKETSEGMENT].[].[G144_01_01]_x000D_
[ZLPG].[].[V7]_x000D_
[ZGFCUSTGROUP].[].[BO]_x000D_
[LOCID].[].[2013]_x000D_
[KEY_FIGURES].[].[ZGFPROPFACTORDAYACT]_x000D_
[MARKETSEGMENT].[].[G144_01_01]_x000D_
[ZLPG].[].[V7]_x000D_
[ZGFCUSTGROUP].[].[BO]_x000D_
[LOCID].[].[2022]_x000D_
[KEY_FIGURES].[].[ZGFLYINVQTY]_x000D_
[MARKETSEGMENT].[].[G144_01_01]_x000D_
[ZLPG].[].[V7]_x000D_
[ZGFCUSTGROUP].[].[BO]_x000D_
[LOCID].[].[2022]_x000D_
[KEY_FIGURES].[].[ZGFSALESORDQTY]_x000D_
[MARKETSEGMENT].[].[G144_01_01]_x000D_
[ZLPG].[].[V7]_x000D_
[ZGFCUSTGROUP].[].[BO]_x000D_
[LOCID].[].[2022]_x000D_
[KEY_FIGURES].[].[ZGFINVQTY]_x000D_
[MARKETSEGMENT].[].[G144_01_01]_x000D_
[ZLPG].[].[V7]_x000D_
[ZGFCUSTGROUP].[].[BO]_x000D_
[LOCID].[].[2022]_x000D_
[KEY_FIGURES].[].[ZGFACTCORRINVQTY]_x000D_
[MARKETSEGMENT].[].[G144_01_01]_x000D_
[ZLPG].[].[V7]_x000D_
[ZGFCUSTGROUP].[].[BO]_x000D_
[LOCID].[].[2022]_x000D_
[KEY_FIGURES].[].[ZGFADJINVQTYMAN]_x000D_
[MARKETSEGMENT].[].[G144_01_01]_x000D_
[ZLPG].[].[V7]_x000D_
[ZGFCUSTGROUP].[].[BO]_x000D_
[LOCID].[].[2022]_x000D_
[KEY_FIGURES].[].[ZGFADJACTINVQTY]</t>
  </si>
  <si>
    <t>[MARKETSEGMENT].[].[G144_01_01]_x000D_
[ZLPG].[].[V7]_x000D_
[ZGFCUSTGROUP].[].[BO]_x000D_
[LOCID].[].[2022]_x000D_
[KEY_FIGURES].[].[ZGFSTATFCSTQTY]_x000D_
[MARKETSEGMENT].[].[G144_01_01]_x000D_
[ZLPG].[].[V7]_x000D_
[ZGFCUSTGROUP].[].[BO]_x000D_
[LOCID].[].[2022]_x000D_
[KEY_FIGURES].[].[ZGFADJUSTMENTQTY]_x000D_
[MARKETSEGMENT].[].[G144_01_01]_x000D_
[ZLPG].[].[V7]_x000D_
[ZGFCUSTGROUP].[].[BO]_x000D_
[LOCID].[].[2022]_x000D_
[KEY_FIGURES].[].[ZGFADJUSTMENTQTYPCT]_x000D_
[MARKETSEGMENT].[].[G144_01_01]_x000D_
[ZLPG].[].[V7]_x000D_
[ZGFCUSTGROUP].[].[BO]_x000D_
[LOCID].[].[2022]_x000D_
[KEY_FIGURES].[].[ZGFBASELINEADJUSTED]_x000D_
[MARKETSEGMENT].[].[G144_01_01]_x000D_
[ZLPG].[].[V7]_x000D_
[ZGFCUSTGROUP].[].[BO]_x000D_
[LOCID].[].[2022]_x000D_
[KEY_FIGURES].[].[ZGFPROMOINC]_x000D_
[MARKETSEGMENT].[].[G144_01_01]_x000D_
[ZLPG].[].[V7]_x000D_
[ZGFCUSTGROUP].[].[BO]_x000D_
[LOCID].[].[2022]_x000D_
[KEY_FIGURES].[].[ZGFEVENTADJUSTMENTS1]_x000D_
[MARKETSEGMENT].[].[G144_01_01]_x000D_
[ZLPG].[].[V7]_x000D_
[ZGFCUSTGROUP].[].[BO]_x000D_
[LOCID].[].[2022]_x000D_
[KEY_FIGURES].[].[ZGFEVENTADJUSTMENTS2]_x000D_
[MARKETSEGMENT].[].[G144_01_01]_x000D_
[ZLPG].[].[V7]_x000D_
[ZGFCUSTGROUP].[].[BO]_x000D_
[LOCID].[].[2022]_x000D_
[KEY_FIGURES].[].[ZGFNETFORECAST]_x000D_
[MARKETSEGMENT].[].[G144_01_01]_x000D_
[ZLPG].[].[V7]_x000D_
[ZGFCUSTGROUP].[].[BO]_x000D_
[LOCID].[].[2022]_x000D_
[KEY_FIGURES].[].[ZGFAPPROVEDFCSTQTY]_x000D_
[MARKETSEGMENT].[].[G144_01_01]_x000D_
[ZLPG].[].[V7]_x000D_
[ZGFCUSTGROUP].[].[BO]_x000D_
[LOCID].[].[2022]_x000D_
[KEY_FIGURES].[].[ZGFFCSTOVERWRITEMAN]_x000D_
[MARKETSEGMENT].[].[G144_01_01]_x000D_
[ZLPG].[].[V7]_x000D_
[ZGFCUSTGROUP].[].[BO]_x000D_
[LOCID].[].[2022]_x000D_
[KEY_FIGURES].[].[ZGFPREVAPPROVEDFCSTTY]_x000D_
[MARKETSEGMENT].[].[G144_01_01]_x000D_
[ZLPG].[].[V7]_x000D_
[ZGFCUSTGROUP].[].[BO]_x000D_
[LOCID].[].[2022]_x000D_
[KEY_FIGURES].[].[ZGFPROPFACTORDAY]_x000D_
[MARKETSEGMENT].[].[G144_01_01]_x000D_
[ZLPG].[].[V7]_x000D_
[ZGFCUSTGROUP].[].[BO]_x000D_
[LOCID].[].[2022]_x000D_
[KEY_FIGURES].[].[ZGFPROPFACTORDAYACT]_x000D_
[MARKETSEGMENT].[].[G144_01_01]_x000D_
[ZLPG].[].[V7]_x000D_
[ZGFCUSTGROUP].[].[BO]_x000D_
[LOCID].[].[2023]_x000D_
[KEY_FIGURES].[].[ZGFLYINVQTY]_x000D_
[MARKETSEGMENT].[].[G144_01_01]_x000D_
[ZLPG].[].[V7]_x000D_
[ZGFCUSTGROUP].[].[BO]_x000D_
[LOCID].[].[2023]_x000D_
[KEY_FIGURES].[].[ZGFSALESORDQTY]_x000D_
[MARKETSEGMENT].[].[G144_01_01]_x000D_
[ZLPG].[].[V7]_x000D_
[ZGFCUSTGROUP].[].[BO]_x000D_
[LOCID].[].[2023]_x000D_
[KEY_FIGURES].[].[ZGFINVQTY]_x000D_
[MARKETSEGMENT].[].[G144_01_01]_x000D_
[ZLPG].[].[V7]_x000D_
[ZGFCUSTGROUP].[].[BO]_x000D_
[LOCID].[].[2023]_x000D_
[KEY_FIGURES].[].[ZGFACTCORRINVQTY]_x000D_
[MARKETSEGMENT].[].[G144_01_01]_x000D_
[ZLPG].[].[V7]_x000D_
[ZGFCUSTGROUP].[].[BO]_x000D_
[LOCID].[].[2023]_x000D_
[KEY_FIGURES].[].[ZGFADJINVQTYMAN]_x000D_
[MARKETSEGMENT].[].[G144_01_01]_x000D_
[ZLPG].[].[V7]_x000D_
[ZGFCUSTGROUP].[].[BO]_x000D_
[LOCID].[].[2023]_x000D_
[KEY_FIGURES].[].[ZGFADJACTINVQTY]_x000D_
[MARKETSEGMENT].[].[G144_01_01]_x000D_
[ZLPG].[].[V7]_x000D_
[ZGFCUSTGROUP].[].[BO]_x000D_
[LOCID].[].[2023]_x000D_
[KEY_FIGURES].[].[ZGFSTATFCSTQTY]_x000D_
[MARKETSEGMENT].[].[G144_01_01]_x000D_
[ZLPG].[].[V7]_x000D_
[ZGFCUSTGROUP].[].[BO]_x000D_
[LOCID].[].[2023]_x000D_
[KEY_FIGURES].[].[ZGFADJUSTMENTQTY]_x000D_
[MARKETSEGMENT].[].[G144_01_01]_x000D_
[ZLPG].[].[V7]_x000D_
[ZGFCUSTGROUP].[].[BO]_x000D_
[LOCID].[].[2023]_x000D_
[KEY_FIGURES].[].[ZGFADJUSTMENTQTYPCT]_x000D_
[MARKETSEGMENT].[].[G144_01_01]_x000D_
[ZLPG].[].[V7]_x000D_
[ZGFCUSTGROUP].[].[BO]_x000D_
[LOCID].[].[2023]_x000D_
[KEY_FIGURES].[].[ZGFBASELINEADJUSTED]_x000D_
[MARKETSEGMENT].[].[G144_01_01]_x000D_
[ZLPG].[].[V7]_x000D_
[ZGFCUSTGROUP].[].[BO]_x000D_
[LOCID].[].[2023]_x000D_
[KEY_FIGURES].[].[ZGFPROMOINC]_x000D_
[MARKETSEGMENT].[].[G144_01_01]_x000D_
[ZLPG].[].[V7]_x000D_
[ZGFCUSTGROUP].[].[BO]_x000D_
[LOCID].[].[2023]_x000D_
[KEY_FIGURES].[].[ZGFEVENTADJUSTMENTS1]_x000D_
[MARKETSEGMENT].[].[G144_01_01]_x000D_
[ZLPG].[].[V7]_x000D_
[ZGFCUSTGROUP].[].[BO]_x000D_
[LOCID].[].[2023]_x000D_
[KEY_FIGURES].[].[ZGFEVENTADJUSTMENTS2]_x000D_
[MARKETSEGMENT].[].[G144_01_01]_x000D_
[ZLPG].[].[V7]_x000D_
[ZGFCUSTGROUP].[].[BO]_x000D_
[LOCID].[].[2023]_x000D_
[KEY_FIGURES].[].[ZGFNETFORECAST]_x000D_
[MARKETSEGMENT].[].[G144_01_01]_x000D_
[ZLPG].[].[V7]_x000D_
[ZGFCUSTGROUP].[].[BO]_x000D_
[LOCID].[].[2023]_x000D_
[KEY_FIGURES].[].[ZGFAPPROVEDFCSTQTY]_x000D_
[MARKETSEGMENT].[].[G144_01_01]_x000D_
[ZLPG].[].[V7]_x000D_
[ZGFCUSTGROUP].[].[BO]_x000D_
[LOCID].[].[2023]_x000D_
[KEY_FIGURES].[].[ZGFFCSTOVERWRITEMAN]_x000D_
[MARKETSEGMENT].[].[G144_01_01]_x000D_
[ZLPG].[].[V7]_x000D_
[ZGFCUSTGROUP].[].[BO]_x000D_
[LOCID].[].[2023]_x000D_
[KEY_FIGURES].[].[ZGFPREVAPPROVEDFCSTTY]_x000D_
[MARKETSEGMENT].[].[G144_01_01]_x000D_
[ZLPG].[].[V7]_x000D_
[ZGFCUSTGROUP].[].[BO]_x000D_
[LOCID].[].[2023]_x000D_
[KEY_FIGURES].[].[ZGFPROPFACTORDAY]_x000D_
[MARKETSEGMENT].[].[G144_01_01]_x000D_
[ZLPG].[].[V7]_x000D_
[ZGFCUSTGROUP].[].[BO]_x000D_
[LOCID].[].[2023]_x000D_
[KEY_FIGURES].[].[ZGFPROPFACTORDAYACT]_x000D_
[MARKETSEGMENT].[].[G144_01_01]_x000D_
[ZLPG].[].[V7]_x000D_
[ZGFCUSTGROUP].[].[DI]_x000D_
[LOCID].[].[2013]_x000D_
[KEY_FIGURES].[].[ZGFLYINVQTY]_x000D_
[MARKETSEGMENT].[].[G144_01_01]_x000D_
[ZLPG].[].[V7]_x000D_
[ZGFCUSTGROUP].[].[DI]_x000D_
[LOCID].[].[2013]_x000D_
[KEY_FIGURES].[].[ZGFSALESORDQTY]_x000D_
[MARKETSEGMENT].[].[G144_01_01]_x000D_
[ZLPG].[].[V7]_x000D_
[ZGFCUSTGROUP].[].[DI]_x000D_
[LOCID].[].[2013]_x000D_
[KEY_FIGURES].[].[ZGFINVQTY]_x000D_
[MARKETSEGMENT].[].[G144_01_01]_x000D_
[ZLPG].[].[V7]_x000D_
[ZGFCUSTGROUP].[].[DI]_x000D_
[LOCID].[].[2013]_x000D_
[KEY_FIGURES].[].[ZGFACTCORRINVQTY]_x000D_
[MARKETSEGMENT].[].[G144_01_01]_x000D_
[ZLPG].[].[V7]_x000D_
[ZGFCUSTGROUP].[].[DI]_x000D_
[LOCID].[].[2013]_x000D_
[KEY_FIGURES].[].[ZGFADJINVQTYMAN]_x000D_
[MARKETSEGMENT].[].[G144_01_01]_x000D_
[ZLPG].[].[V7]_x000D_
[ZGFCUSTGROUP].[].[DI]_x000D_
[LOCID].[].[2013]_x000D_
[KEY_FIGURES].[].[ZGFADJACTINVQTY]_x000D_
[MARKETSEGMENT].[].[G144_01_01]_x000D_
[ZLPG].[].[V7]_x000D_
[ZGFCUSTGROUP].[].[DI]_x000D_
[LOCID].[].[2013]_x000D_
[KEY_FIGURES].[].[ZGFSTATFCSTQTY]_x000D_
[MARKETSEGMENT].[].[G144_01_01]_x000D_
[ZLPG].[].[V7]_x000D_
[ZGFCUSTGROUP].[].[DI]_x000D_
[LOCID].[].[2013]_x000D_
[KEY_FIGURES].[].[ZGFADJUSTMENTQTY]</t>
  </si>
  <si>
    <t>[MARKETSEGMENT].[].[G144_01_01]_x000D_
[ZLPG].[].[V7]_x000D_
[ZGFCUSTGROUP].[].[DI]_x000D_
[LOCID].[].[2013]_x000D_
[KEY_FIGURES].[].[ZGFADJUSTMENTQTYPCT]_x000D_
[MARKETSEGMENT].[].[G144_01_01]_x000D_
[ZLPG].[].[V7]_x000D_
[ZGFCUSTGROUP].[].[DI]_x000D_
[LOCID].[].[2013]_x000D_
[KEY_FIGURES].[].[ZGFBASELINEADJUSTED]_x000D_
[MARKETSEGMENT].[].[G144_01_01]_x000D_
[ZLPG].[].[V7]_x000D_
[ZGFCUSTGROUP].[].[DI]_x000D_
[LOCID].[].[2013]_x000D_
[KEY_FIGURES].[].[ZGFPROMOINC]_x000D_
[MARKETSEGMENT].[].[G144_01_01]_x000D_
[ZLPG].[].[V7]_x000D_
[ZGFCUSTGROUP].[].[DI]_x000D_
[LOCID].[].[2013]_x000D_
[KEY_FIGURES].[].[ZGFEVENTADJUSTMENTS1]_x000D_
[MARKETSEGMENT].[].[G144_01_01]_x000D_
[ZLPG].[].[V7]_x000D_
[ZGFCUSTGROUP].[].[DI]_x000D_
[LOCID].[].[2013]_x000D_
[KEY_FIGURES].[].[ZGFEVENTADJUSTMENTS2]_x000D_
[MARKETSEGMENT].[].[G144_01_01]_x000D_
[ZLPG].[].[V7]_x000D_
[ZGFCUSTGROUP].[].[DI]_x000D_
[LOCID].[].[2013]_x000D_
[KEY_FIGURES].[].[ZGFNETFORECAST]_x000D_
[MARKETSEGMENT].[].[G144_01_01]_x000D_
[ZLPG].[].[V7]_x000D_
[ZGFCUSTGROUP].[].[DI]_x000D_
[LOCID].[].[2013]_x000D_
[KEY_FIGURES].[].[ZGFAPPROVEDFCSTQTY]_x000D_
[MARKETSEGMENT].[].[G144_01_01]_x000D_
[ZLPG].[].[V7]_x000D_
[ZGFCUSTGROUP].[].[DI]_x000D_
[LOCID].[].[2013]_x000D_
[KEY_FIGURES].[].[ZGFFCSTOVERWRITEMAN]_x000D_
[MARKETSEGMENT].[].[G144_01_01]_x000D_
[ZLPG].[].[V7]_x000D_
[ZGFCUSTGROUP].[].[DI]_x000D_
[LOCID].[].[2013]_x000D_
[KEY_FIGURES].[].[ZGFPREVAPPROVEDFCSTTY]_x000D_
[MARKETSEGMENT].[].[G144_01_01]_x000D_
[ZLPG].[].[V7]_x000D_
[ZGFCUSTGROUP].[].[DI]_x000D_
[LOCID].[].[2013]_x000D_
[KEY_FIGURES].[].[ZGFPROPFACTORDAY]_x000D_
[MARKETSEGMENT].[].[G144_01_01]_x000D_
[ZLPG].[].[V7]_x000D_
[ZGFCUSTGROUP].[].[DI]_x000D_
[LOCID].[].[2013]_x000D_
[KEY_FIGURES].[].[ZGFPROPFACTORDAYACT]_x000D_
[MARKETSEGMENT].[].[G144_01_01]_x000D_
[ZLPG].[].[V7]_x000D_
[ZGFCUSTGROUP].[].[IN]_x000D_
[LOCID].[].[2013]_x000D_
[KEY_FIGURES].[].[ZGFLYINVQTY]_x000D_
[MARKETSEGMENT].[].[G144_01_01]_x000D_
[ZLPG].[].[V7]_x000D_
[ZGFCUSTGROUP].[].[IN]_x000D_
[LOCID].[].[2013]_x000D_
[KEY_FIGURES].[].[ZGFSALESORDQTY]_x000D_
[MARKETSEGMENT].[].[G144_01_01]_x000D_
[ZLPG].[].[V7]_x000D_
[ZGFCUSTGROUP].[].[IN]_x000D_
[LOCID].[].[2013]_x000D_
[KEY_FIGURES].[].[ZGFINVQTY]_x000D_
[MARKETSEGMENT].[].[G144_01_01]_x000D_
[ZLPG].[].[V7]_x000D_
[ZGFCUSTGROUP].[].[IN]_x000D_
[LOCID].[].[2013]_x000D_
[KEY_FIGURES].[].[ZGFACTCORRINVQTY]_x000D_
[MARKETSEGMENT].[].[G144_01_01]_x000D_
[ZLPG].[].[V7]_x000D_
[ZGFCUSTGROUP].[].[IN]_x000D_
[LOCID].[].[2013]_x000D_
[KEY_FIGURES].[].[ZGFADJINVQTYMAN]_x000D_
[MARKETSEGMENT].[].[G144_01_01]_x000D_
[ZLPG].[].[V7]_x000D_
[ZGFCUSTGROUP].[].[IN]_x000D_
[LOCID].[].[2013]_x000D_
[KEY_FIGURES].[].[ZGFADJACTINVQTY]_x000D_
[MARKETSEGMENT].[].[G144_01_01]_x000D_
[ZLPG].[].[V7]_x000D_
[ZGFCUSTGROUP].[].[IN]_x000D_
[LOCID].[].[2013]_x000D_
[KEY_FIGURES].[].[ZGFSTATFCSTQTY]_x000D_
[MARKETSEGMENT].[].[G144_01_01]_x000D_
[ZLPG].[].[V7]_x000D_
[ZGFCUSTGROUP].[].[IN]_x000D_
[LOCID].[].[2013]_x000D_
[KEY_FIGURES].[].[ZGFADJUSTMENTQTY]_x000D_
[MARKETSEGMENT].[].[G144_01_01]_x000D_
[ZLPG].[].[V7]_x000D_
[ZGFCUSTGROUP].[].[IN]_x000D_
[LOCID].[].[2013]_x000D_
[KEY_FIGURES].[].[ZGFADJUSTMENTQTYPCT]_x000D_
[MARKETSEGMENT].[].[G144_01_01]_x000D_
[ZLPG].[].[V7]_x000D_
[ZGFCUSTGROUP].[].[IN]_x000D_
[LOCID].[].[2013]_x000D_
[KEY_FIGURES].[].[ZGFBASELINEADJUSTED]_x000D_
[MARKETSEGMENT].[].[G144_01_01]_x000D_
[ZLPG].[].[V7]_x000D_
[ZGFCUSTGROUP].[].[IN]_x000D_
[LOCID].[].[2013]_x000D_
[KEY_FIGURES].[].[ZGFPROMOINC]_x000D_
[MARKETSEGMENT].[].[G144_01_01]_x000D_
[ZLPG].[].[V7]_x000D_
[ZGFCUSTGROUP].[].[IN]_x000D_
[LOCID].[].[2013]_x000D_
[KEY_FIGURES].[].[ZGFEVENTADJUSTMENTS1]_x000D_
[MARKETSEGMENT].[].[G144_01_01]_x000D_
[ZLPG].[].[V7]_x000D_
[ZGFCUSTGROUP].[].[IN]_x000D_
[LOCID].[].[2013]_x000D_
[KEY_FIGURES].[].[ZGFEVENTADJUSTMENTS2]_x000D_
[MARKETSEGMENT].[].[G144_01_01]_x000D_
[ZLPG].[].[V7]_x000D_
[ZGFCUSTGROUP].[].[IN]_x000D_
[LOCID].[].[2013]_x000D_
[KEY_FIGURES].[].[ZGFNETFORECAST]_x000D_
[MARKETSEGMENT].[].[G144_01_01]_x000D_
[ZLPG].[].[V7]_x000D_
[ZGFCUSTGROUP].[].[IN]_x000D_
[LOCID].[].[2013]_x000D_
[KEY_FIGURES].[].[ZGFAPPROVEDFCSTQTY]_x000D_
[MARKETSEGMENT].[].[G144_01_01]_x000D_
[ZLPG].[].[V7]_x000D_
[ZGFCUSTGROUP].[].[IN]_x000D_
[LOCID].[].[2013]_x000D_
[KEY_FIGURES].[].[ZGFFCSTOVERWRITEMAN]_x000D_
[MARKETSEGMENT].[].[G144_01_01]_x000D_
[ZLPG].[].[V7]_x000D_
[ZGFCUSTGROUP].[].[IN]_x000D_
[LOCID].[].[2013]_x000D_
[KEY_FIGURES].[].[ZGFPREVAPPROVEDFCSTTY]_x000D_
[MARKETSEGMENT].[].[G144_01_01]_x000D_
[ZLPG].[].[V7]_x000D_
[ZGFCUSTGROUP].[].[IN]_x000D_
[LOCID].[].[2013]_x000D_
[KEY_FIGURES].[].[ZGFPROPFACTORDAY]_x000D_
[MARKETSEGMENT].[].[G144_01_01]_x000D_
[ZLPG].[].[V7]_x000D_
[ZGFCUSTGROUP].[].[IN]_x000D_
[LOCID].[].[2013]_x000D_
[KEY_FIGURES].[].[ZGFPROPFACTORDAYACT]_x000D_
[MARKETSEGMENT].[].[G144_01_01]_x000D_
[ZLPG].[].[V7]_x000D_
[ZGFCUSTGROUP].[].[IN]_x000D_
[LOCID].[].[2023]_x000D_
[KEY_FIGURES].[].[ZGFLYINVQTY]_x000D_
[MARKETSEGMENT].[].[G144_01_01]_x000D_
[ZLPG].[].[V7]_x000D_
[ZGFCUSTGROUP].[].[IN]_x000D_
[LOCID].[].[2023]_x000D_
[KEY_FIGURES].[].[ZGFSALESORDQTY]_x000D_
[MARKETSEGMENT].[].[G144_01_01]_x000D_
[ZLPG].[].[V7]_x000D_
[ZGFCUSTGROUP].[].[IN]_x000D_
[LOCID].[].[2023]_x000D_
[KEY_FIGURES].[].[ZGFINVQTY]_x000D_
[MARKETSEGMENT].[].[G144_01_01]_x000D_
[ZLPG].[].[V7]_x000D_
[ZGFCUSTGROUP].[].[IN]_x000D_
[LOCID].[].[2023]_x000D_
[KEY_FIGURES].[].[ZGFACTCORRINVQTY]_x000D_
[MARKETSEGMENT].[].[G144_01_01]_x000D_
[ZLPG].[].[V7]_x000D_
[ZGFCUSTGROUP].[].[IN]_x000D_
[LOCID].[].[2023]_x000D_
[KEY_FIGURES].[].[ZGFADJINVQTYMAN]_x000D_
[MARKETSEGMENT].[].[G144_01_01]_x000D_
[ZLPG].[].[V7]_x000D_
[ZGFCUSTGROUP].[].[IN]_x000D_
[LOCID].[].[2023]_x000D_
[KEY_FIGURES].[].[ZGFADJACTINVQTY]_x000D_
[MARKETSEGMENT].[].[G144_01_01]_x000D_
[ZLPG].[].[V7]_x000D_
[ZGFCUSTGROUP].[].[IN]_x000D_
[LOCID].[].[2023]_x000D_
[KEY_FIGURES].[].[ZGFSTATFCSTQTY]_x000D_
[MARKETSEGMENT].[].[G144_01_01]_x000D_
[ZLPG].[].[V7]_x000D_
[ZGFCUSTGROUP].[].[IN]_x000D_
[LOCID].[].[2023]_x000D_
[KEY_FIGURES].[].[ZGFADJUSTMENTQTY]_x000D_
[MARKETSEGMENT].[].[G144_01_01]_x000D_
[ZLPG].[].[V7]_x000D_
[ZGFCUSTGROUP].[].[IN]_x000D_
[LOCID].[].[2023]_x000D_
[KEY_FIGURES].[].[ZGFADJUSTMENTQTYPCT]_x000D_
[MARKETSEGMENT].[].[G144_01_01]_x000D_
[ZLPG].[].[V7]_x000D_
[ZGFCUSTGROUP].[].[IN]_x000D_
[LOCID].[].[2023]_x000D_
[KEY_FIGURES].[].[ZGFBASELINEADJUSTED]</t>
  </si>
  <si>
    <t>[MARKETSEGMENT].[].[G144_01_01]_x000D_
[ZLPG].[].[V7]_x000D_
[ZGFCUSTGROUP].[].[IN]_x000D_
[LOCID].[].[2023]_x000D_
[KEY_FIGURES].[].[ZGFPROMOINC]_x000D_
[MARKETSEGMENT].[].[G144_01_01]_x000D_
[ZLPG].[].[V7]_x000D_
[ZGFCUSTGROUP].[].[IN]_x000D_
[LOCID].[].[2023]_x000D_
[KEY_FIGURES].[].[ZGFEVENTADJUSTMENTS1]_x000D_
[MARKETSEGMENT].[].[G144_01_01]_x000D_
[ZLPG].[].[V7]_x000D_
[ZGFCUSTGROUP].[].[IN]_x000D_
[LOCID].[].[2023]_x000D_
[KEY_FIGURES].[].[ZGFEVENTADJUSTMENTS2]_x000D_
[MARKETSEGMENT].[].[G144_01_01]_x000D_
[ZLPG].[].[V7]_x000D_
[ZGFCUSTGROUP].[].[IN]_x000D_
[LOCID].[].[2023]_x000D_
[KEY_FIGURES].[].[ZGFNETFORECAST]_x000D_
[MARKETSEGMENT].[].[G144_01_01]_x000D_
[ZLPG].[].[V7]_x000D_
[ZGFCUSTGROUP].[].[IN]_x000D_
[LOCID].[].[2023]_x000D_
[KEY_FIGURES].[].[ZGFAPPROVEDFCSTQTY]_x000D_
[MARKETSEGMENT].[].[G144_01_01]_x000D_
[ZLPG].[].[V7]_x000D_
[ZGFCUSTGROUP].[].[IN]_x000D_
[LOCID].[].[2023]_x000D_
[KEY_FIGURES].[].[ZGFFCSTOVERWRITEMAN]_x000D_
[MARKETSEGMENT].[].[G144_01_01]_x000D_
[ZLPG].[].[V7]_x000D_
[ZGFCUSTGROUP].[].[IN]_x000D_
[LOCID].[].[2023]_x000D_
[KEY_FIGURES].[].[ZGFPREVAPPROVEDFCSTTY]_x000D_
[MARKETSEGMENT].[].[G144_01_01]_x000D_
[ZLPG].[].[V7]_x000D_
[ZGFCUSTGROUP].[].[IN]_x000D_
[LOCID].[].[2023]_x000D_
[KEY_FIGURES].[].[ZGFPROPFACTORDAY]_x000D_
[MARKETSEGMENT].[].[G144_01_01]_x000D_
[ZLPG].[].[V7]_x000D_
[ZGFCUSTGROUP].[].[IN]_x000D_
[LOCID].[].[2023]_x000D_
[KEY_FIGURES].[].[ZGFPROPFACTORDAYACT]_x000D_
[MARKETSEGMENT].[].[G144_01_01]_x000D_
[ZLPG].[].[V7]_x000D_
[ZGFCUSTGROUP].[].[OO]_x000D_
[LOCID].[].[2012]_x000D_
[KEY_FIGURES].[].[ZGFLYINVQTY]_x000D_
[MARKETSEGMENT].[].[G144_01_01]_x000D_
[ZLPG].[].[V7]_x000D_
[ZGFCUSTGROUP].[].[OO]_x000D_
[LOCID].[].[2012]_x000D_
[KEY_FIGURES].[].[ZGFSALESORDQTY]_x000D_
[MARKETSEGMENT].[].[G144_01_01]_x000D_
[ZLPG].[].[V7]_x000D_
[ZGFCUSTGROUP].[].[OO]_x000D_
[LOCID].[].[2012]_x000D_
[KEY_FIGURES].[].[ZGFINVQTY]_x000D_
[MARKETSEGMENT].[].[G144_01_01]_x000D_
[ZLPG].[].[V7]_x000D_
[ZGFCUSTGROUP].[].[OO]_x000D_
[LOCID].[].[2012]_x000D_
[KEY_FIGURES].[].[ZGFACTCORRINVQTY]_x000D_
[MARKETSEGMENT].[].[G144_01_01]_x000D_
[ZLPG].[].[V7]_x000D_
[ZGFCUSTGROUP].[].[OO]_x000D_
[LOCID].[].[2012]_x000D_
[KEY_FIGURES].[].[ZGFADJINVQTYMAN]_x000D_
[MARKETSEGMENT].[].[G144_01_01]_x000D_
[ZLPG].[].[V7]_x000D_
[ZGFCUSTGROUP].[].[OO]_x000D_
[LOCID].[].[2012]_x000D_
[KEY_FIGURES].[].[ZGFADJACTINVQTY]_x000D_
[MARKETSEGMENT].[].[G144_01_01]_x000D_
[ZLPG].[].[V7]_x000D_
[ZGFCUSTGROUP].[].[OO]_x000D_
[LOCID].[].[2012]_x000D_
[KEY_FIGURES].[].[ZGFSTATFCSTQTY]_x000D_
[MARKETSEGMENT].[].[G144_01_01]_x000D_
[ZLPG].[].[V7]_x000D_
[ZGFCUSTGROUP].[].[OO]_x000D_
[LOCID].[].[2012]_x000D_
[KEY_FIGURES].[].[ZGFADJUSTMENTQTY]_x000D_
[MARKETSEGMENT].[].[G144_01_01]_x000D_
[ZLPG].[].[V7]_x000D_
[ZGFCUSTGROUP].[].[OO]_x000D_
[LOCID].[].[2012]_x000D_
[KEY_FIGURES].[].[ZGFADJUSTMENTQTYPCT]_x000D_
[MARKETSEGMENT].[].[G144_01_01]_x000D_
[ZLPG].[].[V7]_x000D_
[ZGFCUSTGROUP].[].[OO]_x000D_
[LOCID].[].[2012]_x000D_
[KEY_FIGURES].[].[ZGFBASELINEADJUSTED]_x000D_
[MARKETSEGMENT].[].[G144_01_01]_x000D_
[ZLPG].[].[V7]_x000D_
[ZGFCUSTGROUP].[].[OO]_x000D_
[LOCID].[].[2012]_x000D_
[KEY_FIGURES].[].[ZGFPROMOINC]_x000D_
[MARKETSEGMENT].[].[G144_01_01]_x000D_
[ZLPG].[].[V7]_x000D_
[ZGFCUSTGROUP].[].[OO]_x000D_
[LOCID].[].[2012]_x000D_
[KEY_FIGURES].[].[ZGFEVENTADJUSTMENTS1]_x000D_
[MARKETSEGMENT].[].[G144_01_01]_x000D_
[ZLPG].[].[V7]_x000D_
[ZGFCUSTGROUP].[].[OO]_x000D_
[LOCID].[].[2012]_x000D_
[KEY_FIGURES].[].[ZGFEVENTADJUSTMENTS2]_x000D_
[MARKETSEGMENT].[].[G144_01_01]_x000D_
[ZLPG].[].[V7]_x000D_
[ZGFCUSTGROUP].[].[OO]_x000D_
[LOCID].[].[2012]_x000D_
[KEY_FIGURES].[].[ZGFNETFORECAST]_x000D_
[MARKETSEGMENT].[].[G144_01_01]_x000D_
[ZLPG].[].[V7]_x000D_
[ZGFCUSTGROUP].[].[OO]_x000D_
[LOCID].[].[2012]_x000D_
[KEY_FIGURES].[].[ZGFAPPROVEDFCSTQTY]_x000D_
[MARKETSEGMENT].[].[G144_01_01]_x000D_
[ZLPG].[].[V7]_x000D_
[ZGFCUSTGROUP].[].[OO]_x000D_
[LOCID].[].[2012]_x000D_
[KEY_FIGURES].[].[ZGFFCSTOVERWRITEMAN]_x000D_
[MARKETSEGMENT].[].[G144_01_01]_x000D_
[ZLPG].[].[V7]_x000D_
[ZGFCUSTGROUP].[].[OO]_x000D_
[LOCID].[].[2012]_x000D_
[KEY_FIGURES].[].[ZGFPREVAPPROVEDFCSTTY]_x000D_
[MARKETSEGMENT].[].[G144_01_01]_x000D_
[ZLPG].[].[V7]_x000D_
[ZGFCUSTGROUP].[].[OO]_x000D_
[LOCID].[].[2012]_x000D_
[KEY_FIGURES].[].[ZGFPROPFACTORDAY]_x000D_
[MARKETSEGMENT].[].[G144_01_01]_x000D_
[ZLPG].[].[V7]_x000D_
[ZGFCUSTGROUP].[].[OO]_x000D_
[LOCID].[].[2012]_x000D_
[KEY_FIGURES].[].[ZGFPROPFACTORDAYACT]_x000D_
[MARKETSEGMENT].[].[G144_01_01]_x000D_
[ZLPG].[].[V7]_x000D_
[ZGFCUSTGROUP].[].[OO]_x000D_
[LOCID].[].[2023]_x000D_
[KEY_FIGURES].[].[ZGFLYINVQTY]_x000D_
[MARKETSEGMENT].[].[G144_01_01]_x000D_
[ZLPG].[].[V7]_x000D_
[ZGFCUSTGROUP].[].[OO]_x000D_
[LOCID].[].[2023]_x000D_
[KEY_FIGURES].[].[ZGFSALESORDQTY]_x000D_
[MARKETSEGMENT].[].[G144_01_01]_x000D_
[ZLPG].[].[V7]_x000D_
[ZGFCUSTGROUP].[].[OO]_x000D_
[LOCID].[].[2023]_x000D_
[KEY_FIGURES].[].[ZGFINVQTY]_x000D_
[MARKETSEGMENT].[].[G144_01_01]_x000D_
[ZLPG].[].[V7]_x000D_
[ZGFCUSTGROUP].[].[OO]_x000D_
[LOCID].[].[2023]_x000D_
[KEY_FIGURES].[].[ZGFACTCORRINVQTY]_x000D_
[MARKETSEGMENT].[].[G144_01_01]_x000D_
[ZLPG].[].[V7]_x000D_
[ZGFCUSTGROUP].[].[OO]_x000D_
[LOCID].[].[2023]_x000D_
[KEY_FIGURES].[].[ZGFADJINVQTYMAN]_x000D_
[MARKETSEGMENT].[].[G144_01_01]_x000D_
[ZLPG].[].[V7]_x000D_
[ZGFCUSTGROUP].[].[OO]_x000D_
[LOCID].[].[2023]_x000D_
[KEY_FIGURES].[].[ZGFADJACTINVQTY]_x000D_
[MARKETSEGMENT].[].[G144_01_01]_x000D_
[ZLPG].[].[V7]_x000D_
[ZGFCUSTGROUP].[].[OO]_x000D_
[LOCID].[].[2023]_x000D_
[KEY_FIGURES].[].[ZGFSTATFCSTQTY]_x000D_
[MARKETSEGMENT].[].[G144_01_01]_x000D_
[ZLPG].[].[V7]_x000D_
[ZGFCUSTGROUP].[].[OO]_x000D_
[LOCID].[].[2023]_x000D_
[KEY_FIGURES].[].[ZGFADJUSTMENTQTY]_x000D_
[MARKETSEGMENT].[].[G144_01_01]_x000D_
[ZLPG].[].[V7]_x000D_
[ZGFCUSTGROUP].[].[OO]_x000D_
[LOCID].[].[2023]_x000D_
[KEY_FIGURES].[].[ZGFADJUSTMENTQTYPCT]_x000D_
[MARKETSEGMENT].[].[G144_01_01]_x000D_
[ZLPG].[].[V7]_x000D_
[ZGFCUSTGROUP].[].[OO]_x000D_
[LOCID].[].[2023]_x000D_
[KEY_FIGURES].[].[ZGFBASELINEADJUSTED]_x000D_
[MARKETSEGMENT].[].[G144_01_01]_x000D_
[ZLPG].[].[V7]_x000D_
[ZGFCUSTGROUP].[].[OO]_x000D_
[LOCID].[].[2023]_x000D_
[KEY_FIGURES].[].[ZGFPROMOINC]_x000D_
[MARKETSEGMENT].[].[G144_01_01]_x000D_
[ZLPG].[].[V7]_x000D_
[ZGFCUSTGROUP].[].[OO]_x000D_
[LOCID].[].[2023]_x000D_
[KEY_FIGURES].[].[ZGFEVENTADJUSTMENTS1]</t>
  </si>
  <si>
    <t>[MARKETSEGMENT].[].[G144_01_01]_x000D_
[ZLPG].[].[V7]_x000D_
[ZGFCUSTGROUP].[].[OO]_x000D_
[LOCID].[].[2023]_x000D_
[KEY_FIGURES].[].[ZGFEVENTADJUSTMENTS2]_x000D_
[MARKETSEGMENT].[].[G144_01_01]_x000D_
[ZLPG].[].[V7]_x000D_
[ZGFCUSTGROUP].[].[OO]_x000D_
[LOCID].[].[2023]_x000D_
[KEY_FIGURES].[].[ZGFNETFORECAST]_x000D_
[MARKETSEGMENT].[].[G144_01_01]_x000D_
[ZLPG].[].[V7]_x000D_
[ZGFCUSTGROUP].[].[OO]_x000D_
[LOCID].[].[2023]_x000D_
[KEY_FIGURES].[].[ZGFAPPROVEDFCSTQTY]_x000D_
[MARKETSEGMENT].[].[G144_01_01]_x000D_
[ZLPG].[].[V7]_x000D_
[ZGFCUSTGROUP].[].[OO]_x000D_
[LOCID].[].[2023]_x000D_
[KEY_FIGURES].[].[ZGFFCSTOVERWRITEMAN]_x000D_
[MARKETSEGMENT].[].[G144_01_01]_x000D_
[ZLPG].[].[V7]_x000D_
[ZGFCUSTGROUP].[].[OO]_x000D_
[LOCID].[].[2023]_x000D_
[KEY_FIGURES].[].[ZGFPREVAPPROVEDFCSTTY]_x000D_
[MARKETSEGMENT].[].[G144_01_01]_x000D_
[ZLPG].[].[V7]_x000D_
[ZGFCUSTGROUP].[].[OO]_x000D_
[LOCID].[].[2023]_x000D_
[KEY_FIGURES].[].[ZGFPROPFACTORDAY]_x000D_
[MARKETSEGMENT].[].[G144_01_01]_x000D_
[ZLPG].[].[V7]_x000D_
[ZGFCUSTGROUP].[].[OO]_x000D_
[LOCID].[].[2023]_x000D_
[KEY_FIGURES].[].[ZGFPROPFACTORDAYACT]</t>
  </si>
  <si>
    <t>caHeight</t>
  </si>
  <si>
    <t>caShift</t>
  </si>
  <si>
    <t>raShift</t>
  </si>
  <si>
    <t>raWidth</t>
  </si>
  <si>
    <t>rptWidth</t>
  </si>
  <si>
    <t>201</t>
  </si>
  <si>
    <t>Sheet4_SERIES</t>
  </si>
  <si>
    <t>Sheet4_FILTER</t>
  </si>
  <si>
    <t>Sheet4_CHART</t>
  </si>
  <si>
    <t>Jan</t>
  </si>
  <si>
    <t>Feb</t>
  </si>
  <si>
    <t>A</t>
  </si>
  <si>
    <t>B</t>
  </si>
  <si>
    <t>Sheet6_SERIES</t>
  </si>
  <si>
    <t>Sheet6_FILTER</t>
  </si>
  <si>
    <t>IBP Formatting Sheet</t>
  </si>
  <si>
    <t>Version_1_1</t>
  </si>
  <si>
    <t>Note: The format settings in lower sections overrides the ones in upper section if there are conflicts.</t>
  </si>
  <si>
    <t>Default Formatting</t>
  </si>
  <si>
    <t>Help</t>
  </si>
  <si>
    <t>Formatting and "Use" Column:</t>
  </si>
  <si>
    <t>Column</t>
  </si>
  <si>
    <t>In the cells with the text "10,000" (“Data” column) and "Label" ("Header" columns), you can define the format you want to have in the planning view using the standard Microsoft Excel cell formatting functions._x000D_
For a better overview of the formatting settings, you can right-click the cell and choose "Format Cells…"._x000D_
By default, all the formatting settings that have been defined are applied and "All" is displayed in the "Use" column._x000D_
You can further specify which settings (properties) of the defined format you want to be taken over in the planning view. To do so, double-click in a "Use" cell. In the dialog that opens, select the properties you want to use.</t>
  </si>
  <si>
    <t>Data</t>
  </si>
  <si>
    <t>Use</t>
  </si>
  <si>
    <t>Header</t>
  </si>
  <si>
    <t>Default Format</t>
  </si>
  <si>
    <t>None</t>
  </si>
  <si>
    <t>Label</t>
  </si>
  <si>
    <t>All</t>
  </si>
  <si>
    <t>Row</t>
  </si>
  <si>
    <t>Priority to Row or Column</t>
  </si>
  <si>
    <t>Dimension Member/Property Formatting</t>
  </si>
  <si>
    <t>You can decide if you want the row or the column formatting to overwrite the other by choosing either "Priority to Column Format" or "Priority to Row Format" under the header of each section. With these options, you can specify whether the formats defined for rows or columns are applied first. For example, when you choose "Priority to Row Format", the "Column" section is displayed first in the formatting section, and the "Row" section is displayed in second position. As the lower rules overwrite the preceding rules, the formatting you define for the "Row" section is used in the planning view if there are conflicts.</t>
  </si>
  <si>
    <t>Default Format for Non-Editable Cells</t>
  </si>
  <si>
    <t>Default Format for Editable Cells</t>
  </si>
  <si>
    <t>FontColorIndex | Pattern</t>
  </si>
  <si>
    <t>Local Member Default Format</t>
  </si>
  <si>
    <t>Changed Member Default Format</t>
  </si>
  <si>
    <t>Pattern</t>
  </si>
  <si>
    <t>Formatting on Specific Member/Property:</t>
  </si>
  <si>
    <t xml:space="preserve">KEY_FIGURES.Editable Indicator = ALL </t>
  </si>
  <si>
    <t>(KEY_FIGURES.Editable Indicator = FUTURE ) AND (PERIODID0.Past Current Future Indicator = C )</t>
  </si>
  <si>
    <t>(KEY_FIGURES.Editable Indicator = FUTURE ) AND (PERIODID.Past Current Future Indicator = C )</t>
  </si>
  <si>
    <t>(KEY_FIGURES.Editable Indicator = FUTURE ) AND (PERIODID1.Past Current Future Indicator = CF )</t>
  </si>
  <si>
    <t>(KEY_FIGURES.Editable Indicator = FUTURE ) AND (PERIODID2.Past Current Future Indicator = CF )</t>
  </si>
  <si>
    <t>(KEY_FIGURES.Editable Indicator = FUTURE ) AND (PERIODID3.Past Current Future Indicator = CF )</t>
  </si>
  <si>
    <t>(KEY_FIGURES.Editable Indicator = FUTURE ) AND (PERIODID4.Past Current Future Indicator = CF )</t>
  </si>
  <si>
    <t>(KEY_FIGURES.Editable Indicator = FUTURE ) AND (PERIODID5.Past Current Future Indicator = CF )</t>
  </si>
  <si>
    <t>(KEY_FIGURES.Editable Indicator = FUTURE ) AND (PERIODID.Past Current Future Indicator = CF )</t>
  </si>
  <si>
    <t>(KEY_FIGURES.Editable Indicator = FUTURE ) AND (PERIODID0.Past Current Future Indicator = F )</t>
  </si>
  <si>
    <t>(KEY_FIGURES.Editable Indicator = FUTURE ) AND (PERIODID1.Past Current Future Indicator = F )</t>
  </si>
  <si>
    <t>(KEY_FIGURES.Editable Indicator = FUTURE ) AND (PERIODID2.Past Current Future Indicator = F )</t>
  </si>
  <si>
    <t>(KEY_FIGURES.Editable Indicator = FUTURE ) AND (PERIODID3.Past Current Future Indicator = F )</t>
  </si>
  <si>
    <t>(KEY_FIGURES.Editable Indicator = FUTURE ) AND (PERIODID4.Past Current Future Indicator = F )</t>
  </si>
  <si>
    <t>(KEY_FIGURES.Editable Indicator = FUTURE ) AND (PERIODID5.Past Current Future Indicator = F )</t>
  </si>
  <si>
    <t>(KEY_FIGURES.Editable Indicator = FUTURE ) AND (PERIODID.Past Current Future Indicator = F )</t>
  </si>
  <si>
    <t>(KEY_FIGURES.Editable Indicator = PAST ) AND (PERIODID0.Past Current Future Indicator = P )</t>
  </si>
  <si>
    <t>(KEY_FIGURES.Editable Indicator = PAST ) AND (PERIODID1.Past Current Future Indicator = P )</t>
  </si>
  <si>
    <t>(KEY_FIGURES.Editable Indicator = PAST ) AND (PERIODID2.Past Current Future Indicator = P )</t>
  </si>
  <si>
    <t>(KEY_FIGURES.Editable Indicator = PAST ) AND (PERIODID3.Past Current Future Indicator = P )</t>
  </si>
  <si>
    <t>(KEY_FIGURES.Editable Indicator = PAST ) AND (PERIODID4.Past Current Future Indicator = P )</t>
  </si>
  <si>
    <t>(KEY_FIGURES.Editable Indicator = PAST ) AND (PERIODID5.Past Current Future Indicator = P )</t>
  </si>
  <si>
    <t>(KEY_FIGURES.Editable Indicator = PAST ) AND (PERIODID.Past Current Future Indicator = P )</t>
  </si>
  <si>
    <t>Total Member</t>
  </si>
  <si>
    <t>FontBold | FontColorIndex</t>
  </si>
  <si>
    <t>FontBold</t>
  </si>
  <si>
    <t xml:space="preserve">KEY_FIGURES.Fixing Enabled = Y </t>
  </si>
  <si>
    <t>Font</t>
  </si>
  <si>
    <t>Adjustment (%)</t>
  </si>
  <si>
    <t>Statistical Fcst</t>
  </si>
  <si>
    <t>Sales Order Qty</t>
  </si>
  <si>
    <t>Actuals Corrected (Inv)</t>
  </si>
  <si>
    <t>Promotions Increment</t>
  </si>
  <si>
    <t>Prev. Approved Fcst</t>
  </si>
  <si>
    <t>Prop Factor - Days</t>
  </si>
  <si>
    <t xml:space="preserve">PERIODID.Time Level = TOTAL </t>
  </si>
  <si>
    <t>FontBold | FontColorIndex | Pattern</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</si>
  <si>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</si>
  <si>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</si>
  <si>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</si>
  <si>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</si>
  <si>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</si>
  <si>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</si>
  <si>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Row and Column Banding</t>
  </si>
  <si>
    <t>Odd Formatting</t>
  </si>
  <si>
    <t>Even Formatting</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</si>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</sst>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11"/>
      <color rgb="FFFFFFFF"/>
      <name val="Arial"/>
      <family val="2"/>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b/>
      <sz val="22"/>
      <name val="Calibri"/>
      <family val="2"/>
      <scheme val="minor"/>
    </font>
    <font>
      <sz val="9"/>
      <name val="Calibri"/>
      <family val="2"/>
      <scheme val="minor"/>
    </font>
    <font>
      <sz val="11"/>
      <color theme="1"/>
      <name val="Calibri"/>
      <family val="2"/>
      <scheme val="minor"/>
    </font>
    <font>
      <b/>
      <sz val="9"/>
      <color indexed="81"/>
      <name val="Tahoma"/>
      <family val="2"/>
    </font>
    <font>
      <sz val="11"/>
      <color rgb="FF000000"/>
      <name val="Calibri"/>
      <family val="2"/>
      <scheme val="minor"/>
    </font>
    <font>
      <sz val="8"/>
      <color rgb="FF000000"/>
      <name val="Tahoma"/>
      <family val="2"/>
    </font>
    <font>
      <sz val="11"/>
      <color rgb="FF000000"/>
      <name val="Calibri"/>
      <family val="2"/>
    </font>
  </fonts>
  <fills count="19">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
      <patternFill patternType="solid">
        <fgColor theme="6"/>
        <bgColor indexed="64"/>
      </patternFill>
    </fill>
    <fill>
      <patternFill patternType="solid">
        <fgColor theme="0"/>
        <bgColor theme="0"/>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3">
    <xf numFmtId="0" fontId="0" fillId="0" borderId="0"/>
    <xf numFmtId="0" fontId="12" fillId="8" borderId="0" applyNumberFormat="0" applyBorder="0" applyAlignment="0" applyProtection="0"/>
    <xf numFmtId="9" fontId="21" fillId="0" borderId="0" applyFont="0" applyFill="0" applyBorder="0" applyAlignment="0" applyProtection="0"/>
  </cellStyleXfs>
  <cellXfs count="109">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Alignment="1">
      <alignment horizont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0" fillId="0" borderId="0" xfId="0" applyFont="1" applyAlignment="1" applyProtection="1">
      <alignment horizontal="left" vertical="center"/>
      <protection locked="0"/>
    </xf>
    <xf numFmtId="3" fontId="10" fillId="7" borderId="0" xfId="0" applyNumberFormat="1" applyFont="1" applyFill="1" applyAlignment="1" applyProtection="1">
      <alignment horizontal="right" vertical="center"/>
      <protection locked="0"/>
    </xf>
    <xf numFmtId="0" fontId="0" fillId="6" borderId="0" xfId="0" applyFill="1"/>
    <xf numFmtId="0" fontId="9" fillId="10" borderId="0" xfId="0" applyFont="1" applyFill="1"/>
    <xf numFmtId="0" fontId="0" fillId="10" borderId="0" xfId="0" applyFill="1"/>
    <xf numFmtId="3" fontId="10" fillId="9" borderId="0" xfId="0" applyNumberFormat="1" applyFont="1" applyFill="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0" fontId="4" fillId="0" borderId="9" xfId="0" applyFont="1" applyBorder="1" applyAlignment="1">
      <alignment horizontal="left" vertical="center"/>
    </xf>
    <xf numFmtId="0" fontId="13" fillId="0" borderId="0" xfId="0" quotePrefix="1" applyFont="1" applyAlignment="1">
      <alignment horizontal="left" vertical="center"/>
    </xf>
    <xf numFmtId="0" fontId="9" fillId="10" borderId="0" xfId="0" applyFont="1" applyFill="1" applyAlignment="1" applyProtection="1">
      <alignment horizontal="right" vertical="center"/>
      <protection locked="0"/>
    </xf>
    <xf numFmtId="0" fontId="14" fillId="0" borderId="0" xfId="0" applyFont="1" applyAlignment="1">
      <alignment horizontal="center"/>
    </xf>
    <xf numFmtId="3" fontId="15" fillId="9" borderId="0" xfId="0" applyNumberFormat="1" applyFont="1" applyFill="1" applyAlignment="1" applyProtection="1">
      <alignment horizontal="right" vertical="center"/>
      <protection locked="0"/>
    </xf>
    <xf numFmtId="0" fontId="0" fillId="0" borderId="0" xfId="0" applyAlignment="1">
      <alignment horizontal="center"/>
    </xf>
    <xf numFmtId="0" fontId="0" fillId="0" borderId="23" xfId="0" applyBorder="1" applyAlignment="1">
      <alignment horizontal="center"/>
    </xf>
    <xf numFmtId="0" fontId="0" fillId="1" borderId="0" xfId="0" applyFill="1" applyAlignment="1">
      <alignment horizontal="center"/>
    </xf>
    <xf numFmtId="0" fontId="0" fillId="1" borderId="1" xfId="0" applyFill="1" applyBorder="1" applyAlignment="1">
      <alignment horizontal="center"/>
    </xf>
    <xf numFmtId="0" fontId="0" fillId="0" borderId="0" xfId="0" applyAlignment="1" applyProtection="1">
      <alignment horizontal="right" vertical="center"/>
      <protection locked="0"/>
    </xf>
    <xf numFmtId="0" fontId="0" fillId="0" borderId="0" xfId="0" applyAlignment="1" applyProtection="1">
      <alignment horizontal="left" vertical="center"/>
      <protection locked="0"/>
    </xf>
    <xf numFmtId="0" fontId="17" fillId="0" borderId="0" xfId="0" applyFont="1" applyAlignment="1" applyProtection="1">
      <alignment horizontal="left" vertical="center"/>
      <protection locked="0"/>
    </xf>
    <xf numFmtId="0" fontId="16" fillId="0" borderId="0" xfId="0" applyFont="1" applyAlignment="1" applyProtection="1">
      <alignment horizontal="left" vertical="center"/>
      <protection locked="0"/>
    </xf>
    <xf numFmtId="0" fontId="0" fillId="11" borderId="0" xfId="0" applyFill="1" applyAlignment="1" applyProtection="1">
      <alignment horizontal="lef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16" fillId="0" borderId="0" xfId="0" applyFont="1" applyAlignment="1" applyProtection="1">
      <alignment horizontal="right" vertical="center"/>
      <protection locked="0"/>
    </xf>
    <xf numFmtId="0" fontId="18" fillId="0" borderId="0" xfId="0" quotePrefix="1" applyFont="1" applyAlignment="1">
      <alignment horizontal="left" vertical="center"/>
    </xf>
    <xf numFmtId="0" fontId="18" fillId="0" borderId="0" xfId="0" quotePrefix="1" applyFont="1" applyAlignment="1" applyProtection="1">
      <alignment horizontal="right" vertical="center"/>
      <protection locked="0"/>
    </xf>
    <xf numFmtId="0" fontId="1" fillId="0" borderId="12" xfId="0" applyFont="1" applyBorder="1" applyAlignment="1">
      <alignment horizontal="center"/>
    </xf>
    <xf numFmtId="0" fontId="4" fillId="0" borderId="0" xfId="0" applyFont="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3" fontId="0" fillId="9" borderId="0" xfId="0" applyNumberFormat="1" applyFill="1" applyAlignment="1" applyProtection="1">
      <alignment horizontal="right" vertical="center"/>
      <protection locked="0"/>
    </xf>
    <xf numFmtId="0" fontId="0" fillId="0" borderId="0" xfId="0" quotePrefix="1" applyAlignment="1">
      <alignment wrapText="1"/>
    </xf>
    <xf numFmtId="0" fontId="0" fillId="0" borderId="0" xfId="0" quotePrefix="1"/>
    <xf numFmtId="0" fontId="15" fillId="17" borderId="0" xfId="0" quotePrefix="1" applyFont="1" applyFill="1" applyAlignment="1">
      <alignment vertical="top"/>
    </xf>
    <xf numFmtId="0" fontId="10" fillId="17" borderId="0" xfId="0" applyFont="1" applyFill="1"/>
    <xf numFmtId="0" fontId="10" fillId="17" borderId="0" xfId="0" applyFont="1" applyFill="1" applyAlignment="1">
      <alignment horizontal="right" vertical="center"/>
    </xf>
    <xf numFmtId="0" fontId="15" fillId="17" borderId="0" xfId="0" applyFont="1" applyFill="1" applyAlignment="1">
      <alignment horizontal="left" vertical="center"/>
    </xf>
    <xf numFmtId="0" fontId="10" fillId="17" borderId="0" xfId="1" applyFont="1" applyFill="1" applyBorder="1" applyAlignment="1"/>
    <xf numFmtId="0" fontId="20" fillId="17" borderId="0" xfId="0" quotePrefix="1" applyFont="1" applyFill="1" applyAlignment="1">
      <alignment vertical="top" wrapText="1"/>
    </xf>
    <xf numFmtId="0" fontId="19" fillId="17" borderId="0" xfId="0" applyFont="1" applyFill="1" applyAlignment="1">
      <alignment horizontal="left" vertical="center"/>
    </xf>
    <xf numFmtId="0" fontId="10" fillId="17" borderId="0" xfId="0" applyFont="1" applyFill="1" applyAlignment="1">
      <alignment horizontal="right" vertical="top" wrapText="1"/>
    </xf>
    <xf numFmtId="0" fontId="15" fillId="17" borderId="0" xfId="0" quotePrefix="1" applyFont="1" applyFill="1" applyAlignment="1">
      <alignment vertical="top" wrapText="1"/>
    </xf>
    <xf numFmtId="0" fontId="1" fillId="9" borderId="7" xfId="0" applyFont="1" applyFill="1" applyBorder="1" applyAlignment="1" applyProtection="1">
      <alignment horizontal="left" vertical="center"/>
      <protection locked="0"/>
    </xf>
    <xf numFmtId="164" fontId="0" fillId="18" borderId="0" xfId="2" applyNumberFormat="1" applyFont="1" applyFill="1" applyBorder="1" applyAlignment="1" applyProtection="1">
      <alignment horizontal="right" vertical="center"/>
      <protection locked="0"/>
    </xf>
    <xf numFmtId="3" fontId="0" fillId="0" borderId="0" xfId="0" applyNumberFormat="1" applyAlignment="1" applyProtection="1">
      <alignment horizontal="righ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0" fillId="1" borderId="31" xfId="0"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 fillId="0" borderId="30" xfId="0" applyFont="1" applyBorder="1" applyAlignment="1">
      <alignment horizontal="center"/>
    </xf>
    <xf numFmtId="0" fontId="23" fillId="0" borderId="0" xfId="0" applyFont="1" applyAlignment="1" applyProtection="1">
      <alignment horizontal="left" vertical="center"/>
      <protection locked="0"/>
    </xf>
    <xf numFmtId="3" fontId="23" fillId="0" borderId="0" xfId="0" applyNumberFormat="1" applyFont="1" applyAlignment="1" applyProtection="1">
      <alignment horizontal="right" vertical="center"/>
      <protection locked="0"/>
    </xf>
    <xf numFmtId="0" fontId="0" fillId="0" borderId="31" xfId="0" applyBorder="1" applyAlignment="1">
      <alignment horizontal="center"/>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9"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28"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9" fillId="17" borderId="0" xfId="0" applyFont="1" applyFill="1" applyAlignment="1">
      <alignment horizontal="left" vertical="center"/>
    </xf>
    <xf numFmtId="0" fontId="10" fillId="17" borderId="0" xfId="0" applyFont="1" applyFill="1" applyAlignment="1">
      <alignment horizontal="right" vertical="top" wrapText="1"/>
    </xf>
    <xf numFmtId="0" fontId="10" fillId="17" borderId="0" xfId="0" applyFont="1" applyFill="1" applyAlignment="1">
      <alignment horizontal="left" vertical="top"/>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customXml" Target="../customXml/item5.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10-EC42-11CE-9E0D-00AA006002F3}" r:id="rId1"/>
</file>

<file path=xl/activeX/activeX6.xml><?xml version="1.0" encoding="utf-8"?>
<ax:ocx xmlns:ax="http://schemas.microsoft.com/office/2006/activeX" xmlns:r="http://schemas.openxmlformats.org/officeDocument/2006/relationships" ax:classid="{8BD21D10-EC42-11CE-9E0D-00AA006002F3}" r:id="rId1"/>
</file>

<file path=xl/activeX/activeX7.xml><?xml version="1.0" encoding="utf-8"?>
<ax:ocx xmlns:ax="http://schemas.microsoft.com/office/2006/activeX" xmlns:r="http://schemas.openxmlformats.org/officeDocument/2006/relationships" ax:classid="{8BD21D10-EC42-11CE-9E0D-00AA006002F3}" r:id="rId1"/>
</file>

<file path=xl/activeX/activeX8.xml><?xml version="1.0" encoding="utf-8"?>
<ax:ocx xmlns:ax="http://schemas.microsoft.com/office/2006/activeX" xmlns:r="http://schemas.openxmlformats.org/officeDocument/2006/relationships" ax:classid="{8BD21D10-EC42-11CE-9E0D-00AA006002F3}" r:id="rId1"/>
</file>

<file path=xl/activeX/activeX9.xml><?xml version="1.0" encoding="utf-8"?>
<ax:ocx xmlns:ax="http://schemas.microsoft.com/office/2006/activeX" xmlns:r="http://schemas.openxmlformats.org/officeDocument/2006/relationships" ax:classid="{8BD21D1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20-EC42-11CE-9E0D-00AA006002F3}" r:id="rId1"/>
</file>

<file path=xl/activeX/activeX14.xml><?xml version="1.0" encoding="utf-8"?>
<ax:ocx xmlns:ax="http://schemas.microsoft.com/office/2006/activeX" xmlns:r="http://schemas.openxmlformats.org/officeDocument/2006/relationships" ax:classid="{8BD21D20-EC42-11CE-9E0D-00AA006002F3}"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978C9E23-D4B0-11CE-BF2D-00AA003F40D0}"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978C9E23-D4B0-11CE-BF2D-00AA003F40D0}"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978C9E23-D4B0-11CE-BF2D-00AA003F40D0}"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8BD21D10-EC42-11CE-9E0D-00AA006002F3}"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647670760395146"/>
          <c:h val="0.83800649918760151"/>
        </c:manualLayout>
      </c:layout>
      <c:barChart>
        <c:barDir val="col"/>
        <c:grouping val="clustered"/>
        <c:varyColors val="0"/>
        <c:ser>
          <c:idx val="0"/>
          <c:order val="0"/>
          <c:tx>
            <c:v>Actuals Adjusted (Inv)</c:v>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SapIbpChartFeeder!$C$4:$GU$4</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E05-4D36-B083-579CDC86F057}"/>
            </c:ext>
          </c:extLst>
        </c:ser>
        <c:ser>
          <c:idx val="1"/>
          <c:order val="1"/>
          <c:tx>
            <c:v>Invoice Quantity</c:v>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SapIbpChartFeeder!$C$5:$GU$5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2E1-43FB-92F9-895028F2A241}"/>
            </c:ext>
          </c:extLst>
        </c:ser>
        <c:ser>
          <c:idx val="2"/>
          <c:order val="2"/>
          <c:tx>
            <c:v>Baseline Adjusted</c:v>
          </c:tx>
          <c:spPr>
            <a:solidFill>
              <a:schemeClr val="accent5"/>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SapIbpChartFeeder!$C$6:$GU$6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E2E1-43FB-92F9-895028F2A241}"/>
            </c:ext>
          </c:extLst>
        </c:ser>
        <c:ser>
          <c:idx val="3"/>
          <c:order val="3"/>
          <c:tx>
            <c:v>Net Forecast</c:v>
          </c:tx>
          <c:spPr>
            <a:solidFill>
              <a:schemeClr val="accent1">
                <a:lumMod val="6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SapIbpChartFeeder!$C$7:$GU$7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3-E2E1-43FB-92F9-895028F2A241}"/>
            </c:ext>
          </c:extLst>
        </c:ser>
        <c:ser>
          <c:idx val="4"/>
          <c:order val="4"/>
          <c:tx>
            <c:v>Approved Forecast</c:v>
          </c:tx>
          <c:spPr>
            <a:solidFill>
              <a:schemeClr val="accent3">
                <a:lumMod val="6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SapIbpChartFeeder!$C$3:$GU$3</c:f>
              <c:strCache>
                <c:ptCount val="201"/>
                <c:pt idx="0">
                  <c:v>30.01.2023</c:v>
                </c:pt>
                <c:pt idx="1">
                  <c:v>06.02.2023</c:v>
                </c:pt>
                <c:pt idx="2">
                  <c:v>13.02.2023</c:v>
                </c:pt>
                <c:pt idx="3">
                  <c:v>20.02.2023</c:v>
                </c:pt>
                <c:pt idx="4">
                  <c:v>27.02.2023</c:v>
                </c:pt>
                <c:pt idx="5">
                  <c:v>06.03.2023</c:v>
                </c:pt>
                <c:pt idx="6">
                  <c:v>13.03.2023</c:v>
                </c:pt>
                <c:pt idx="7">
                  <c:v>20.03.2023</c:v>
                </c:pt>
                <c:pt idx="8">
                  <c:v>27.03.2023</c:v>
                </c:pt>
                <c:pt idx="9">
                  <c:v>03.04.2023</c:v>
                </c:pt>
                <c:pt idx="10">
                  <c:v>10.04.2023</c:v>
                </c:pt>
                <c:pt idx="11">
                  <c:v>17.04.2023</c:v>
                </c:pt>
                <c:pt idx="12">
                  <c:v>24.04.2023</c:v>
                </c:pt>
                <c:pt idx="13">
                  <c:v>01.05.2023</c:v>
                </c:pt>
                <c:pt idx="14">
                  <c:v>08.05.2023</c:v>
                </c:pt>
                <c:pt idx="15">
                  <c:v>15.05.2023</c:v>
                </c:pt>
                <c:pt idx="16">
                  <c:v>22.05.2023</c:v>
                </c:pt>
                <c:pt idx="17">
                  <c:v>29.05.2023</c:v>
                </c:pt>
                <c:pt idx="18">
                  <c:v>05.06.2023</c:v>
                </c:pt>
                <c:pt idx="19">
                  <c:v>12.06.2023</c:v>
                </c:pt>
                <c:pt idx="20">
                  <c:v>19.06.2023</c:v>
                </c:pt>
                <c:pt idx="21">
                  <c:v>26.06.2023</c:v>
                </c:pt>
                <c:pt idx="22">
                  <c:v>03.07.2023</c:v>
                </c:pt>
                <c:pt idx="23">
                  <c:v>10.07.2023</c:v>
                </c:pt>
                <c:pt idx="24">
                  <c:v>17.07.2023</c:v>
                </c:pt>
                <c:pt idx="25">
                  <c:v>24.07.2023</c:v>
                </c:pt>
                <c:pt idx="26">
                  <c:v>31.07.2023</c:v>
                </c:pt>
                <c:pt idx="27">
                  <c:v>07.08.2023</c:v>
                </c:pt>
                <c:pt idx="28">
                  <c:v>14.08.2023</c:v>
                </c:pt>
                <c:pt idx="29">
                  <c:v>21.08.2023</c:v>
                </c:pt>
                <c:pt idx="30">
                  <c:v>28.08.2023</c:v>
                </c:pt>
                <c:pt idx="31">
                  <c:v>04.09.2023</c:v>
                </c:pt>
                <c:pt idx="32">
                  <c:v>11.09.2023</c:v>
                </c:pt>
                <c:pt idx="33">
                  <c:v>18.09.2023</c:v>
                </c:pt>
                <c:pt idx="34">
                  <c:v>25.09.2023</c:v>
                </c:pt>
                <c:pt idx="35">
                  <c:v>02.10.2023</c:v>
                </c:pt>
                <c:pt idx="36">
                  <c:v>09.10.2023</c:v>
                </c:pt>
                <c:pt idx="37">
                  <c:v>16.10.2023</c:v>
                </c:pt>
                <c:pt idx="38">
                  <c:v>23.10.2023</c:v>
                </c:pt>
                <c:pt idx="39">
                  <c:v>30.10.2023</c:v>
                </c:pt>
                <c:pt idx="40">
                  <c:v>06.11.2023</c:v>
                </c:pt>
                <c:pt idx="41">
                  <c:v>13.11.2023</c:v>
                </c:pt>
                <c:pt idx="42">
                  <c:v>20.11.2023</c:v>
                </c:pt>
                <c:pt idx="43">
                  <c:v>27.11.2023</c:v>
                </c:pt>
                <c:pt idx="44">
                  <c:v>04.12.2023</c:v>
                </c:pt>
                <c:pt idx="45">
                  <c:v>11.12.2023</c:v>
                </c:pt>
                <c:pt idx="46">
                  <c:v>18.12.2023</c:v>
                </c:pt>
                <c:pt idx="47">
                  <c:v>25.12.2023</c:v>
                </c:pt>
                <c:pt idx="48">
                  <c:v>01.01.2024</c:v>
                </c:pt>
                <c:pt idx="49">
                  <c:v>08.01.2024</c:v>
                </c:pt>
                <c:pt idx="50">
                  <c:v>15.01.2024</c:v>
                </c:pt>
                <c:pt idx="51">
                  <c:v>22.01.2024</c:v>
                </c:pt>
                <c:pt idx="52">
                  <c:v>29.01.2024</c:v>
                </c:pt>
                <c:pt idx="53">
                  <c:v>05.02.2024</c:v>
                </c:pt>
                <c:pt idx="54">
                  <c:v>12.02.2024</c:v>
                </c:pt>
                <c:pt idx="55">
                  <c:v>19.02.2024</c:v>
                </c:pt>
                <c:pt idx="56">
                  <c:v>26.02.2024</c:v>
                </c:pt>
                <c:pt idx="57">
                  <c:v>04.03.2024</c:v>
                </c:pt>
                <c:pt idx="58">
                  <c:v>11.03.2024</c:v>
                </c:pt>
                <c:pt idx="59">
                  <c:v>18.03.2024</c:v>
                </c:pt>
                <c:pt idx="60">
                  <c:v>25.03.2024</c:v>
                </c:pt>
                <c:pt idx="61">
                  <c:v>01.04.2024</c:v>
                </c:pt>
                <c:pt idx="62">
                  <c:v>08.04.2024</c:v>
                </c:pt>
                <c:pt idx="63">
                  <c:v>15.04.2024</c:v>
                </c:pt>
                <c:pt idx="64">
                  <c:v>22.04.2024</c:v>
                </c:pt>
                <c:pt idx="65">
                  <c:v>29.04.2024</c:v>
                </c:pt>
                <c:pt idx="66">
                  <c:v>06.05.2024</c:v>
                </c:pt>
                <c:pt idx="67">
                  <c:v>13.05.2024</c:v>
                </c:pt>
                <c:pt idx="68">
                  <c:v>20.05.2024</c:v>
                </c:pt>
                <c:pt idx="69">
                  <c:v>27.05.2024</c:v>
                </c:pt>
                <c:pt idx="70">
                  <c:v>03.06.2024</c:v>
                </c:pt>
                <c:pt idx="71">
                  <c:v>10.06.2024</c:v>
                </c:pt>
                <c:pt idx="72">
                  <c:v>17.06.2024</c:v>
                </c:pt>
                <c:pt idx="73">
                  <c:v>24.06.2024</c:v>
                </c:pt>
                <c:pt idx="74">
                  <c:v>01.07.2024</c:v>
                </c:pt>
                <c:pt idx="75">
                  <c:v>08.07.2024</c:v>
                </c:pt>
                <c:pt idx="76">
                  <c:v>15.07.2024</c:v>
                </c:pt>
                <c:pt idx="77">
                  <c:v>22.07.2024</c:v>
                </c:pt>
                <c:pt idx="78">
                  <c:v>29.07.2024</c:v>
                </c:pt>
                <c:pt idx="79">
                  <c:v>05.08.2024</c:v>
                </c:pt>
                <c:pt idx="80">
                  <c:v>12.08.2024</c:v>
                </c:pt>
                <c:pt idx="81">
                  <c:v>19.08.2024</c:v>
                </c:pt>
                <c:pt idx="82">
                  <c:v>26.08.2024</c:v>
                </c:pt>
                <c:pt idx="83">
                  <c:v>02.09.2024</c:v>
                </c:pt>
                <c:pt idx="84">
                  <c:v>09.09.2024</c:v>
                </c:pt>
                <c:pt idx="85">
                  <c:v>16.09.2024</c:v>
                </c:pt>
                <c:pt idx="86">
                  <c:v>23.09.2024</c:v>
                </c:pt>
                <c:pt idx="87">
                  <c:v>30.09.2024</c:v>
                </c:pt>
                <c:pt idx="88">
                  <c:v>07.10.2024</c:v>
                </c:pt>
                <c:pt idx="89">
                  <c:v>14.10.2024</c:v>
                </c:pt>
                <c:pt idx="90">
                  <c:v>21.10.2024</c:v>
                </c:pt>
                <c:pt idx="91">
                  <c:v>28.10.2024</c:v>
                </c:pt>
                <c:pt idx="92">
                  <c:v>04.11.2024</c:v>
                </c:pt>
                <c:pt idx="93">
                  <c:v>11.11.2024</c:v>
                </c:pt>
                <c:pt idx="94">
                  <c:v>18.11.2024</c:v>
                </c:pt>
                <c:pt idx="95">
                  <c:v>25.11.2024</c:v>
                </c:pt>
                <c:pt idx="96">
                  <c:v>02.12.2024</c:v>
                </c:pt>
                <c:pt idx="97">
                  <c:v>09.12.2024</c:v>
                </c:pt>
                <c:pt idx="98">
                  <c:v>16.12.2024</c:v>
                </c:pt>
                <c:pt idx="99">
                  <c:v>23.12.2024</c:v>
                </c:pt>
                <c:pt idx="100">
                  <c:v>30.12.2024</c:v>
                </c:pt>
                <c:pt idx="101">
                  <c:v>06.01.2025</c:v>
                </c:pt>
                <c:pt idx="102">
                  <c:v>13.01.2025</c:v>
                </c:pt>
                <c:pt idx="103">
                  <c:v>20.01.2025</c:v>
                </c:pt>
                <c:pt idx="104">
                  <c:v>27.01.2025</c:v>
                </c:pt>
                <c:pt idx="105">
                  <c:v>03.02.2025</c:v>
                </c:pt>
                <c:pt idx="106">
                  <c:v>10.02.2025</c:v>
                </c:pt>
                <c:pt idx="107">
                  <c:v>17.02.2025</c:v>
                </c:pt>
                <c:pt idx="108">
                  <c:v>24.02.2025</c:v>
                </c:pt>
                <c:pt idx="109">
                  <c:v>03.03.2025</c:v>
                </c:pt>
                <c:pt idx="110">
                  <c:v>10.03.2025</c:v>
                </c:pt>
                <c:pt idx="111">
                  <c:v>17.03.2025</c:v>
                </c:pt>
                <c:pt idx="112">
                  <c:v>24.03.2025</c:v>
                </c:pt>
                <c:pt idx="113">
                  <c:v>31.03.2025</c:v>
                </c:pt>
                <c:pt idx="114">
                  <c:v>07.04.2025</c:v>
                </c:pt>
                <c:pt idx="115">
                  <c:v>14.04.2025</c:v>
                </c:pt>
                <c:pt idx="116">
                  <c:v>21.04.2025</c:v>
                </c:pt>
                <c:pt idx="117">
                  <c:v>28.04.2025</c:v>
                </c:pt>
                <c:pt idx="118">
                  <c:v>05.05.2025</c:v>
                </c:pt>
                <c:pt idx="119">
                  <c:v>12.05.2025</c:v>
                </c:pt>
                <c:pt idx="120">
                  <c:v>19.05.2025</c:v>
                </c:pt>
                <c:pt idx="121">
                  <c:v>26.05.2025</c:v>
                </c:pt>
                <c:pt idx="122">
                  <c:v>02.06.2025</c:v>
                </c:pt>
                <c:pt idx="123">
                  <c:v>09.06.2025</c:v>
                </c:pt>
                <c:pt idx="124">
                  <c:v>16.06.2025</c:v>
                </c:pt>
                <c:pt idx="125">
                  <c:v>23.06.2025</c:v>
                </c:pt>
                <c:pt idx="126">
                  <c:v>30.06.2025</c:v>
                </c:pt>
                <c:pt idx="127">
                  <c:v>07.07.2025</c:v>
                </c:pt>
                <c:pt idx="128">
                  <c:v>14.07.2025</c:v>
                </c:pt>
                <c:pt idx="129">
                  <c:v>21.07.2025</c:v>
                </c:pt>
                <c:pt idx="130">
                  <c:v>28.07.2025</c:v>
                </c:pt>
                <c:pt idx="131">
                  <c:v>04.08.2025</c:v>
                </c:pt>
                <c:pt idx="132">
                  <c:v>11.08.2025</c:v>
                </c:pt>
                <c:pt idx="133">
                  <c:v>18.08.2025</c:v>
                </c:pt>
                <c:pt idx="134">
                  <c:v>25.08.2025</c:v>
                </c:pt>
                <c:pt idx="135">
                  <c:v>01.09.2025</c:v>
                </c:pt>
                <c:pt idx="136">
                  <c:v>08.09.2025</c:v>
                </c:pt>
                <c:pt idx="137">
                  <c:v>15.09.2025</c:v>
                </c:pt>
                <c:pt idx="138">
                  <c:v>22.09.2025</c:v>
                </c:pt>
                <c:pt idx="139">
                  <c:v>29.09.2025</c:v>
                </c:pt>
                <c:pt idx="140">
                  <c:v>06.10.2025</c:v>
                </c:pt>
                <c:pt idx="141">
                  <c:v>13.10.2025</c:v>
                </c:pt>
                <c:pt idx="142">
                  <c:v>20.10.2025</c:v>
                </c:pt>
                <c:pt idx="143">
                  <c:v>27.10.2025</c:v>
                </c:pt>
                <c:pt idx="144">
                  <c:v>03.11.2025</c:v>
                </c:pt>
                <c:pt idx="145">
                  <c:v>10.11.2025</c:v>
                </c:pt>
                <c:pt idx="146">
                  <c:v>17.11.2025</c:v>
                </c:pt>
                <c:pt idx="147">
                  <c:v>24.11.2025</c:v>
                </c:pt>
                <c:pt idx="148">
                  <c:v>01.12.2025</c:v>
                </c:pt>
                <c:pt idx="149">
                  <c:v>08.12.2025</c:v>
                </c:pt>
                <c:pt idx="150">
                  <c:v>15.12.2025</c:v>
                </c:pt>
                <c:pt idx="151">
                  <c:v>22.12.2025</c:v>
                </c:pt>
                <c:pt idx="152">
                  <c:v>29.12.2025</c:v>
                </c:pt>
                <c:pt idx="153">
                  <c:v>05.01.2026</c:v>
                </c:pt>
                <c:pt idx="154">
                  <c:v>12.01.2026</c:v>
                </c:pt>
                <c:pt idx="155">
                  <c:v>19.01.2026</c:v>
                </c:pt>
                <c:pt idx="156">
                  <c:v>26.01.2026</c:v>
                </c:pt>
                <c:pt idx="157">
                  <c:v>02.02.2026</c:v>
                </c:pt>
                <c:pt idx="158">
                  <c:v>09.02.2026</c:v>
                </c:pt>
                <c:pt idx="159">
                  <c:v>16.02.2026</c:v>
                </c:pt>
                <c:pt idx="160">
                  <c:v>23.02.2026</c:v>
                </c:pt>
                <c:pt idx="161">
                  <c:v>02.03.2026</c:v>
                </c:pt>
                <c:pt idx="162">
                  <c:v>09.03.2026</c:v>
                </c:pt>
                <c:pt idx="163">
                  <c:v>16.03.2026</c:v>
                </c:pt>
                <c:pt idx="164">
                  <c:v>23.03.2026</c:v>
                </c:pt>
                <c:pt idx="165">
                  <c:v>30.03.2026</c:v>
                </c:pt>
                <c:pt idx="166">
                  <c:v>06.04.2026</c:v>
                </c:pt>
                <c:pt idx="167">
                  <c:v>13.04.2026</c:v>
                </c:pt>
                <c:pt idx="168">
                  <c:v>20.04.2026</c:v>
                </c:pt>
                <c:pt idx="169">
                  <c:v>27.04.2026</c:v>
                </c:pt>
                <c:pt idx="170">
                  <c:v>04.05.2026</c:v>
                </c:pt>
                <c:pt idx="171">
                  <c:v>11.05.2026</c:v>
                </c:pt>
                <c:pt idx="172">
                  <c:v>18.05.2026</c:v>
                </c:pt>
                <c:pt idx="173">
                  <c:v>25.05.2026</c:v>
                </c:pt>
                <c:pt idx="174">
                  <c:v>01.06.2026</c:v>
                </c:pt>
                <c:pt idx="175">
                  <c:v>08.06.2026</c:v>
                </c:pt>
                <c:pt idx="176">
                  <c:v>15.06.2026</c:v>
                </c:pt>
                <c:pt idx="177">
                  <c:v>22.06.2026</c:v>
                </c:pt>
                <c:pt idx="178">
                  <c:v>29.06.2026</c:v>
                </c:pt>
                <c:pt idx="179">
                  <c:v>06.07.2026</c:v>
                </c:pt>
                <c:pt idx="180">
                  <c:v>13.07.2026</c:v>
                </c:pt>
                <c:pt idx="181">
                  <c:v>20.07.2026</c:v>
                </c:pt>
                <c:pt idx="182">
                  <c:v>27.07.2026</c:v>
                </c:pt>
                <c:pt idx="183">
                  <c:v>03.08.2026</c:v>
                </c:pt>
                <c:pt idx="184">
                  <c:v>10.08.2026</c:v>
                </c:pt>
                <c:pt idx="185">
                  <c:v>17.08.2026</c:v>
                </c:pt>
                <c:pt idx="186">
                  <c:v>24.08.2026</c:v>
                </c:pt>
                <c:pt idx="187">
                  <c:v>31.08.2026</c:v>
                </c:pt>
                <c:pt idx="188">
                  <c:v>07.09.2026</c:v>
                </c:pt>
                <c:pt idx="189">
                  <c:v>14.09.2026</c:v>
                </c:pt>
                <c:pt idx="190">
                  <c:v>21.09.2026</c:v>
                </c:pt>
                <c:pt idx="191">
                  <c:v>28.09.2026</c:v>
                </c:pt>
                <c:pt idx="192">
                  <c:v>05.10.2026</c:v>
                </c:pt>
                <c:pt idx="193">
                  <c:v>12.10.2026</c:v>
                </c:pt>
                <c:pt idx="194">
                  <c:v>19.10.2026</c:v>
                </c:pt>
                <c:pt idx="195">
                  <c:v>26.10.2026</c:v>
                </c:pt>
                <c:pt idx="196">
                  <c:v>02.11.2026</c:v>
                </c:pt>
                <c:pt idx="197">
                  <c:v>09.11.2026</c:v>
                </c:pt>
                <c:pt idx="198">
                  <c:v>16.11.2026</c:v>
                </c:pt>
                <c:pt idx="199">
                  <c:v>23.11.2026</c:v>
                </c:pt>
                <c:pt idx="200">
                  <c:v>30.11.2026</c:v>
                </c:pt>
              </c:strCache>
            </c:strRef>
          </c:cat>
          <c:val>
            <c:numRef>
              <c:f>SapIbpChartFeeder!$C$8:$GU$8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C1B9-4DCF-8CD5-91DDF08DCA8A}"/>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4.2382060210848262E-2"/>
          <c:h val="0.15611141172088067"/>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6.jpeg"/><Relationship Id="rId2" Type="http://schemas.openxmlformats.org/officeDocument/2006/relationships/image" Target="../media/image25.pn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18" Type="http://schemas.openxmlformats.org/officeDocument/2006/relationships/image" Target="../media/image7.emf"/><Relationship Id="rId3" Type="http://schemas.openxmlformats.org/officeDocument/2006/relationships/image" Target="../media/image22.emf"/><Relationship Id="rId7" Type="http://schemas.openxmlformats.org/officeDocument/2006/relationships/image" Target="../media/image18.emf"/><Relationship Id="rId12" Type="http://schemas.openxmlformats.org/officeDocument/2006/relationships/image" Target="../media/image13.emf"/><Relationship Id="rId17" Type="http://schemas.openxmlformats.org/officeDocument/2006/relationships/image" Target="../media/image8.emf"/><Relationship Id="rId2" Type="http://schemas.openxmlformats.org/officeDocument/2006/relationships/image" Target="../media/image23.emf"/><Relationship Id="rId16" Type="http://schemas.openxmlformats.org/officeDocument/2006/relationships/image" Target="../media/image9.emf"/><Relationship Id="rId1" Type="http://schemas.openxmlformats.org/officeDocument/2006/relationships/image" Target="../media/image24.emf"/><Relationship Id="rId6" Type="http://schemas.openxmlformats.org/officeDocument/2006/relationships/image" Target="../media/image21.emf"/><Relationship Id="rId11" Type="http://schemas.openxmlformats.org/officeDocument/2006/relationships/image" Target="../media/image14.emf"/><Relationship Id="rId5" Type="http://schemas.openxmlformats.org/officeDocument/2006/relationships/image" Target="../media/image19.emf"/><Relationship Id="rId15" Type="http://schemas.openxmlformats.org/officeDocument/2006/relationships/image" Target="../media/image10.emf"/><Relationship Id="rId10" Type="http://schemas.openxmlformats.org/officeDocument/2006/relationships/image" Target="../media/image15.emf"/><Relationship Id="rId19" Type="http://schemas.openxmlformats.org/officeDocument/2006/relationships/image" Target="../media/image6.emf"/><Relationship Id="rId4" Type="http://schemas.openxmlformats.org/officeDocument/2006/relationships/image" Target="../media/image20.emf"/><Relationship Id="rId9" Type="http://schemas.openxmlformats.org/officeDocument/2006/relationships/image" Target="../media/image16.emf"/><Relationship Id="rId1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2619375</xdr:colOff>
          <xdr:row>5</xdr:row>
          <xdr:rowOff>276225</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180975</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12</xdr:row>
          <xdr:rowOff>0</xdr:rowOff>
        </xdr:from>
        <xdr:to>
          <xdr:col>12</xdr:col>
          <xdr:colOff>0</xdr:colOff>
          <xdr:row>14</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21</xdr:row>
          <xdr:rowOff>66675</xdr:rowOff>
        </xdr:from>
        <xdr:to>
          <xdr:col>9</xdr:col>
          <xdr:colOff>600075</xdr:colOff>
          <xdr:row>21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1276350</xdr:colOff>
          <xdr:row>23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22</xdr:row>
          <xdr:rowOff>57150</xdr:rowOff>
        </xdr:from>
        <xdr:to>
          <xdr:col>3</xdr:col>
          <xdr:colOff>2619375</xdr:colOff>
          <xdr:row>22</xdr:row>
          <xdr:rowOff>276225</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22</xdr:row>
          <xdr:rowOff>57150</xdr:rowOff>
        </xdr:from>
        <xdr:to>
          <xdr:col>3</xdr:col>
          <xdr:colOff>447675</xdr:colOff>
          <xdr:row>22</xdr:row>
          <xdr:rowOff>276225</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25</xdr:row>
          <xdr:rowOff>0</xdr:rowOff>
        </xdr:from>
        <xdr:to>
          <xdr:col>2</xdr:col>
          <xdr:colOff>1019175</xdr:colOff>
          <xdr:row>28</xdr:row>
          <xdr:rowOff>0</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28</xdr:row>
          <xdr:rowOff>0</xdr:rowOff>
        </xdr:from>
        <xdr:to>
          <xdr:col>2</xdr:col>
          <xdr:colOff>1019175</xdr:colOff>
          <xdr:row>30</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31</xdr:row>
          <xdr:rowOff>0</xdr:rowOff>
        </xdr:from>
        <xdr:to>
          <xdr:col>2</xdr:col>
          <xdr:colOff>1019175</xdr:colOff>
          <xdr:row>33</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34</xdr:row>
          <xdr:rowOff>0</xdr:rowOff>
        </xdr:from>
        <xdr:to>
          <xdr:col>2</xdr:col>
          <xdr:colOff>1019175</xdr:colOff>
          <xdr:row>36</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37</xdr:row>
          <xdr:rowOff>47625</xdr:rowOff>
        </xdr:from>
        <xdr:to>
          <xdr:col>2</xdr:col>
          <xdr:colOff>1019175</xdr:colOff>
          <xdr:row>39</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147</xdr:row>
          <xdr:rowOff>19050</xdr:rowOff>
        </xdr:from>
        <xdr:to>
          <xdr:col>3</xdr:col>
          <xdr:colOff>4286250</xdr:colOff>
          <xdr:row>147</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151</xdr:row>
          <xdr:rowOff>0</xdr:rowOff>
        </xdr:from>
        <xdr:to>
          <xdr:col>2</xdr:col>
          <xdr:colOff>1019175</xdr:colOff>
          <xdr:row>153</xdr:row>
          <xdr:rowOff>47625</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154</xdr:row>
          <xdr:rowOff>0</xdr:rowOff>
        </xdr:from>
        <xdr:to>
          <xdr:col>2</xdr:col>
          <xdr:colOff>1019175</xdr:colOff>
          <xdr:row>156</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157</xdr:row>
          <xdr:rowOff>0</xdr:rowOff>
        </xdr:from>
        <xdr:to>
          <xdr:col>2</xdr:col>
          <xdr:colOff>1019175</xdr:colOff>
          <xdr:row>159</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160</xdr:row>
          <xdr:rowOff>0</xdr:rowOff>
        </xdr:from>
        <xdr:to>
          <xdr:col>2</xdr:col>
          <xdr:colOff>1019175</xdr:colOff>
          <xdr:row>162</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163</xdr:row>
          <xdr:rowOff>47625</xdr:rowOff>
        </xdr:from>
        <xdr:to>
          <xdr:col>2</xdr:col>
          <xdr:colOff>1019175</xdr:colOff>
          <xdr:row>165</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186</xdr:row>
          <xdr:rowOff>19050</xdr:rowOff>
        </xdr:from>
        <xdr:to>
          <xdr:col>3</xdr:col>
          <xdr:colOff>4286250</xdr:colOff>
          <xdr:row>186</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190</xdr:row>
          <xdr:rowOff>66675</xdr:rowOff>
        </xdr:from>
        <xdr:to>
          <xdr:col>7</xdr:col>
          <xdr:colOff>1800225</xdr:colOff>
          <xdr:row>190</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191</xdr:row>
          <xdr:rowOff>0</xdr:rowOff>
        </xdr:from>
        <xdr:to>
          <xdr:col>11</xdr:col>
          <xdr:colOff>1276350</xdr:colOff>
          <xdr:row>192</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191</xdr:row>
          <xdr:rowOff>66675</xdr:rowOff>
        </xdr:from>
        <xdr:to>
          <xdr:col>3</xdr:col>
          <xdr:colOff>2619375</xdr:colOff>
          <xdr:row>191</xdr:row>
          <xdr:rowOff>276225</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191</xdr:row>
          <xdr:rowOff>66675</xdr:rowOff>
        </xdr:from>
        <xdr:to>
          <xdr:col>3</xdr:col>
          <xdr:colOff>447675</xdr:colOff>
          <xdr:row>191</xdr:row>
          <xdr:rowOff>276225</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194</xdr:row>
          <xdr:rowOff>0</xdr:rowOff>
        </xdr:from>
        <xdr:to>
          <xdr:col>2</xdr:col>
          <xdr:colOff>1019175</xdr:colOff>
          <xdr:row>196</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197</xdr:row>
          <xdr:rowOff>0</xdr:rowOff>
        </xdr:from>
        <xdr:to>
          <xdr:col>2</xdr:col>
          <xdr:colOff>1019175</xdr:colOff>
          <xdr:row>199</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202</xdr:row>
          <xdr:rowOff>0</xdr:rowOff>
        </xdr:from>
        <xdr:to>
          <xdr:col>2</xdr:col>
          <xdr:colOff>1019175</xdr:colOff>
          <xdr:row>204</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204</xdr:row>
          <xdr:rowOff>47625</xdr:rowOff>
        </xdr:from>
        <xdr:to>
          <xdr:col>2</xdr:col>
          <xdr:colOff>1019175</xdr:colOff>
          <xdr:row>207</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39</xdr:row>
          <xdr:rowOff>47625</xdr:rowOff>
        </xdr:from>
        <xdr:to>
          <xdr:col>12</xdr:col>
          <xdr:colOff>676275</xdr:colOff>
          <xdr:row>40</xdr:row>
          <xdr:rowOff>190500</xdr:rowOff>
        </xdr:to>
        <xdr:sp macro="" textlink="">
          <xdr:nvSpPr>
            <xdr:cNvPr id="18489" name="AddedMember1_1" hidden="1">
              <a:extLst>
                <a:ext uri="{63B3BB69-23CF-44E3-9099-C40C66FF867C}">
                  <a14:compatExt spid="_x0000_s18489"/>
                </a:ext>
                <a:ext uri="{FF2B5EF4-FFF2-40B4-BE49-F238E27FC236}">
                  <a16:creationId xmlns:a16="http://schemas.microsoft.com/office/drawing/2014/main" id="{00000000-0008-0000-0100-00003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39</xdr:row>
          <xdr:rowOff>47625</xdr:rowOff>
        </xdr:from>
        <xdr:to>
          <xdr:col>13</xdr:col>
          <xdr:colOff>685800</xdr:colOff>
          <xdr:row>40</xdr:row>
          <xdr:rowOff>190500</xdr:rowOff>
        </xdr:to>
        <xdr:sp macro="" textlink="">
          <xdr:nvSpPr>
            <xdr:cNvPr id="18490" name="ChangeMember1_1" hidden="1">
              <a:extLst>
                <a:ext uri="{63B3BB69-23CF-44E3-9099-C40C66FF867C}">
                  <a14:compatExt spid="_x0000_s18490"/>
                </a:ext>
                <a:ext uri="{FF2B5EF4-FFF2-40B4-BE49-F238E27FC236}">
                  <a16:creationId xmlns:a16="http://schemas.microsoft.com/office/drawing/2014/main" id="{00000000-0008-0000-0100-00003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47625</xdr:rowOff>
        </xdr:from>
        <xdr:to>
          <xdr:col>14</xdr:col>
          <xdr:colOff>685800</xdr:colOff>
          <xdr:row>40</xdr:row>
          <xdr:rowOff>190500</xdr:rowOff>
        </xdr:to>
        <xdr:sp macro="" textlink="">
          <xdr:nvSpPr>
            <xdr:cNvPr id="18491" name="UpMember1_1" hidden="1">
              <a:extLst>
                <a:ext uri="{63B3BB69-23CF-44E3-9099-C40C66FF867C}">
                  <a14:compatExt spid="_x0000_s18491"/>
                </a:ext>
                <a:ext uri="{FF2B5EF4-FFF2-40B4-BE49-F238E27FC236}">
                  <a16:creationId xmlns:a16="http://schemas.microsoft.com/office/drawing/2014/main" id="{00000000-0008-0000-0100-00003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39</xdr:row>
          <xdr:rowOff>47625</xdr:rowOff>
        </xdr:from>
        <xdr:to>
          <xdr:col>15</xdr:col>
          <xdr:colOff>676275</xdr:colOff>
          <xdr:row>40</xdr:row>
          <xdr:rowOff>190500</xdr:rowOff>
        </xdr:to>
        <xdr:sp macro="" textlink="">
          <xdr:nvSpPr>
            <xdr:cNvPr id="18492" name="DownMember1_1" hidden="1">
              <a:extLst>
                <a:ext uri="{63B3BB69-23CF-44E3-9099-C40C66FF867C}">
                  <a14:compatExt spid="_x0000_s18492"/>
                </a:ext>
                <a:ext uri="{FF2B5EF4-FFF2-40B4-BE49-F238E27FC236}">
                  <a16:creationId xmlns:a16="http://schemas.microsoft.com/office/drawing/2014/main" id="{00000000-0008-0000-0100-00003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42</xdr:row>
          <xdr:rowOff>47625</xdr:rowOff>
        </xdr:from>
        <xdr:to>
          <xdr:col>12</xdr:col>
          <xdr:colOff>676275</xdr:colOff>
          <xdr:row>44</xdr:row>
          <xdr:rowOff>0</xdr:rowOff>
        </xdr:to>
        <xdr:sp macro="" textlink="">
          <xdr:nvSpPr>
            <xdr:cNvPr id="18493" name="AddedMember1_2" hidden="1">
              <a:extLst>
                <a:ext uri="{63B3BB69-23CF-44E3-9099-C40C66FF867C}">
                  <a14:compatExt spid="_x0000_s18493"/>
                </a:ext>
                <a:ext uri="{FF2B5EF4-FFF2-40B4-BE49-F238E27FC236}">
                  <a16:creationId xmlns:a16="http://schemas.microsoft.com/office/drawing/2014/main" id="{00000000-0008-0000-0100-00003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42</xdr:row>
          <xdr:rowOff>47625</xdr:rowOff>
        </xdr:from>
        <xdr:to>
          <xdr:col>13</xdr:col>
          <xdr:colOff>685800</xdr:colOff>
          <xdr:row>44</xdr:row>
          <xdr:rowOff>0</xdr:rowOff>
        </xdr:to>
        <xdr:sp macro="" textlink="">
          <xdr:nvSpPr>
            <xdr:cNvPr id="18494" name="ChangeMember1_2" hidden="1">
              <a:extLst>
                <a:ext uri="{63B3BB69-23CF-44E3-9099-C40C66FF867C}">
                  <a14:compatExt spid="_x0000_s18494"/>
                </a:ext>
                <a:ext uri="{FF2B5EF4-FFF2-40B4-BE49-F238E27FC236}">
                  <a16:creationId xmlns:a16="http://schemas.microsoft.com/office/drawing/2014/main" id="{00000000-0008-0000-0100-00003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47625</xdr:rowOff>
        </xdr:from>
        <xdr:to>
          <xdr:col>14</xdr:col>
          <xdr:colOff>685800</xdr:colOff>
          <xdr:row>44</xdr:row>
          <xdr:rowOff>0</xdr:rowOff>
        </xdr:to>
        <xdr:sp macro="" textlink="">
          <xdr:nvSpPr>
            <xdr:cNvPr id="18495" name="UpMember1_2" hidden="1">
              <a:extLst>
                <a:ext uri="{63B3BB69-23CF-44E3-9099-C40C66FF867C}">
                  <a14:compatExt spid="_x0000_s18495"/>
                </a:ext>
                <a:ext uri="{FF2B5EF4-FFF2-40B4-BE49-F238E27FC236}">
                  <a16:creationId xmlns:a16="http://schemas.microsoft.com/office/drawing/2014/main" id="{00000000-0008-0000-0100-00003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42</xdr:row>
          <xdr:rowOff>47625</xdr:rowOff>
        </xdr:from>
        <xdr:to>
          <xdr:col>15</xdr:col>
          <xdr:colOff>676275</xdr:colOff>
          <xdr:row>44</xdr:row>
          <xdr:rowOff>0</xdr:rowOff>
        </xdr:to>
        <xdr:sp macro="" textlink="">
          <xdr:nvSpPr>
            <xdr:cNvPr id="18496" name="DownMember1_2" hidden="1">
              <a:extLst>
                <a:ext uri="{63B3BB69-23CF-44E3-9099-C40C66FF867C}">
                  <a14:compatExt spid="_x0000_s18496"/>
                </a:ext>
                <a:ext uri="{FF2B5EF4-FFF2-40B4-BE49-F238E27FC236}">
                  <a16:creationId xmlns:a16="http://schemas.microsoft.com/office/drawing/2014/main" id="{00000000-0008-0000-0100-00004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46</xdr:row>
          <xdr:rowOff>0</xdr:rowOff>
        </xdr:from>
        <xdr:to>
          <xdr:col>12</xdr:col>
          <xdr:colOff>676275</xdr:colOff>
          <xdr:row>47</xdr:row>
          <xdr:rowOff>0</xdr:rowOff>
        </xdr:to>
        <xdr:sp macro="" textlink="">
          <xdr:nvSpPr>
            <xdr:cNvPr id="18497" name="AddedMember1_3" hidden="1">
              <a:extLst>
                <a:ext uri="{63B3BB69-23CF-44E3-9099-C40C66FF867C}">
                  <a14:compatExt spid="_x0000_s18497"/>
                </a:ext>
                <a:ext uri="{FF2B5EF4-FFF2-40B4-BE49-F238E27FC236}">
                  <a16:creationId xmlns:a16="http://schemas.microsoft.com/office/drawing/2014/main" id="{00000000-0008-0000-0100-00004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46</xdr:row>
          <xdr:rowOff>0</xdr:rowOff>
        </xdr:from>
        <xdr:to>
          <xdr:col>13</xdr:col>
          <xdr:colOff>685800</xdr:colOff>
          <xdr:row>47</xdr:row>
          <xdr:rowOff>0</xdr:rowOff>
        </xdr:to>
        <xdr:sp macro="" textlink="">
          <xdr:nvSpPr>
            <xdr:cNvPr id="18498" name="ChangeMember1_3" hidden="1">
              <a:extLst>
                <a:ext uri="{63B3BB69-23CF-44E3-9099-C40C66FF867C}">
                  <a14:compatExt spid="_x0000_s18498"/>
                </a:ext>
                <a:ext uri="{FF2B5EF4-FFF2-40B4-BE49-F238E27FC236}">
                  <a16:creationId xmlns:a16="http://schemas.microsoft.com/office/drawing/2014/main" id="{00000000-0008-0000-0100-00004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685800</xdr:colOff>
          <xdr:row>47</xdr:row>
          <xdr:rowOff>0</xdr:rowOff>
        </xdr:to>
        <xdr:sp macro="" textlink="">
          <xdr:nvSpPr>
            <xdr:cNvPr id="18499" name="UpMember1_3" hidden="1">
              <a:extLst>
                <a:ext uri="{63B3BB69-23CF-44E3-9099-C40C66FF867C}">
                  <a14:compatExt spid="_x0000_s18499"/>
                </a:ext>
                <a:ext uri="{FF2B5EF4-FFF2-40B4-BE49-F238E27FC236}">
                  <a16:creationId xmlns:a16="http://schemas.microsoft.com/office/drawing/2014/main" id="{00000000-0008-0000-0100-00004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46</xdr:row>
          <xdr:rowOff>0</xdr:rowOff>
        </xdr:from>
        <xdr:to>
          <xdr:col>15</xdr:col>
          <xdr:colOff>676275</xdr:colOff>
          <xdr:row>47</xdr:row>
          <xdr:rowOff>0</xdr:rowOff>
        </xdr:to>
        <xdr:sp macro="" textlink="">
          <xdr:nvSpPr>
            <xdr:cNvPr id="18500" name="DownMember1_3" hidden="1">
              <a:extLst>
                <a:ext uri="{63B3BB69-23CF-44E3-9099-C40C66FF867C}">
                  <a14:compatExt spid="_x0000_s18500"/>
                </a:ext>
                <a:ext uri="{FF2B5EF4-FFF2-40B4-BE49-F238E27FC236}">
                  <a16:creationId xmlns:a16="http://schemas.microsoft.com/office/drawing/2014/main" id="{00000000-0008-0000-0100-00004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49</xdr:row>
          <xdr:rowOff>0</xdr:rowOff>
        </xdr:from>
        <xdr:to>
          <xdr:col>12</xdr:col>
          <xdr:colOff>676275</xdr:colOff>
          <xdr:row>50</xdr:row>
          <xdr:rowOff>0</xdr:rowOff>
        </xdr:to>
        <xdr:sp macro="" textlink="">
          <xdr:nvSpPr>
            <xdr:cNvPr id="18501" name="AddedMember1_4" hidden="1">
              <a:extLst>
                <a:ext uri="{63B3BB69-23CF-44E3-9099-C40C66FF867C}">
                  <a14:compatExt spid="_x0000_s18501"/>
                </a:ext>
                <a:ext uri="{FF2B5EF4-FFF2-40B4-BE49-F238E27FC236}">
                  <a16:creationId xmlns:a16="http://schemas.microsoft.com/office/drawing/2014/main" id="{00000000-0008-0000-0100-00004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49</xdr:row>
          <xdr:rowOff>0</xdr:rowOff>
        </xdr:from>
        <xdr:to>
          <xdr:col>13</xdr:col>
          <xdr:colOff>685800</xdr:colOff>
          <xdr:row>50</xdr:row>
          <xdr:rowOff>0</xdr:rowOff>
        </xdr:to>
        <xdr:sp macro="" textlink="">
          <xdr:nvSpPr>
            <xdr:cNvPr id="18502" name="ChangeMember1_4" hidden="1">
              <a:extLst>
                <a:ext uri="{63B3BB69-23CF-44E3-9099-C40C66FF867C}">
                  <a14:compatExt spid="_x0000_s18502"/>
                </a:ext>
                <a:ext uri="{FF2B5EF4-FFF2-40B4-BE49-F238E27FC236}">
                  <a16:creationId xmlns:a16="http://schemas.microsoft.com/office/drawing/2014/main" id="{00000000-0008-0000-0100-00004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685800</xdr:colOff>
          <xdr:row>50</xdr:row>
          <xdr:rowOff>0</xdr:rowOff>
        </xdr:to>
        <xdr:sp macro="" textlink="">
          <xdr:nvSpPr>
            <xdr:cNvPr id="18503" name="UpMember1_4" hidden="1">
              <a:extLst>
                <a:ext uri="{63B3BB69-23CF-44E3-9099-C40C66FF867C}">
                  <a14:compatExt spid="_x0000_s18503"/>
                </a:ext>
                <a:ext uri="{FF2B5EF4-FFF2-40B4-BE49-F238E27FC236}">
                  <a16:creationId xmlns:a16="http://schemas.microsoft.com/office/drawing/2014/main" id="{00000000-0008-0000-0100-00004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49</xdr:row>
          <xdr:rowOff>0</xdr:rowOff>
        </xdr:from>
        <xdr:to>
          <xdr:col>15</xdr:col>
          <xdr:colOff>676275</xdr:colOff>
          <xdr:row>50</xdr:row>
          <xdr:rowOff>0</xdr:rowOff>
        </xdr:to>
        <xdr:sp macro="" textlink="">
          <xdr:nvSpPr>
            <xdr:cNvPr id="18504" name="DownMember1_4" hidden="1">
              <a:extLst>
                <a:ext uri="{63B3BB69-23CF-44E3-9099-C40C66FF867C}">
                  <a14:compatExt spid="_x0000_s18504"/>
                </a:ext>
                <a:ext uri="{FF2B5EF4-FFF2-40B4-BE49-F238E27FC236}">
                  <a16:creationId xmlns:a16="http://schemas.microsoft.com/office/drawing/2014/main" id="{00000000-0008-0000-0100-00004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52</xdr:row>
          <xdr:rowOff>0</xdr:rowOff>
        </xdr:from>
        <xdr:to>
          <xdr:col>12</xdr:col>
          <xdr:colOff>676275</xdr:colOff>
          <xdr:row>53</xdr:row>
          <xdr:rowOff>9525</xdr:rowOff>
        </xdr:to>
        <xdr:sp macro="" textlink="">
          <xdr:nvSpPr>
            <xdr:cNvPr id="18505" name="AddedMember1_5" hidden="1">
              <a:extLst>
                <a:ext uri="{63B3BB69-23CF-44E3-9099-C40C66FF867C}">
                  <a14:compatExt spid="_x0000_s18505"/>
                </a:ext>
                <a:ext uri="{FF2B5EF4-FFF2-40B4-BE49-F238E27FC236}">
                  <a16:creationId xmlns:a16="http://schemas.microsoft.com/office/drawing/2014/main" id="{00000000-0008-0000-0100-00004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52</xdr:row>
          <xdr:rowOff>0</xdr:rowOff>
        </xdr:from>
        <xdr:to>
          <xdr:col>13</xdr:col>
          <xdr:colOff>685800</xdr:colOff>
          <xdr:row>53</xdr:row>
          <xdr:rowOff>9525</xdr:rowOff>
        </xdr:to>
        <xdr:sp macro="" textlink="">
          <xdr:nvSpPr>
            <xdr:cNvPr id="18506" name="ChangeMember1_5" hidden="1">
              <a:extLst>
                <a:ext uri="{63B3BB69-23CF-44E3-9099-C40C66FF867C}">
                  <a14:compatExt spid="_x0000_s18506"/>
                </a:ext>
                <a:ext uri="{FF2B5EF4-FFF2-40B4-BE49-F238E27FC236}">
                  <a16:creationId xmlns:a16="http://schemas.microsoft.com/office/drawing/2014/main" id="{00000000-0008-0000-0100-00004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685800</xdr:colOff>
          <xdr:row>53</xdr:row>
          <xdr:rowOff>9525</xdr:rowOff>
        </xdr:to>
        <xdr:sp macro="" textlink="">
          <xdr:nvSpPr>
            <xdr:cNvPr id="18507" name="UpMember1_5" hidden="1">
              <a:extLst>
                <a:ext uri="{63B3BB69-23CF-44E3-9099-C40C66FF867C}">
                  <a14:compatExt spid="_x0000_s18507"/>
                </a:ext>
                <a:ext uri="{FF2B5EF4-FFF2-40B4-BE49-F238E27FC236}">
                  <a16:creationId xmlns:a16="http://schemas.microsoft.com/office/drawing/2014/main" id="{00000000-0008-0000-0100-00004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52</xdr:row>
          <xdr:rowOff>0</xdr:rowOff>
        </xdr:from>
        <xdr:to>
          <xdr:col>15</xdr:col>
          <xdr:colOff>676275</xdr:colOff>
          <xdr:row>53</xdr:row>
          <xdr:rowOff>9525</xdr:rowOff>
        </xdr:to>
        <xdr:sp macro="" textlink="">
          <xdr:nvSpPr>
            <xdr:cNvPr id="18508" name="DownMember1_5" hidden="1">
              <a:extLst>
                <a:ext uri="{63B3BB69-23CF-44E3-9099-C40C66FF867C}">
                  <a14:compatExt spid="_x0000_s18508"/>
                </a:ext>
                <a:ext uri="{FF2B5EF4-FFF2-40B4-BE49-F238E27FC236}">
                  <a16:creationId xmlns:a16="http://schemas.microsoft.com/office/drawing/2014/main" id="{00000000-0008-0000-0100-00004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54</xdr:row>
          <xdr:rowOff>47625</xdr:rowOff>
        </xdr:from>
        <xdr:to>
          <xdr:col>12</xdr:col>
          <xdr:colOff>676275</xdr:colOff>
          <xdr:row>56</xdr:row>
          <xdr:rowOff>0</xdr:rowOff>
        </xdr:to>
        <xdr:sp macro="" textlink="">
          <xdr:nvSpPr>
            <xdr:cNvPr id="18509" name="AddedMember1_6" hidden="1">
              <a:extLst>
                <a:ext uri="{63B3BB69-23CF-44E3-9099-C40C66FF867C}">
                  <a14:compatExt spid="_x0000_s18509"/>
                </a:ext>
                <a:ext uri="{FF2B5EF4-FFF2-40B4-BE49-F238E27FC236}">
                  <a16:creationId xmlns:a16="http://schemas.microsoft.com/office/drawing/2014/main" id="{00000000-0008-0000-0100-00004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54</xdr:row>
          <xdr:rowOff>47625</xdr:rowOff>
        </xdr:from>
        <xdr:to>
          <xdr:col>13</xdr:col>
          <xdr:colOff>685800</xdr:colOff>
          <xdr:row>56</xdr:row>
          <xdr:rowOff>0</xdr:rowOff>
        </xdr:to>
        <xdr:sp macro="" textlink="">
          <xdr:nvSpPr>
            <xdr:cNvPr id="18510" name="ChangeMember1_6" hidden="1">
              <a:extLst>
                <a:ext uri="{63B3BB69-23CF-44E3-9099-C40C66FF867C}">
                  <a14:compatExt spid="_x0000_s18510"/>
                </a:ext>
                <a:ext uri="{FF2B5EF4-FFF2-40B4-BE49-F238E27FC236}">
                  <a16:creationId xmlns:a16="http://schemas.microsoft.com/office/drawing/2014/main" id="{00000000-0008-0000-0100-00004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47625</xdr:rowOff>
        </xdr:from>
        <xdr:to>
          <xdr:col>14</xdr:col>
          <xdr:colOff>685800</xdr:colOff>
          <xdr:row>56</xdr:row>
          <xdr:rowOff>0</xdr:rowOff>
        </xdr:to>
        <xdr:sp macro="" textlink="">
          <xdr:nvSpPr>
            <xdr:cNvPr id="18511" name="UpMember1_6" hidden="1">
              <a:extLst>
                <a:ext uri="{63B3BB69-23CF-44E3-9099-C40C66FF867C}">
                  <a14:compatExt spid="_x0000_s18511"/>
                </a:ext>
                <a:ext uri="{FF2B5EF4-FFF2-40B4-BE49-F238E27FC236}">
                  <a16:creationId xmlns:a16="http://schemas.microsoft.com/office/drawing/2014/main" id="{00000000-0008-0000-0100-00004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54</xdr:row>
          <xdr:rowOff>47625</xdr:rowOff>
        </xdr:from>
        <xdr:to>
          <xdr:col>15</xdr:col>
          <xdr:colOff>676275</xdr:colOff>
          <xdr:row>56</xdr:row>
          <xdr:rowOff>0</xdr:rowOff>
        </xdr:to>
        <xdr:sp macro="" textlink="">
          <xdr:nvSpPr>
            <xdr:cNvPr id="18512" name="DownMember1_6" hidden="1">
              <a:extLst>
                <a:ext uri="{63B3BB69-23CF-44E3-9099-C40C66FF867C}">
                  <a14:compatExt spid="_x0000_s18512"/>
                </a:ext>
                <a:ext uri="{FF2B5EF4-FFF2-40B4-BE49-F238E27FC236}">
                  <a16:creationId xmlns:a16="http://schemas.microsoft.com/office/drawing/2014/main" id="{00000000-0008-0000-0100-00005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58</xdr:row>
          <xdr:rowOff>0</xdr:rowOff>
        </xdr:from>
        <xdr:to>
          <xdr:col>12</xdr:col>
          <xdr:colOff>676275</xdr:colOff>
          <xdr:row>59</xdr:row>
          <xdr:rowOff>0</xdr:rowOff>
        </xdr:to>
        <xdr:sp macro="" textlink="">
          <xdr:nvSpPr>
            <xdr:cNvPr id="18513" name="AddedMember1_7" hidden="1">
              <a:extLst>
                <a:ext uri="{63B3BB69-23CF-44E3-9099-C40C66FF867C}">
                  <a14:compatExt spid="_x0000_s18513"/>
                </a:ext>
                <a:ext uri="{FF2B5EF4-FFF2-40B4-BE49-F238E27FC236}">
                  <a16:creationId xmlns:a16="http://schemas.microsoft.com/office/drawing/2014/main" id="{00000000-0008-0000-0100-00005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58</xdr:row>
          <xdr:rowOff>0</xdr:rowOff>
        </xdr:from>
        <xdr:to>
          <xdr:col>13</xdr:col>
          <xdr:colOff>685800</xdr:colOff>
          <xdr:row>59</xdr:row>
          <xdr:rowOff>0</xdr:rowOff>
        </xdr:to>
        <xdr:sp macro="" textlink="">
          <xdr:nvSpPr>
            <xdr:cNvPr id="18514" name="ChangeMember1_7" hidden="1">
              <a:extLst>
                <a:ext uri="{63B3BB69-23CF-44E3-9099-C40C66FF867C}">
                  <a14:compatExt spid="_x0000_s18514"/>
                </a:ext>
                <a:ext uri="{FF2B5EF4-FFF2-40B4-BE49-F238E27FC236}">
                  <a16:creationId xmlns:a16="http://schemas.microsoft.com/office/drawing/2014/main" id="{00000000-0008-0000-0100-00005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685800</xdr:colOff>
          <xdr:row>59</xdr:row>
          <xdr:rowOff>0</xdr:rowOff>
        </xdr:to>
        <xdr:sp macro="" textlink="">
          <xdr:nvSpPr>
            <xdr:cNvPr id="18515" name="UpMember1_7" hidden="1">
              <a:extLst>
                <a:ext uri="{63B3BB69-23CF-44E3-9099-C40C66FF867C}">
                  <a14:compatExt spid="_x0000_s18515"/>
                </a:ext>
                <a:ext uri="{FF2B5EF4-FFF2-40B4-BE49-F238E27FC236}">
                  <a16:creationId xmlns:a16="http://schemas.microsoft.com/office/drawing/2014/main" id="{00000000-0008-0000-0100-00005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58</xdr:row>
          <xdr:rowOff>0</xdr:rowOff>
        </xdr:from>
        <xdr:to>
          <xdr:col>15</xdr:col>
          <xdr:colOff>676275</xdr:colOff>
          <xdr:row>59</xdr:row>
          <xdr:rowOff>0</xdr:rowOff>
        </xdr:to>
        <xdr:sp macro="" textlink="">
          <xdr:nvSpPr>
            <xdr:cNvPr id="18516" name="DownMember1_7" hidden="1">
              <a:extLst>
                <a:ext uri="{63B3BB69-23CF-44E3-9099-C40C66FF867C}">
                  <a14:compatExt spid="_x0000_s18516"/>
                </a:ext>
                <a:ext uri="{FF2B5EF4-FFF2-40B4-BE49-F238E27FC236}">
                  <a16:creationId xmlns:a16="http://schemas.microsoft.com/office/drawing/2014/main" id="{00000000-0008-0000-0100-00005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61</xdr:row>
          <xdr:rowOff>0</xdr:rowOff>
        </xdr:from>
        <xdr:to>
          <xdr:col>12</xdr:col>
          <xdr:colOff>676275</xdr:colOff>
          <xdr:row>62</xdr:row>
          <xdr:rowOff>0</xdr:rowOff>
        </xdr:to>
        <xdr:sp macro="" textlink="">
          <xdr:nvSpPr>
            <xdr:cNvPr id="18517" name="AddedMember1_8" hidden="1">
              <a:extLst>
                <a:ext uri="{63B3BB69-23CF-44E3-9099-C40C66FF867C}">
                  <a14:compatExt spid="_x0000_s18517"/>
                </a:ext>
                <a:ext uri="{FF2B5EF4-FFF2-40B4-BE49-F238E27FC236}">
                  <a16:creationId xmlns:a16="http://schemas.microsoft.com/office/drawing/2014/main" id="{00000000-0008-0000-0100-00005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61</xdr:row>
          <xdr:rowOff>0</xdr:rowOff>
        </xdr:from>
        <xdr:to>
          <xdr:col>13</xdr:col>
          <xdr:colOff>685800</xdr:colOff>
          <xdr:row>62</xdr:row>
          <xdr:rowOff>0</xdr:rowOff>
        </xdr:to>
        <xdr:sp macro="" textlink="">
          <xdr:nvSpPr>
            <xdr:cNvPr id="18518" name="ChangeMember1_8" hidden="1">
              <a:extLst>
                <a:ext uri="{63B3BB69-23CF-44E3-9099-C40C66FF867C}">
                  <a14:compatExt spid="_x0000_s18518"/>
                </a:ext>
                <a:ext uri="{FF2B5EF4-FFF2-40B4-BE49-F238E27FC236}">
                  <a16:creationId xmlns:a16="http://schemas.microsoft.com/office/drawing/2014/main" id="{00000000-0008-0000-0100-00005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61</xdr:row>
          <xdr:rowOff>0</xdr:rowOff>
        </xdr:from>
        <xdr:to>
          <xdr:col>14</xdr:col>
          <xdr:colOff>685800</xdr:colOff>
          <xdr:row>62</xdr:row>
          <xdr:rowOff>0</xdr:rowOff>
        </xdr:to>
        <xdr:sp macro="" textlink="">
          <xdr:nvSpPr>
            <xdr:cNvPr id="18519" name="UpMember1_8" hidden="1">
              <a:extLst>
                <a:ext uri="{63B3BB69-23CF-44E3-9099-C40C66FF867C}">
                  <a14:compatExt spid="_x0000_s18519"/>
                </a:ext>
                <a:ext uri="{FF2B5EF4-FFF2-40B4-BE49-F238E27FC236}">
                  <a16:creationId xmlns:a16="http://schemas.microsoft.com/office/drawing/2014/main" id="{00000000-0008-0000-0100-00005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61</xdr:row>
          <xdr:rowOff>0</xdr:rowOff>
        </xdr:from>
        <xdr:to>
          <xdr:col>15</xdr:col>
          <xdr:colOff>676275</xdr:colOff>
          <xdr:row>62</xdr:row>
          <xdr:rowOff>0</xdr:rowOff>
        </xdr:to>
        <xdr:sp macro="" textlink="">
          <xdr:nvSpPr>
            <xdr:cNvPr id="18520" name="DownMember1_8" hidden="1">
              <a:extLst>
                <a:ext uri="{63B3BB69-23CF-44E3-9099-C40C66FF867C}">
                  <a14:compatExt spid="_x0000_s18520"/>
                </a:ext>
                <a:ext uri="{FF2B5EF4-FFF2-40B4-BE49-F238E27FC236}">
                  <a16:creationId xmlns:a16="http://schemas.microsoft.com/office/drawing/2014/main" id="{00000000-0008-0000-0100-00005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63</xdr:row>
          <xdr:rowOff>47625</xdr:rowOff>
        </xdr:from>
        <xdr:to>
          <xdr:col>12</xdr:col>
          <xdr:colOff>676275</xdr:colOff>
          <xdr:row>64</xdr:row>
          <xdr:rowOff>190500</xdr:rowOff>
        </xdr:to>
        <xdr:sp macro="" textlink="">
          <xdr:nvSpPr>
            <xdr:cNvPr id="18521" name="AddedMember1_9" hidden="1">
              <a:extLst>
                <a:ext uri="{63B3BB69-23CF-44E3-9099-C40C66FF867C}">
                  <a14:compatExt spid="_x0000_s18521"/>
                </a:ext>
                <a:ext uri="{FF2B5EF4-FFF2-40B4-BE49-F238E27FC236}">
                  <a16:creationId xmlns:a16="http://schemas.microsoft.com/office/drawing/2014/main" id="{00000000-0008-0000-0100-00005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63</xdr:row>
          <xdr:rowOff>47625</xdr:rowOff>
        </xdr:from>
        <xdr:to>
          <xdr:col>13</xdr:col>
          <xdr:colOff>685800</xdr:colOff>
          <xdr:row>64</xdr:row>
          <xdr:rowOff>190500</xdr:rowOff>
        </xdr:to>
        <xdr:sp macro="" textlink="">
          <xdr:nvSpPr>
            <xdr:cNvPr id="18522" name="ChangeMember1_9" hidden="1">
              <a:extLst>
                <a:ext uri="{63B3BB69-23CF-44E3-9099-C40C66FF867C}">
                  <a14:compatExt spid="_x0000_s18522"/>
                </a:ext>
                <a:ext uri="{FF2B5EF4-FFF2-40B4-BE49-F238E27FC236}">
                  <a16:creationId xmlns:a16="http://schemas.microsoft.com/office/drawing/2014/main" id="{00000000-0008-0000-0100-00005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47625</xdr:rowOff>
        </xdr:from>
        <xdr:to>
          <xdr:col>14</xdr:col>
          <xdr:colOff>685800</xdr:colOff>
          <xdr:row>64</xdr:row>
          <xdr:rowOff>190500</xdr:rowOff>
        </xdr:to>
        <xdr:sp macro="" textlink="">
          <xdr:nvSpPr>
            <xdr:cNvPr id="18523" name="UpMember1_9" hidden="1">
              <a:extLst>
                <a:ext uri="{63B3BB69-23CF-44E3-9099-C40C66FF867C}">
                  <a14:compatExt spid="_x0000_s18523"/>
                </a:ext>
                <a:ext uri="{FF2B5EF4-FFF2-40B4-BE49-F238E27FC236}">
                  <a16:creationId xmlns:a16="http://schemas.microsoft.com/office/drawing/2014/main" id="{00000000-0008-0000-0100-00005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63</xdr:row>
          <xdr:rowOff>47625</xdr:rowOff>
        </xdr:from>
        <xdr:to>
          <xdr:col>15</xdr:col>
          <xdr:colOff>676275</xdr:colOff>
          <xdr:row>64</xdr:row>
          <xdr:rowOff>190500</xdr:rowOff>
        </xdr:to>
        <xdr:sp macro="" textlink="">
          <xdr:nvSpPr>
            <xdr:cNvPr id="18524" name="DownMember1_9" hidden="1">
              <a:extLst>
                <a:ext uri="{63B3BB69-23CF-44E3-9099-C40C66FF867C}">
                  <a14:compatExt spid="_x0000_s18524"/>
                </a:ext>
                <a:ext uri="{FF2B5EF4-FFF2-40B4-BE49-F238E27FC236}">
                  <a16:creationId xmlns:a16="http://schemas.microsoft.com/office/drawing/2014/main" id="{00000000-0008-0000-0100-00005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66</xdr:row>
          <xdr:rowOff>47625</xdr:rowOff>
        </xdr:from>
        <xdr:to>
          <xdr:col>12</xdr:col>
          <xdr:colOff>676275</xdr:colOff>
          <xdr:row>68</xdr:row>
          <xdr:rowOff>0</xdr:rowOff>
        </xdr:to>
        <xdr:sp macro="" textlink="">
          <xdr:nvSpPr>
            <xdr:cNvPr id="18525" name="AddedMember1_10" hidden="1">
              <a:extLst>
                <a:ext uri="{63B3BB69-23CF-44E3-9099-C40C66FF867C}">
                  <a14:compatExt spid="_x0000_s18525"/>
                </a:ext>
                <a:ext uri="{FF2B5EF4-FFF2-40B4-BE49-F238E27FC236}">
                  <a16:creationId xmlns:a16="http://schemas.microsoft.com/office/drawing/2014/main" id="{00000000-0008-0000-0100-00005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66</xdr:row>
          <xdr:rowOff>47625</xdr:rowOff>
        </xdr:from>
        <xdr:to>
          <xdr:col>13</xdr:col>
          <xdr:colOff>685800</xdr:colOff>
          <xdr:row>68</xdr:row>
          <xdr:rowOff>0</xdr:rowOff>
        </xdr:to>
        <xdr:sp macro="" textlink="">
          <xdr:nvSpPr>
            <xdr:cNvPr id="18526" name="ChangeMember1_10" hidden="1">
              <a:extLst>
                <a:ext uri="{63B3BB69-23CF-44E3-9099-C40C66FF867C}">
                  <a14:compatExt spid="_x0000_s18526"/>
                </a:ext>
                <a:ext uri="{FF2B5EF4-FFF2-40B4-BE49-F238E27FC236}">
                  <a16:creationId xmlns:a16="http://schemas.microsoft.com/office/drawing/2014/main" id="{00000000-0008-0000-0100-00005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47625</xdr:rowOff>
        </xdr:from>
        <xdr:to>
          <xdr:col>14</xdr:col>
          <xdr:colOff>685800</xdr:colOff>
          <xdr:row>68</xdr:row>
          <xdr:rowOff>0</xdr:rowOff>
        </xdr:to>
        <xdr:sp macro="" textlink="">
          <xdr:nvSpPr>
            <xdr:cNvPr id="18527" name="UpMember1_10" hidden="1">
              <a:extLst>
                <a:ext uri="{63B3BB69-23CF-44E3-9099-C40C66FF867C}">
                  <a14:compatExt spid="_x0000_s18527"/>
                </a:ext>
                <a:ext uri="{FF2B5EF4-FFF2-40B4-BE49-F238E27FC236}">
                  <a16:creationId xmlns:a16="http://schemas.microsoft.com/office/drawing/2014/main" id="{00000000-0008-0000-0100-00005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66</xdr:row>
          <xdr:rowOff>47625</xdr:rowOff>
        </xdr:from>
        <xdr:to>
          <xdr:col>15</xdr:col>
          <xdr:colOff>676275</xdr:colOff>
          <xdr:row>68</xdr:row>
          <xdr:rowOff>0</xdr:rowOff>
        </xdr:to>
        <xdr:sp macro="" textlink="">
          <xdr:nvSpPr>
            <xdr:cNvPr id="18528" name="DownMember1_10" hidden="1">
              <a:extLst>
                <a:ext uri="{63B3BB69-23CF-44E3-9099-C40C66FF867C}">
                  <a14:compatExt spid="_x0000_s18528"/>
                </a:ext>
                <a:ext uri="{FF2B5EF4-FFF2-40B4-BE49-F238E27FC236}">
                  <a16:creationId xmlns:a16="http://schemas.microsoft.com/office/drawing/2014/main" id="{00000000-0008-0000-0100-00006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70</xdr:row>
          <xdr:rowOff>0</xdr:rowOff>
        </xdr:from>
        <xdr:to>
          <xdr:col>12</xdr:col>
          <xdr:colOff>676275</xdr:colOff>
          <xdr:row>71</xdr:row>
          <xdr:rowOff>0</xdr:rowOff>
        </xdr:to>
        <xdr:sp macro="" textlink="">
          <xdr:nvSpPr>
            <xdr:cNvPr id="18529" name="AddedMember1_11" hidden="1">
              <a:extLst>
                <a:ext uri="{63B3BB69-23CF-44E3-9099-C40C66FF867C}">
                  <a14:compatExt spid="_x0000_s18529"/>
                </a:ext>
                <a:ext uri="{FF2B5EF4-FFF2-40B4-BE49-F238E27FC236}">
                  <a16:creationId xmlns:a16="http://schemas.microsoft.com/office/drawing/2014/main" id="{00000000-0008-0000-0100-00006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70</xdr:row>
          <xdr:rowOff>0</xdr:rowOff>
        </xdr:from>
        <xdr:to>
          <xdr:col>13</xdr:col>
          <xdr:colOff>685800</xdr:colOff>
          <xdr:row>71</xdr:row>
          <xdr:rowOff>0</xdr:rowOff>
        </xdr:to>
        <xdr:sp macro="" textlink="">
          <xdr:nvSpPr>
            <xdr:cNvPr id="18530" name="ChangeMember1_11" hidden="1">
              <a:extLst>
                <a:ext uri="{63B3BB69-23CF-44E3-9099-C40C66FF867C}">
                  <a14:compatExt spid="_x0000_s18530"/>
                </a:ext>
                <a:ext uri="{FF2B5EF4-FFF2-40B4-BE49-F238E27FC236}">
                  <a16:creationId xmlns:a16="http://schemas.microsoft.com/office/drawing/2014/main" id="{00000000-0008-0000-0100-00006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70</xdr:row>
          <xdr:rowOff>0</xdr:rowOff>
        </xdr:from>
        <xdr:to>
          <xdr:col>14</xdr:col>
          <xdr:colOff>685800</xdr:colOff>
          <xdr:row>71</xdr:row>
          <xdr:rowOff>0</xdr:rowOff>
        </xdr:to>
        <xdr:sp macro="" textlink="">
          <xdr:nvSpPr>
            <xdr:cNvPr id="18531" name="UpMember1_11" hidden="1">
              <a:extLst>
                <a:ext uri="{63B3BB69-23CF-44E3-9099-C40C66FF867C}">
                  <a14:compatExt spid="_x0000_s18531"/>
                </a:ext>
                <a:ext uri="{FF2B5EF4-FFF2-40B4-BE49-F238E27FC236}">
                  <a16:creationId xmlns:a16="http://schemas.microsoft.com/office/drawing/2014/main" id="{00000000-0008-0000-0100-00006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70</xdr:row>
          <xdr:rowOff>0</xdr:rowOff>
        </xdr:from>
        <xdr:to>
          <xdr:col>15</xdr:col>
          <xdr:colOff>676275</xdr:colOff>
          <xdr:row>71</xdr:row>
          <xdr:rowOff>0</xdr:rowOff>
        </xdr:to>
        <xdr:sp macro="" textlink="">
          <xdr:nvSpPr>
            <xdr:cNvPr id="18532" name="DownMember1_11" hidden="1">
              <a:extLst>
                <a:ext uri="{63B3BB69-23CF-44E3-9099-C40C66FF867C}">
                  <a14:compatExt spid="_x0000_s18532"/>
                </a:ext>
                <a:ext uri="{FF2B5EF4-FFF2-40B4-BE49-F238E27FC236}">
                  <a16:creationId xmlns:a16="http://schemas.microsoft.com/office/drawing/2014/main" id="{00000000-0008-0000-0100-00006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73</xdr:row>
          <xdr:rowOff>0</xdr:rowOff>
        </xdr:from>
        <xdr:to>
          <xdr:col>12</xdr:col>
          <xdr:colOff>676275</xdr:colOff>
          <xdr:row>74</xdr:row>
          <xdr:rowOff>0</xdr:rowOff>
        </xdr:to>
        <xdr:sp macro="" textlink="">
          <xdr:nvSpPr>
            <xdr:cNvPr id="18533" name="AddedMember1_12" hidden="1">
              <a:extLst>
                <a:ext uri="{63B3BB69-23CF-44E3-9099-C40C66FF867C}">
                  <a14:compatExt spid="_x0000_s18533"/>
                </a:ext>
                <a:ext uri="{FF2B5EF4-FFF2-40B4-BE49-F238E27FC236}">
                  <a16:creationId xmlns:a16="http://schemas.microsoft.com/office/drawing/2014/main" id="{00000000-0008-0000-0100-00006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73</xdr:row>
          <xdr:rowOff>0</xdr:rowOff>
        </xdr:from>
        <xdr:to>
          <xdr:col>13</xdr:col>
          <xdr:colOff>685800</xdr:colOff>
          <xdr:row>74</xdr:row>
          <xdr:rowOff>0</xdr:rowOff>
        </xdr:to>
        <xdr:sp macro="" textlink="">
          <xdr:nvSpPr>
            <xdr:cNvPr id="18534" name="ChangeMember1_12" hidden="1">
              <a:extLst>
                <a:ext uri="{63B3BB69-23CF-44E3-9099-C40C66FF867C}">
                  <a14:compatExt spid="_x0000_s18534"/>
                </a:ext>
                <a:ext uri="{FF2B5EF4-FFF2-40B4-BE49-F238E27FC236}">
                  <a16:creationId xmlns:a16="http://schemas.microsoft.com/office/drawing/2014/main" id="{00000000-0008-0000-0100-00006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73</xdr:row>
          <xdr:rowOff>0</xdr:rowOff>
        </xdr:from>
        <xdr:to>
          <xdr:col>14</xdr:col>
          <xdr:colOff>685800</xdr:colOff>
          <xdr:row>74</xdr:row>
          <xdr:rowOff>0</xdr:rowOff>
        </xdr:to>
        <xdr:sp macro="" textlink="">
          <xdr:nvSpPr>
            <xdr:cNvPr id="18535" name="UpMember1_12" hidden="1">
              <a:extLst>
                <a:ext uri="{63B3BB69-23CF-44E3-9099-C40C66FF867C}">
                  <a14:compatExt spid="_x0000_s18535"/>
                </a:ext>
                <a:ext uri="{FF2B5EF4-FFF2-40B4-BE49-F238E27FC236}">
                  <a16:creationId xmlns:a16="http://schemas.microsoft.com/office/drawing/2014/main" id="{00000000-0008-0000-0100-00006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73</xdr:row>
          <xdr:rowOff>0</xdr:rowOff>
        </xdr:from>
        <xdr:to>
          <xdr:col>15</xdr:col>
          <xdr:colOff>676275</xdr:colOff>
          <xdr:row>74</xdr:row>
          <xdr:rowOff>0</xdr:rowOff>
        </xdr:to>
        <xdr:sp macro="" textlink="">
          <xdr:nvSpPr>
            <xdr:cNvPr id="18536" name="DownMember1_12" hidden="1">
              <a:extLst>
                <a:ext uri="{63B3BB69-23CF-44E3-9099-C40C66FF867C}">
                  <a14:compatExt spid="_x0000_s18536"/>
                </a:ext>
                <a:ext uri="{FF2B5EF4-FFF2-40B4-BE49-F238E27FC236}">
                  <a16:creationId xmlns:a16="http://schemas.microsoft.com/office/drawing/2014/main" id="{00000000-0008-0000-0100-00006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76</xdr:row>
          <xdr:rowOff>0</xdr:rowOff>
        </xdr:from>
        <xdr:to>
          <xdr:col>12</xdr:col>
          <xdr:colOff>676275</xdr:colOff>
          <xdr:row>77</xdr:row>
          <xdr:rowOff>9525</xdr:rowOff>
        </xdr:to>
        <xdr:sp macro="" textlink="">
          <xdr:nvSpPr>
            <xdr:cNvPr id="18537" name="AddedMember1_13" hidden="1">
              <a:extLst>
                <a:ext uri="{63B3BB69-23CF-44E3-9099-C40C66FF867C}">
                  <a14:compatExt spid="_x0000_s18537"/>
                </a:ext>
                <a:ext uri="{FF2B5EF4-FFF2-40B4-BE49-F238E27FC236}">
                  <a16:creationId xmlns:a16="http://schemas.microsoft.com/office/drawing/2014/main" id="{00000000-0008-0000-0100-00006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76</xdr:row>
          <xdr:rowOff>0</xdr:rowOff>
        </xdr:from>
        <xdr:to>
          <xdr:col>13</xdr:col>
          <xdr:colOff>685800</xdr:colOff>
          <xdr:row>77</xdr:row>
          <xdr:rowOff>9525</xdr:rowOff>
        </xdr:to>
        <xdr:sp macro="" textlink="">
          <xdr:nvSpPr>
            <xdr:cNvPr id="18538" name="ChangeMember1_13" hidden="1">
              <a:extLst>
                <a:ext uri="{63B3BB69-23CF-44E3-9099-C40C66FF867C}">
                  <a14:compatExt spid="_x0000_s18538"/>
                </a:ext>
                <a:ext uri="{FF2B5EF4-FFF2-40B4-BE49-F238E27FC236}">
                  <a16:creationId xmlns:a16="http://schemas.microsoft.com/office/drawing/2014/main" id="{00000000-0008-0000-0100-00006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76</xdr:row>
          <xdr:rowOff>0</xdr:rowOff>
        </xdr:from>
        <xdr:to>
          <xdr:col>14</xdr:col>
          <xdr:colOff>685800</xdr:colOff>
          <xdr:row>77</xdr:row>
          <xdr:rowOff>9525</xdr:rowOff>
        </xdr:to>
        <xdr:sp macro="" textlink="">
          <xdr:nvSpPr>
            <xdr:cNvPr id="18539" name="UpMember1_13" hidden="1">
              <a:extLst>
                <a:ext uri="{63B3BB69-23CF-44E3-9099-C40C66FF867C}">
                  <a14:compatExt spid="_x0000_s18539"/>
                </a:ext>
                <a:ext uri="{FF2B5EF4-FFF2-40B4-BE49-F238E27FC236}">
                  <a16:creationId xmlns:a16="http://schemas.microsoft.com/office/drawing/2014/main" id="{00000000-0008-0000-0100-00006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76</xdr:row>
          <xdr:rowOff>0</xdr:rowOff>
        </xdr:from>
        <xdr:to>
          <xdr:col>15</xdr:col>
          <xdr:colOff>676275</xdr:colOff>
          <xdr:row>77</xdr:row>
          <xdr:rowOff>9525</xdr:rowOff>
        </xdr:to>
        <xdr:sp macro="" textlink="">
          <xdr:nvSpPr>
            <xdr:cNvPr id="18540" name="DownMember1_13" hidden="1">
              <a:extLst>
                <a:ext uri="{63B3BB69-23CF-44E3-9099-C40C66FF867C}">
                  <a14:compatExt spid="_x0000_s18540"/>
                </a:ext>
                <a:ext uri="{FF2B5EF4-FFF2-40B4-BE49-F238E27FC236}">
                  <a16:creationId xmlns:a16="http://schemas.microsoft.com/office/drawing/2014/main" id="{00000000-0008-0000-0100-00006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704850</xdr:colOff>
          <xdr:row>80</xdr:row>
          <xdr:rowOff>9525</xdr:rowOff>
        </xdr:to>
        <xdr:sp macro="" textlink="">
          <xdr:nvSpPr>
            <xdr:cNvPr id="18541" name="AddedMember1_14" hidden="1">
              <a:extLst>
                <a:ext uri="{63B3BB69-23CF-44E3-9099-C40C66FF867C}">
                  <a14:compatExt spid="_x0000_s18541"/>
                </a:ext>
                <a:ext uri="{FF2B5EF4-FFF2-40B4-BE49-F238E27FC236}">
                  <a16:creationId xmlns:a16="http://schemas.microsoft.com/office/drawing/2014/main" id="{00000000-0008-0000-0100-00006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704850</xdr:colOff>
          <xdr:row>80</xdr:row>
          <xdr:rowOff>9525</xdr:rowOff>
        </xdr:to>
        <xdr:sp macro="" textlink="">
          <xdr:nvSpPr>
            <xdr:cNvPr id="18542" name="ChangeMember1_14" hidden="1">
              <a:extLst>
                <a:ext uri="{63B3BB69-23CF-44E3-9099-C40C66FF867C}">
                  <a14:compatExt spid="_x0000_s18542"/>
                </a:ext>
                <a:ext uri="{FF2B5EF4-FFF2-40B4-BE49-F238E27FC236}">
                  <a16:creationId xmlns:a16="http://schemas.microsoft.com/office/drawing/2014/main" id="{00000000-0008-0000-0100-00006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704850</xdr:colOff>
          <xdr:row>80</xdr:row>
          <xdr:rowOff>9525</xdr:rowOff>
        </xdr:to>
        <xdr:sp macro="" textlink="">
          <xdr:nvSpPr>
            <xdr:cNvPr id="18543" name="UpMember1_14" hidden="1">
              <a:extLst>
                <a:ext uri="{63B3BB69-23CF-44E3-9099-C40C66FF867C}">
                  <a14:compatExt spid="_x0000_s18543"/>
                </a:ext>
                <a:ext uri="{FF2B5EF4-FFF2-40B4-BE49-F238E27FC236}">
                  <a16:creationId xmlns:a16="http://schemas.microsoft.com/office/drawing/2014/main" id="{00000000-0008-0000-0100-00006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9525</xdr:rowOff>
        </xdr:to>
        <xdr:sp macro="" textlink="">
          <xdr:nvSpPr>
            <xdr:cNvPr id="18544" name="DownMember1_14" hidden="1">
              <a:extLst>
                <a:ext uri="{63B3BB69-23CF-44E3-9099-C40C66FF867C}">
                  <a14:compatExt spid="_x0000_s18544"/>
                </a:ext>
                <a:ext uri="{FF2B5EF4-FFF2-40B4-BE49-F238E27FC236}">
                  <a16:creationId xmlns:a16="http://schemas.microsoft.com/office/drawing/2014/main" id="{00000000-0008-0000-0100-00007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704850</xdr:colOff>
          <xdr:row>83</xdr:row>
          <xdr:rowOff>0</xdr:rowOff>
        </xdr:to>
        <xdr:sp macro="" textlink="">
          <xdr:nvSpPr>
            <xdr:cNvPr id="18545" name="AddedMember1_15" hidden="1">
              <a:extLst>
                <a:ext uri="{63B3BB69-23CF-44E3-9099-C40C66FF867C}">
                  <a14:compatExt spid="_x0000_s18545"/>
                </a:ext>
                <a:ext uri="{FF2B5EF4-FFF2-40B4-BE49-F238E27FC236}">
                  <a16:creationId xmlns:a16="http://schemas.microsoft.com/office/drawing/2014/main" id="{00000000-0008-0000-0100-00007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704850</xdr:colOff>
          <xdr:row>83</xdr:row>
          <xdr:rowOff>0</xdr:rowOff>
        </xdr:to>
        <xdr:sp macro="" textlink="">
          <xdr:nvSpPr>
            <xdr:cNvPr id="18546" name="ChangeMember1_15" hidden="1">
              <a:extLst>
                <a:ext uri="{63B3BB69-23CF-44E3-9099-C40C66FF867C}">
                  <a14:compatExt spid="_x0000_s18546"/>
                </a:ext>
                <a:ext uri="{FF2B5EF4-FFF2-40B4-BE49-F238E27FC236}">
                  <a16:creationId xmlns:a16="http://schemas.microsoft.com/office/drawing/2014/main" id="{00000000-0008-0000-0100-00007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704850</xdr:colOff>
          <xdr:row>83</xdr:row>
          <xdr:rowOff>0</xdr:rowOff>
        </xdr:to>
        <xdr:sp macro="" textlink="">
          <xdr:nvSpPr>
            <xdr:cNvPr id="18547" name="UpMember1_15" hidden="1">
              <a:extLst>
                <a:ext uri="{63B3BB69-23CF-44E3-9099-C40C66FF867C}">
                  <a14:compatExt spid="_x0000_s18547"/>
                </a:ext>
                <a:ext uri="{FF2B5EF4-FFF2-40B4-BE49-F238E27FC236}">
                  <a16:creationId xmlns:a16="http://schemas.microsoft.com/office/drawing/2014/main" id="{00000000-0008-0000-0100-00007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8548" name="DownMember1_15" hidden="1">
              <a:extLst>
                <a:ext uri="{63B3BB69-23CF-44E3-9099-C40C66FF867C}">
                  <a14:compatExt spid="_x0000_s18548"/>
                </a:ext>
                <a:ext uri="{FF2B5EF4-FFF2-40B4-BE49-F238E27FC236}">
                  <a16:creationId xmlns:a16="http://schemas.microsoft.com/office/drawing/2014/main" id="{00000000-0008-0000-0100-00007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84</xdr:row>
          <xdr:rowOff>57150</xdr:rowOff>
        </xdr:from>
        <xdr:to>
          <xdr:col>12</xdr:col>
          <xdr:colOff>704850</xdr:colOff>
          <xdr:row>86</xdr:row>
          <xdr:rowOff>0</xdr:rowOff>
        </xdr:to>
        <xdr:sp macro="" textlink="">
          <xdr:nvSpPr>
            <xdr:cNvPr id="18549" name="AddedMember1_16" hidden="1">
              <a:extLst>
                <a:ext uri="{63B3BB69-23CF-44E3-9099-C40C66FF867C}">
                  <a14:compatExt spid="_x0000_s18549"/>
                </a:ext>
                <a:ext uri="{FF2B5EF4-FFF2-40B4-BE49-F238E27FC236}">
                  <a16:creationId xmlns:a16="http://schemas.microsoft.com/office/drawing/2014/main" id="{00000000-0008-0000-0100-00007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84</xdr:row>
          <xdr:rowOff>57150</xdr:rowOff>
        </xdr:from>
        <xdr:to>
          <xdr:col>13</xdr:col>
          <xdr:colOff>704850</xdr:colOff>
          <xdr:row>86</xdr:row>
          <xdr:rowOff>0</xdr:rowOff>
        </xdr:to>
        <xdr:sp macro="" textlink="">
          <xdr:nvSpPr>
            <xdr:cNvPr id="18550" name="ChangeMember1_16" hidden="1">
              <a:extLst>
                <a:ext uri="{63B3BB69-23CF-44E3-9099-C40C66FF867C}">
                  <a14:compatExt spid="_x0000_s18550"/>
                </a:ext>
                <a:ext uri="{FF2B5EF4-FFF2-40B4-BE49-F238E27FC236}">
                  <a16:creationId xmlns:a16="http://schemas.microsoft.com/office/drawing/2014/main" id="{00000000-0008-0000-0100-00007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57150</xdr:rowOff>
        </xdr:from>
        <xdr:to>
          <xdr:col>14</xdr:col>
          <xdr:colOff>704850</xdr:colOff>
          <xdr:row>86</xdr:row>
          <xdr:rowOff>0</xdr:rowOff>
        </xdr:to>
        <xdr:sp macro="" textlink="">
          <xdr:nvSpPr>
            <xdr:cNvPr id="18551" name="UpMember1_16" hidden="1">
              <a:extLst>
                <a:ext uri="{63B3BB69-23CF-44E3-9099-C40C66FF867C}">
                  <a14:compatExt spid="_x0000_s18551"/>
                </a:ext>
                <a:ext uri="{FF2B5EF4-FFF2-40B4-BE49-F238E27FC236}">
                  <a16:creationId xmlns:a16="http://schemas.microsoft.com/office/drawing/2014/main" id="{00000000-0008-0000-0100-00007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84</xdr:row>
          <xdr:rowOff>57150</xdr:rowOff>
        </xdr:from>
        <xdr:to>
          <xdr:col>16</xdr:col>
          <xdr:colOff>0</xdr:colOff>
          <xdr:row>86</xdr:row>
          <xdr:rowOff>0</xdr:rowOff>
        </xdr:to>
        <xdr:sp macro="" textlink="">
          <xdr:nvSpPr>
            <xdr:cNvPr id="18552" name="DownMember1_16" hidden="1">
              <a:extLst>
                <a:ext uri="{63B3BB69-23CF-44E3-9099-C40C66FF867C}">
                  <a14:compatExt spid="_x0000_s18552"/>
                </a:ext>
                <a:ext uri="{FF2B5EF4-FFF2-40B4-BE49-F238E27FC236}">
                  <a16:creationId xmlns:a16="http://schemas.microsoft.com/office/drawing/2014/main" id="{00000000-0008-0000-0100-00007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xdr:row>
          <xdr:rowOff>57150</xdr:rowOff>
        </xdr:from>
        <xdr:to>
          <xdr:col>12</xdr:col>
          <xdr:colOff>704850</xdr:colOff>
          <xdr:row>89</xdr:row>
          <xdr:rowOff>0</xdr:rowOff>
        </xdr:to>
        <xdr:sp macro="" textlink="">
          <xdr:nvSpPr>
            <xdr:cNvPr id="18553" name="AddedMember1_17" hidden="1">
              <a:extLst>
                <a:ext uri="{63B3BB69-23CF-44E3-9099-C40C66FF867C}">
                  <a14:compatExt spid="_x0000_s18553"/>
                </a:ext>
                <a:ext uri="{FF2B5EF4-FFF2-40B4-BE49-F238E27FC236}">
                  <a16:creationId xmlns:a16="http://schemas.microsoft.com/office/drawing/2014/main" id="{00000000-0008-0000-0100-00007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87</xdr:row>
          <xdr:rowOff>57150</xdr:rowOff>
        </xdr:from>
        <xdr:to>
          <xdr:col>13</xdr:col>
          <xdr:colOff>704850</xdr:colOff>
          <xdr:row>89</xdr:row>
          <xdr:rowOff>0</xdr:rowOff>
        </xdr:to>
        <xdr:sp macro="" textlink="">
          <xdr:nvSpPr>
            <xdr:cNvPr id="18554" name="ChangeMember1_17" hidden="1">
              <a:extLst>
                <a:ext uri="{63B3BB69-23CF-44E3-9099-C40C66FF867C}">
                  <a14:compatExt spid="_x0000_s18554"/>
                </a:ext>
                <a:ext uri="{FF2B5EF4-FFF2-40B4-BE49-F238E27FC236}">
                  <a16:creationId xmlns:a16="http://schemas.microsoft.com/office/drawing/2014/main" id="{00000000-0008-0000-0100-00007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57150</xdr:rowOff>
        </xdr:from>
        <xdr:to>
          <xdr:col>14</xdr:col>
          <xdr:colOff>704850</xdr:colOff>
          <xdr:row>89</xdr:row>
          <xdr:rowOff>0</xdr:rowOff>
        </xdr:to>
        <xdr:sp macro="" textlink="">
          <xdr:nvSpPr>
            <xdr:cNvPr id="18555" name="UpMember1_17" hidden="1">
              <a:extLst>
                <a:ext uri="{63B3BB69-23CF-44E3-9099-C40C66FF867C}">
                  <a14:compatExt spid="_x0000_s18555"/>
                </a:ext>
                <a:ext uri="{FF2B5EF4-FFF2-40B4-BE49-F238E27FC236}">
                  <a16:creationId xmlns:a16="http://schemas.microsoft.com/office/drawing/2014/main" id="{00000000-0008-0000-0100-00007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87</xdr:row>
          <xdr:rowOff>57150</xdr:rowOff>
        </xdr:from>
        <xdr:to>
          <xdr:col>16</xdr:col>
          <xdr:colOff>0</xdr:colOff>
          <xdr:row>89</xdr:row>
          <xdr:rowOff>0</xdr:rowOff>
        </xdr:to>
        <xdr:sp macro="" textlink="">
          <xdr:nvSpPr>
            <xdr:cNvPr id="18556" name="DownMember1_17" hidden="1">
              <a:extLst>
                <a:ext uri="{63B3BB69-23CF-44E3-9099-C40C66FF867C}">
                  <a14:compatExt spid="_x0000_s18556"/>
                </a:ext>
                <a:ext uri="{FF2B5EF4-FFF2-40B4-BE49-F238E27FC236}">
                  <a16:creationId xmlns:a16="http://schemas.microsoft.com/office/drawing/2014/main" id="{00000000-0008-0000-0100-00007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91</xdr:row>
          <xdr:rowOff>0</xdr:rowOff>
        </xdr:from>
        <xdr:to>
          <xdr:col>12</xdr:col>
          <xdr:colOff>704850</xdr:colOff>
          <xdr:row>92</xdr:row>
          <xdr:rowOff>9525</xdr:rowOff>
        </xdr:to>
        <xdr:sp macro="" textlink="">
          <xdr:nvSpPr>
            <xdr:cNvPr id="18557" name="AddedMember1_18" hidden="1">
              <a:extLst>
                <a:ext uri="{63B3BB69-23CF-44E3-9099-C40C66FF867C}">
                  <a14:compatExt spid="_x0000_s18557"/>
                </a:ext>
                <a:ext uri="{FF2B5EF4-FFF2-40B4-BE49-F238E27FC236}">
                  <a16:creationId xmlns:a16="http://schemas.microsoft.com/office/drawing/2014/main" id="{00000000-0008-0000-0100-00007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91</xdr:row>
          <xdr:rowOff>0</xdr:rowOff>
        </xdr:from>
        <xdr:to>
          <xdr:col>13</xdr:col>
          <xdr:colOff>704850</xdr:colOff>
          <xdr:row>92</xdr:row>
          <xdr:rowOff>9525</xdr:rowOff>
        </xdr:to>
        <xdr:sp macro="" textlink="">
          <xdr:nvSpPr>
            <xdr:cNvPr id="18558" name="ChangeMember1_18" hidden="1">
              <a:extLst>
                <a:ext uri="{63B3BB69-23CF-44E3-9099-C40C66FF867C}">
                  <a14:compatExt spid="_x0000_s18558"/>
                </a:ext>
                <a:ext uri="{FF2B5EF4-FFF2-40B4-BE49-F238E27FC236}">
                  <a16:creationId xmlns:a16="http://schemas.microsoft.com/office/drawing/2014/main" id="{00000000-0008-0000-0100-00007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91</xdr:row>
          <xdr:rowOff>0</xdr:rowOff>
        </xdr:from>
        <xdr:to>
          <xdr:col>14</xdr:col>
          <xdr:colOff>704850</xdr:colOff>
          <xdr:row>92</xdr:row>
          <xdr:rowOff>9525</xdr:rowOff>
        </xdr:to>
        <xdr:sp macro="" textlink="">
          <xdr:nvSpPr>
            <xdr:cNvPr id="18559" name="UpMember1_18" hidden="1">
              <a:extLst>
                <a:ext uri="{63B3BB69-23CF-44E3-9099-C40C66FF867C}">
                  <a14:compatExt spid="_x0000_s18559"/>
                </a:ext>
                <a:ext uri="{FF2B5EF4-FFF2-40B4-BE49-F238E27FC236}">
                  <a16:creationId xmlns:a16="http://schemas.microsoft.com/office/drawing/2014/main" id="{00000000-0008-0000-0100-00007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91</xdr:row>
          <xdr:rowOff>0</xdr:rowOff>
        </xdr:from>
        <xdr:to>
          <xdr:col>16</xdr:col>
          <xdr:colOff>0</xdr:colOff>
          <xdr:row>92</xdr:row>
          <xdr:rowOff>9525</xdr:rowOff>
        </xdr:to>
        <xdr:sp macro="" textlink="">
          <xdr:nvSpPr>
            <xdr:cNvPr id="18560" name="DownMember1_18" hidden="1">
              <a:extLst>
                <a:ext uri="{63B3BB69-23CF-44E3-9099-C40C66FF867C}">
                  <a14:compatExt spid="_x0000_s18560"/>
                </a:ext>
                <a:ext uri="{FF2B5EF4-FFF2-40B4-BE49-F238E27FC236}">
                  <a16:creationId xmlns:a16="http://schemas.microsoft.com/office/drawing/2014/main" id="{00000000-0008-0000-0100-00008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165</xdr:row>
          <xdr:rowOff>47625</xdr:rowOff>
        </xdr:from>
        <xdr:to>
          <xdr:col>12</xdr:col>
          <xdr:colOff>676275</xdr:colOff>
          <xdr:row>166</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165</xdr:row>
          <xdr:rowOff>47625</xdr:rowOff>
        </xdr:from>
        <xdr:to>
          <xdr:col>13</xdr:col>
          <xdr:colOff>695325</xdr:colOff>
          <xdr:row>166</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165</xdr:row>
          <xdr:rowOff>47625</xdr:rowOff>
        </xdr:from>
        <xdr:to>
          <xdr:col>14</xdr:col>
          <xdr:colOff>695325</xdr:colOff>
          <xdr:row>166</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165</xdr:row>
          <xdr:rowOff>47625</xdr:rowOff>
        </xdr:from>
        <xdr:to>
          <xdr:col>15</xdr:col>
          <xdr:colOff>676275</xdr:colOff>
          <xdr:row>166</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169</xdr:row>
          <xdr:rowOff>0</xdr:rowOff>
        </xdr:from>
        <xdr:to>
          <xdr:col>12</xdr:col>
          <xdr:colOff>704850</xdr:colOff>
          <xdr:row>170</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169</xdr:row>
          <xdr:rowOff>0</xdr:rowOff>
        </xdr:from>
        <xdr:to>
          <xdr:col>13</xdr:col>
          <xdr:colOff>704850</xdr:colOff>
          <xdr:row>170</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169</xdr:row>
          <xdr:rowOff>0</xdr:rowOff>
        </xdr:from>
        <xdr:to>
          <xdr:col>14</xdr:col>
          <xdr:colOff>704850</xdr:colOff>
          <xdr:row>170</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169</xdr:row>
          <xdr:rowOff>0</xdr:rowOff>
        </xdr:from>
        <xdr:to>
          <xdr:col>16</xdr:col>
          <xdr:colOff>0</xdr:colOff>
          <xdr:row>170</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171</xdr:row>
          <xdr:rowOff>57150</xdr:rowOff>
        </xdr:from>
        <xdr:to>
          <xdr:col>12</xdr:col>
          <xdr:colOff>704850</xdr:colOff>
          <xdr:row>173</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171</xdr:row>
          <xdr:rowOff>57150</xdr:rowOff>
        </xdr:from>
        <xdr:to>
          <xdr:col>13</xdr:col>
          <xdr:colOff>704850</xdr:colOff>
          <xdr:row>173</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171</xdr:row>
          <xdr:rowOff>57150</xdr:rowOff>
        </xdr:from>
        <xdr:to>
          <xdr:col>14</xdr:col>
          <xdr:colOff>704850</xdr:colOff>
          <xdr:row>173</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171</xdr:row>
          <xdr:rowOff>57150</xdr:rowOff>
        </xdr:from>
        <xdr:to>
          <xdr:col>16</xdr:col>
          <xdr:colOff>0</xdr:colOff>
          <xdr:row>173</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57150</xdr:rowOff>
        </xdr:from>
        <xdr:to>
          <xdr:col>12</xdr:col>
          <xdr:colOff>704850</xdr:colOff>
          <xdr:row>176</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57150</xdr:rowOff>
        </xdr:from>
        <xdr:to>
          <xdr:col>13</xdr:col>
          <xdr:colOff>704850</xdr:colOff>
          <xdr:row>176</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57150</xdr:rowOff>
        </xdr:from>
        <xdr:to>
          <xdr:col>14</xdr:col>
          <xdr:colOff>704850</xdr:colOff>
          <xdr:row>176</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57150</xdr:rowOff>
        </xdr:from>
        <xdr:to>
          <xdr:col>16</xdr:col>
          <xdr:colOff>0</xdr:colOff>
          <xdr:row>176</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178</xdr:row>
          <xdr:rowOff>0</xdr:rowOff>
        </xdr:from>
        <xdr:to>
          <xdr:col>12</xdr:col>
          <xdr:colOff>704850</xdr:colOff>
          <xdr:row>179</xdr:row>
          <xdr:rowOff>9525</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178</xdr:row>
          <xdr:rowOff>0</xdr:rowOff>
        </xdr:from>
        <xdr:to>
          <xdr:col>13</xdr:col>
          <xdr:colOff>704850</xdr:colOff>
          <xdr:row>179</xdr:row>
          <xdr:rowOff>9525</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178</xdr:row>
          <xdr:rowOff>0</xdr:rowOff>
        </xdr:from>
        <xdr:to>
          <xdr:col>14</xdr:col>
          <xdr:colOff>704850</xdr:colOff>
          <xdr:row>179</xdr:row>
          <xdr:rowOff>9525</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178</xdr:row>
          <xdr:rowOff>0</xdr:rowOff>
        </xdr:from>
        <xdr:to>
          <xdr:col>16</xdr:col>
          <xdr:colOff>0</xdr:colOff>
          <xdr:row>179</xdr:row>
          <xdr:rowOff>9525</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704850</xdr:colOff>
          <xdr:row>182</xdr:row>
          <xdr:rowOff>9525</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704850</xdr:colOff>
          <xdr:row>182</xdr:row>
          <xdr:rowOff>9525</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704850</xdr:colOff>
          <xdr:row>182</xdr:row>
          <xdr:rowOff>9525</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16</xdr:col>
          <xdr:colOff>0</xdr:colOff>
          <xdr:row>182</xdr:row>
          <xdr:rowOff>9525</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704850</xdr:colOff>
          <xdr:row>185</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704850</xdr:colOff>
          <xdr:row>185</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704850</xdr:colOff>
          <xdr:row>185</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16</xdr:col>
          <xdr:colOff>0</xdr:colOff>
          <xdr:row>185</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93</xdr:row>
          <xdr:rowOff>57150</xdr:rowOff>
        </xdr:from>
        <xdr:to>
          <xdr:col>12</xdr:col>
          <xdr:colOff>704850</xdr:colOff>
          <xdr:row>95</xdr:row>
          <xdr:rowOff>0</xdr:rowOff>
        </xdr:to>
        <xdr:sp macro="" textlink="">
          <xdr:nvSpPr>
            <xdr:cNvPr id="18589" name="AddedMember1_19" hidden="1">
              <a:extLst>
                <a:ext uri="{63B3BB69-23CF-44E3-9099-C40C66FF867C}">
                  <a14:compatExt spid="_x0000_s18589"/>
                </a:ext>
                <a:ext uri="{FF2B5EF4-FFF2-40B4-BE49-F238E27FC236}">
                  <a16:creationId xmlns:a16="http://schemas.microsoft.com/office/drawing/2014/main" id="{00000000-0008-0000-0100-00009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93</xdr:row>
          <xdr:rowOff>57150</xdr:rowOff>
        </xdr:from>
        <xdr:to>
          <xdr:col>13</xdr:col>
          <xdr:colOff>704850</xdr:colOff>
          <xdr:row>95</xdr:row>
          <xdr:rowOff>0</xdr:rowOff>
        </xdr:to>
        <xdr:sp macro="" textlink="">
          <xdr:nvSpPr>
            <xdr:cNvPr id="18590" name="ChangeMember1_19" hidden="1">
              <a:extLst>
                <a:ext uri="{63B3BB69-23CF-44E3-9099-C40C66FF867C}">
                  <a14:compatExt spid="_x0000_s18590"/>
                </a:ext>
                <a:ext uri="{FF2B5EF4-FFF2-40B4-BE49-F238E27FC236}">
                  <a16:creationId xmlns:a16="http://schemas.microsoft.com/office/drawing/2014/main" id="{00000000-0008-0000-0100-00009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93</xdr:row>
          <xdr:rowOff>57150</xdr:rowOff>
        </xdr:from>
        <xdr:to>
          <xdr:col>14</xdr:col>
          <xdr:colOff>704850</xdr:colOff>
          <xdr:row>95</xdr:row>
          <xdr:rowOff>0</xdr:rowOff>
        </xdr:to>
        <xdr:sp macro="" textlink="">
          <xdr:nvSpPr>
            <xdr:cNvPr id="18591" name="UpMember1_19" hidden="1">
              <a:extLst>
                <a:ext uri="{63B3BB69-23CF-44E3-9099-C40C66FF867C}">
                  <a14:compatExt spid="_x0000_s18591"/>
                </a:ext>
                <a:ext uri="{FF2B5EF4-FFF2-40B4-BE49-F238E27FC236}">
                  <a16:creationId xmlns:a16="http://schemas.microsoft.com/office/drawing/2014/main" id="{00000000-0008-0000-0100-00009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93</xdr:row>
          <xdr:rowOff>57150</xdr:rowOff>
        </xdr:from>
        <xdr:to>
          <xdr:col>16</xdr:col>
          <xdr:colOff>0</xdr:colOff>
          <xdr:row>95</xdr:row>
          <xdr:rowOff>0</xdr:rowOff>
        </xdr:to>
        <xdr:sp macro="" textlink="">
          <xdr:nvSpPr>
            <xdr:cNvPr id="18592" name="DownMember1_19" hidden="1">
              <a:extLst>
                <a:ext uri="{63B3BB69-23CF-44E3-9099-C40C66FF867C}">
                  <a14:compatExt spid="_x0000_s18592"/>
                </a:ext>
                <a:ext uri="{FF2B5EF4-FFF2-40B4-BE49-F238E27FC236}">
                  <a16:creationId xmlns:a16="http://schemas.microsoft.com/office/drawing/2014/main" id="{00000000-0008-0000-0100-0000A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xdr:row>
          <xdr:rowOff>0</xdr:rowOff>
        </xdr:from>
        <xdr:to>
          <xdr:col>12</xdr:col>
          <xdr:colOff>704850</xdr:colOff>
          <xdr:row>98</xdr:row>
          <xdr:rowOff>9525</xdr:rowOff>
        </xdr:to>
        <xdr:sp macro="" textlink="">
          <xdr:nvSpPr>
            <xdr:cNvPr id="18593" name="AddedMember1_20" hidden="1">
              <a:extLst>
                <a:ext uri="{63B3BB69-23CF-44E3-9099-C40C66FF867C}">
                  <a14:compatExt spid="_x0000_s18593"/>
                </a:ext>
                <a:ext uri="{FF2B5EF4-FFF2-40B4-BE49-F238E27FC236}">
                  <a16:creationId xmlns:a16="http://schemas.microsoft.com/office/drawing/2014/main" id="{00000000-0008-0000-0100-0000A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97</xdr:row>
          <xdr:rowOff>0</xdr:rowOff>
        </xdr:from>
        <xdr:to>
          <xdr:col>13</xdr:col>
          <xdr:colOff>704850</xdr:colOff>
          <xdr:row>98</xdr:row>
          <xdr:rowOff>9525</xdr:rowOff>
        </xdr:to>
        <xdr:sp macro="" textlink="">
          <xdr:nvSpPr>
            <xdr:cNvPr id="18594" name="ChangeMember1_20" hidden="1">
              <a:extLst>
                <a:ext uri="{63B3BB69-23CF-44E3-9099-C40C66FF867C}">
                  <a14:compatExt spid="_x0000_s18594"/>
                </a:ext>
                <a:ext uri="{FF2B5EF4-FFF2-40B4-BE49-F238E27FC236}">
                  <a16:creationId xmlns:a16="http://schemas.microsoft.com/office/drawing/2014/main" id="{00000000-0008-0000-0100-0000A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97</xdr:row>
          <xdr:rowOff>0</xdr:rowOff>
        </xdr:from>
        <xdr:to>
          <xdr:col>14</xdr:col>
          <xdr:colOff>704850</xdr:colOff>
          <xdr:row>98</xdr:row>
          <xdr:rowOff>9525</xdr:rowOff>
        </xdr:to>
        <xdr:sp macro="" textlink="">
          <xdr:nvSpPr>
            <xdr:cNvPr id="18595" name="UpMember1_20" hidden="1">
              <a:extLst>
                <a:ext uri="{63B3BB69-23CF-44E3-9099-C40C66FF867C}">
                  <a14:compatExt spid="_x0000_s18595"/>
                </a:ext>
                <a:ext uri="{FF2B5EF4-FFF2-40B4-BE49-F238E27FC236}">
                  <a16:creationId xmlns:a16="http://schemas.microsoft.com/office/drawing/2014/main" id="{00000000-0008-0000-0100-0000A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97</xdr:row>
          <xdr:rowOff>0</xdr:rowOff>
        </xdr:from>
        <xdr:to>
          <xdr:col>16</xdr:col>
          <xdr:colOff>0</xdr:colOff>
          <xdr:row>98</xdr:row>
          <xdr:rowOff>9525</xdr:rowOff>
        </xdr:to>
        <xdr:sp macro="" textlink="">
          <xdr:nvSpPr>
            <xdr:cNvPr id="18596" name="DownMember1_20" hidden="1">
              <a:extLst>
                <a:ext uri="{63B3BB69-23CF-44E3-9099-C40C66FF867C}">
                  <a14:compatExt spid="_x0000_s18596"/>
                </a:ext>
                <a:ext uri="{FF2B5EF4-FFF2-40B4-BE49-F238E27FC236}">
                  <a16:creationId xmlns:a16="http://schemas.microsoft.com/office/drawing/2014/main" id="{00000000-0008-0000-0100-0000A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100</xdr:row>
          <xdr:rowOff>0</xdr:rowOff>
        </xdr:from>
        <xdr:to>
          <xdr:col>12</xdr:col>
          <xdr:colOff>704850</xdr:colOff>
          <xdr:row>101</xdr:row>
          <xdr:rowOff>9525</xdr:rowOff>
        </xdr:to>
        <xdr:sp macro="" textlink="">
          <xdr:nvSpPr>
            <xdr:cNvPr id="18597" name="AddedMember1_21" hidden="1">
              <a:extLst>
                <a:ext uri="{63B3BB69-23CF-44E3-9099-C40C66FF867C}">
                  <a14:compatExt spid="_x0000_s18597"/>
                </a:ext>
                <a:ext uri="{FF2B5EF4-FFF2-40B4-BE49-F238E27FC236}">
                  <a16:creationId xmlns:a16="http://schemas.microsoft.com/office/drawing/2014/main" id="{00000000-0008-0000-0100-0000A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100</xdr:row>
          <xdr:rowOff>0</xdr:rowOff>
        </xdr:from>
        <xdr:to>
          <xdr:col>13</xdr:col>
          <xdr:colOff>704850</xdr:colOff>
          <xdr:row>101</xdr:row>
          <xdr:rowOff>9525</xdr:rowOff>
        </xdr:to>
        <xdr:sp macro="" textlink="">
          <xdr:nvSpPr>
            <xdr:cNvPr id="18598" name="ChangeMember1_21" hidden="1">
              <a:extLst>
                <a:ext uri="{63B3BB69-23CF-44E3-9099-C40C66FF867C}">
                  <a14:compatExt spid="_x0000_s18598"/>
                </a:ext>
                <a:ext uri="{FF2B5EF4-FFF2-40B4-BE49-F238E27FC236}">
                  <a16:creationId xmlns:a16="http://schemas.microsoft.com/office/drawing/2014/main" id="{00000000-0008-0000-0100-0000A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100</xdr:row>
          <xdr:rowOff>0</xdr:rowOff>
        </xdr:from>
        <xdr:to>
          <xdr:col>14</xdr:col>
          <xdr:colOff>704850</xdr:colOff>
          <xdr:row>101</xdr:row>
          <xdr:rowOff>9525</xdr:rowOff>
        </xdr:to>
        <xdr:sp macro="" textlink="">
          <xdr:nvSpPr>
            <xdr:cNvPr id="18599" name="UpMember1_21" hidden="1">
              <a:extLst>
                <a:ext uri="{63B3BB69-23CF-44E3-9099-C40C66FF867C}">
                  <a14:compatExt spid="_x0000_s18599"/>
                </a:ext>
                <a:ext uri="{FF2B5EF4-FFF2-40B4-BE49-F238E27FC236}">
                  <a16:creationId xmlns:a16="http://schemas.microsoft.com/office/drawing/2014/main" id="{00000000-0008-0000-0100-0000A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100</xdr:row>
          <xdr:rowOff>0</xdr:rowOff>
        </xdr:from>
        <xdr:to>
          <xdr:col>16</xdr:col>
          <xdr:colOff>0</xdr:colOff>
          <xdr:row>101</xdr:row>
          <xdr:rowOff>9525</xdr:rowOff>
        </xdr:to>
        <xdr:sp macro="" textlink="">
          <xdr:nvSpPr>
            <xdr:cNvPr id="18600" name="DownMember1_21"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103</xdr:row>
          <xdr:rowOff>0</xdr:rowOff>
        </xdr:from>
        <xdr:to>
          <xdr:col>12</xdr:col>
          <xdr:colOff>704850</xdr:colOff>
          <xdr:row>104</xdr:row>
          <xdr:rowOff>0</xdr:rowOff>
        </xdr:to>
        <xdr:sp macro="" textlink="">
          <xdr:nvSpPr>
            <xdr:cNvPr id="18601" name="AddedMember1_22" hidden="1">
              <a:extLst>
                <a:ext uri="{63B3BB69-23CF-44E3-9099-C40C66FF867C}">
                  <a14:compatExt spid="_x0000_s18601"/>
                </a:ext>
                <a:ext uri="{FF2B5EF4-FFF2-40B4-BE49-F238E27FC236}">
                  <a16:creationId xmlns:a16="http://schemas.microsoft.com/office/drawing/2014/main" id="{00000000-0008-0000-0100-0000A9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103</xdr:row>
          <xdr:rowOff>0</xdr:rowOff>
        </xdr:from>
        <xdr:to>
          <xdr:col>13</xdr:col>
          <xdr:colOff>704850</xdr:colOff>
          <xdr:row>104</xdr:row>
          <xdr:rowOff>0</xdr:rowOff>
        </xdr:to>
        <xdr:sp macro="" textlink="">
          <xdr:nvSpPr>
            <xdr:cNvPr id="18602" name="ChangeMember1_22" hidden="1">
              <a:extLst>
                <a:ext uri="{63B3BB69-23CF-44E3-9099-C40C66FF867C}">
                  <a14:compatExt spid="_x0000_s18602"/>
                </a:ext>
                <a:ext uri="{FF2B5EF4-FFF2-40B4-BE49-F238E27FC236}">
                  <a16:creationId xmlns:a16="http://schemas.microsoft.com/office/drawing/2014/main" id="{00000000-0008-0000-0100-0000A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103</xdr:row>
          <xdr:rowOff>0</xdr:rowOff>
        </xdr:from>
        <xdr:to>
          <xdr:col>14</xdr:col>
          <xdr:colOff>704850</xdr:colOff>
          <xdr:row>104</xdr:row>
          <xdr:rowOff>0</xdr:rowOff>
        </xdr:to>
        <xdr:sp macro="" textlink="">
          <xdr:nvSpPr>
            <xdr:cNvPr id="18603" name="UpMember1_22" hidden="1">
              <a:extLst>
                <a:ext uri="{63B3BB69-23CF-44E3-9099-C40C66FF867C}">
                  <a14:compatExt spid="_x0000_s18603"/>
                </a:ext>
                <a:ext uri="{FF2B5EF4-FFF2-40B4-BE49-F238E27FC236}">
                  <a16:creationId xmlns:a16="http://schemas.microsoft.com/office/drawing/2014/main" id="{00000000-0008-0000-0100-0000A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103</xdr:row>
          <xdr:rowOff>0</xdr:rowOff>
        </xdr:from>
        <xdr:to>
          <xdr:col>16</xdr:col>
          <xdr:colOff>0</xdr:colOff>
          <xdr:row>104</xdr:row>
          <xdr:rowOff>0</xdr:rowOff>
        </xdr:to>
        <xdr:sp macro="" textlink="">
          <xdr:nvSpPr>
            <xdr:cNvPr id="18604" name="DownMember1_22" hidden="1">
              <a:extLst>
                <a:ext uri="{63B3BB69-23CF-44E3-9099-C40C66FF867C}">
                  <a14:compatExt spid="_x0000_s18604"/>
                </a:ext>
                <a:ext uri="{FF2B5EF4-FFF2-40B4-BE49-F238E27FC236}">
                  <a16:creationId xmlns:a16="http://schemas.microsoft.com/office/drawing/2014/main" id="{00000000-0008-0000-0100-0000A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105</xdr:row>
          <xdr:rowOff>57150</xdr:rowOff>
        </xdr:from>
        <xdr:to>
          <xdr:col>12</xdr:col>
          <xdr:colOff>704850</xdr:colOff>
          <xdr:row>107</xdr:row>
          <xdr:rowOff>0</xdr:rowOff>
        </xdr:to>
        <xdr:sp macro="" textlink="">
          <xdr:nvSpPr>
            <xdr:cNvPr id="18605" name="AddedMember1_23" hidden="1">
              <a:extLst>
                <a:ext uri="{63B3BB69-23CF-44E3-9099-C40C66FF867C}">
                  <a14:compatExt spid="_x0000_s18605"/>
                </a:ext>
                <a:ext uri="{FF2B5EF4-FFF2-40B4-BE49-F238E27FC236}">
                  <a16:creationId xmlns:a16="http://schemas.microsoft.com/office/drawing/2014/main" id="{00000000-0008-0000-0100-0000A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105</xdr:row>
          <xdr:rowOff>57150</xdr:rowOff>
        </xdr:from>
        <xdr:to>
          <xdr:col>13</xdr:col>
          <xdr:colOff>704850</xdr:colOff>
          <xdr:row>107</xdr:row>
          <xdr:rowOff>0</xdr:rowOff>
        </xdr:to>
        <xdr:sp macro="" textlink="">
          <xdr:nvSpPr>
            <xdr:cNvPr id="18606" name="ChangeMember1_23" hidden="1">
              <a:extLst>
                <a:ext uri="{63B3BB69-23CF-44E3-9099-C40C66FF867C}">
                  <a14:compatExt spid="_x0000_s18606"/>
                </a:ext>
                <a:ext uri="{FF2B5EF4-FFF2-40B4-BE49-F238E27FC236}">
                  <a16:creationId xmlns:a16="http://schemas.microsoft.com/office/drawing/2014/main" id="{00000000-0008-0000-0100-0000AE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105</xdr:row>
          <xdr:rowOff>57150</xdr:rowOff>
        </xdr:from>
        <xdr:to>
          <xdr:col>14</xdr:col>
          <xdr:colOff>704850</xdr:colOff>
          <xdr:row>107</xdr:row>
          <xdr:rowOff>0</xdr:rowOff>
        </xdr:to>
        <xdr:sp macro="" textlink="">
          <xdr:nvSpPr>
            <xdr:cNvPr id="18607" name="UpMember1_23" hidden="1">
              <a:extLst>
                <a:ext uri="{63B3BB69-23CF-44E3-9099-C40C66FF867C}">
                  <a14:compatExt spid="_x0000_s18607"/>
                </a:ext>
                <a:ext uri="{FF2B5EF4-FFF2-40B4-BE49-F238E27FC236}">
                  <a16:creationId xmlns:a16="http://schemas.microsoft.com/office/drawing/2014/main" id="{00000000-0008-0000-0100-0000A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105</xdr:row>
          <xdr:rowOff>57150</xdr:rowOff>
        </xdr:from>
        <xdr:to>
          <xdr:col>16</xdr:col>
          <xdr:colOff>0</xdr:colOff>
          <xdr:row>107</xdr:row>
          <xdr:rowOff>0</xdr:rowOff>
        </xdr:to>
        <xdr:sp macro="" textlink="">
          <xdr:nvSpPr>
            <xdr:cNvPr id="18608" name="DownMember1_23" hidden="1">
              <a:extLst>
                <a:ext uri="{63B3BB69-23CF-44E3-9099-C40C66FF867C}">
                  <a14:compatExt spid="_x0000_s18608"/>
                </a:ext>
                <a:ext uri="{FF2B5EF4-FFF2-40B4-BE49-F238E27FC236}">
                  <a16:creationId xmlns:a16="http://schemas.microsoft.com/office/drawing/2014/main" id="{00000000-0008-0000-0100-0000B0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108</xdr:row>
          <xdr:rowOff>57150</xdr:rowOff>
        </xdr:from>
        <xdr:to>
          <xdr:col>12</xdr:col>
          <xdr:colOff>704850</xdr:colOff>
          <xdr:row>110</xdr:row>
          <xdr:rowOff>0</xdr:rowOff>
        </xdr:to>
        <xdr:sp macro="" textlink="">
          <xdr:nvSpPr>
            <xdr:cNvPr id="18609" name="AddedMember1_24"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108</xdr:row>
          <xdr:rowOff>57150</xdr:rowOff>
        </xdr:from>
        <xdr:to>
          <xdr:col>13</xdr:col>
          <xdr:colOff>704850</xdr:colOff>
          <xdr:row>110</xdr:row>
          <xdr:rowOff>0</xdr:rowOff>
        </xdr:to>
        <xdr:sp macro="" textlink="">
          <xdr:nvSpPr>
            <xdr:cNvPr id="18610" name="ChangeMember1_24"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108</xdr:row>
          <xdr:rowOff>57150</xdr:rowOff>
        </xdr:from>
        <xdr:to>
          <xdr:col>14</xdr:col>
          <xdr:colOff>704850</xdr:colOff>
          <xdr:row>110</xdr:row>
          <xdr:rowOff>0</xdr:rowOff>
        </xdr:to>
        <xdr:sp macro="" textlink="">
          <xdr:nvSpPr>
            <xdr:cNvPr id="18611" name="UpMember1_24"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108</xdr:row>
          <xdr:rowOff>57150</xdr:rowOff>
        </xdr:from>
        <xdr:to>
          <xdr:col>16</xdr:col>
          <xdr:colOff>0</xdr:colOff>
          <xdr:row>110</xdr:row>
          <xdr:rowOff>0</xdr:rowOff>
        </xdr:to>
        <xdr:sp macro="" textlink="">
          <xdr:nvSpPr>
            <xdr:cNvPr id="18612" name="DownMember1_24"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704850</xdr:colOff>
          <xdr:row>113</xdr:row>
          <xdr:rowOff>9525</xdr:rowOff>
        </xdr:to>
        <xdr:sp macro="" textlink="">
          <xdr:nvSpPr>
            <xdr:cNvPr id="18613" name="AddedMember1_25" hidden="1">
              <a:extLst>
                <a:ext uri="{63B3BB69-23CF-44E3-9099-C40C66FF867C}">
                  <a14:compatExt spid="_x0000_s18613"/>
                </a:ext>
                <a:ext uri="{FF2B5EF4-FFF2-40B4-BE49-F238E27FC236}">
                  <a16:creationId xmlns:a16="http://schemas.microsoft.com/office/drawing/2014/main" id="{00000000-0008-0000-0100-0000B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704850</xdr:colOff>
          <xdr:row>113</xdr:row>
          <xdr:rowOff>9525</xdr:rowOff>
        </xdr:to>
        <xdr:sp macro="" textlink="">
          <xdr:nvSpPr>
            <xdr:cNvPr id="18614" name="ChangeMember1_25" hidden="1">
              <a:extLst>
                <a:ext uri="{63B3BB69-23CF-44E3-9099-C40C66FF867C}">
                  <a14:compatExt spid="_x0000_s18614"/>
                </a:ext>
                <a:ext uri="{FF2B5EF4-FFF2-40B4-BE49-F238E27FC236}">
                  <a16:creationId xmlns:a16="http://schemas.microsoft.com/office/drawing/2014/main" id="{00000000-0008-0000-0100-0000B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704850</xdr:colOff>
          <xdr:row>113</xdr:row>
          <xdr:rowOff>9525</xdr:rowOff>
        </xdr:to>
        <xdr:sp macro="" textlink="">
          <xdr:nvSpPr>
            <xdr:cNvPr id="18615" name="UpMember1_25" hidden="1">
              <a:extLst>
                <a:ext uri="{63B3BB69-23CF-44E3-9099-C40C66FF867C}">
                  <a14:compatExt spid="_x0000_s18615"/>
                </a:ext>
                <a:ext uri="{FF2B5EF4-FFF2-40B4-BE49-F238E27FC236}">
                  <a16:creationId xmlns:a16="http://schemas.microsoft.com/office/drawing/2014/main" id="{00000000-0008-0000-0100-0000B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9525</xdr:rowOff>
        </xdr:to>
        <xdr:sp macro="" textlink="">
          <xdr:nvSpPr>
            <xdr:cNvPr id="18616" name="DownMember1_25" hidden="1">
              <a:extLst>
                <a:ext uri="{63B3BB69-23CF-44E3-9099-C40C66FF867C}">
                  <a14:compatExt spid="_x0000_s18616"/>
                </a:ext>
                <a:ext uri="{FF2B5EF4-FFF2-40B4-BE49-F238E27FC236}">
                  <a16:creationId xmlns:a16="http://schemas.microsoft.com/office/drawing/2014/main" id="{00000000-0008-0000-0100-0000B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115</xdr:row>
          <xdr:rowOff>0</xdr:rowOff>
        </xdr:from>
        <xdr:to>
          <xdr:col>12</xdr:col>
          <xdr:colOff>676275</xdr:colOff>
          <xdr:row>116</xdr:row>
          <xdr:rowOff>0</xdr:rowOff>
        </xdr:to>
        <xdr:sp macro="" textlink="">
          <xdr:nvSpPr>
            <xdr:cNvPr id="18650" name="AddedMember1_26" hidden="1">
              <a:extLst>
                <a:ext uri="{63B3BB69-23CF-44E3-9099-C40C66FF867C}">
                  <a14:compatExt spid="_x0000_s18650"/>
                </a:ext>
                <a:ext uri="{FF2B5EF4-FFF2-40B4-BE49-F238E27FC236}">
                  <a16:creationId xmlns:a16="http://schemas.microsoft.com/office/drawing/2014/main" id="{00000000-0008-0000-0100-0000D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115</xdr:row>
          <xdr:rowOff>0</xdr:rowOff>
        </xdr:from>
        <xdr:to>
          <xdr:col>13</xdr:col>
          <xdr:colOff>685800</xdr:colOff>
          <xdr:row>116</xdr:row>
          <xdr:rowOff>0</xdr:rowOff>
        </xdr:to>
        <xdr:sp macro="" textlink="">
          <xdr:nvSpPr>
            <xdr:cNvPr id="18651" name="ChangeMember1_26" hidden="1">
              <a:extLst>
                <a:ext uri="{63B3BB69-23CF-44E3-9099-C40C66FF867C}">
                  <a14:compatExt spid="_x0000_s18651"/>
                </a:ext>
                <a:ext uri="{FF2B5EF4-FFF2-40B4-BE49-F238E27FC236}">
                  <a16:creationId xmlns:a16="http://schemas.microsoft.com/office/drawing/2014/main" id="{00000000-0008-0000-0100-0000D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685800</xdr:colOff>
          <xdr:row>116</xdr:row>
          <xdr:rowOff>0</xdr:rowOff>
        </xdr:to>
        <xdr:sp macro="" textlink="">
          <xdr:nvSpPr>
            <xdr:cNvPr id="18652" name="UpMember1_26" hidden="1">
              <a:extLst>
                <a:ext uri="{63B3BB69-23CF-44E3-9099-C40C66FF867C}">
                  <a14:compatExt spid="_x0000_s18652"/>
                </a:ext>
                <a:ext uri="{FF2B5EF4-FFF2-40B4-BE49-F238E27FC236}">
                  <a16:creationId xmlns:a16="http://schemas.microsoft.com/office/drawing/2014/main" id="{00000000-0008-0000-0100-0000D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115</xdr:row>
          <xdr:rowOff>0</xdr:rowOff>
        </xdr:from>
        <xdr:to>
          <xdr:col>15</xdr:col>
          <xdr:colOff>676275</xdr:colOff>
          <xdr:row>116</xdr:row>
          <xdr:rowOff>0</xdr:rowOff>
        </xdr:to>
        <xdr:sp macro="" textlink="">
          <xdr:nvSpPr>
            <xdr:cNvPr id="18653" name="DownMember1_26" hidden="1">
              <a:extLst>
                <a:ext uri="{63B3BB69-23CF-44E3-9099-C40C66FF867C}">
                  <a14:compatExt spid="_x0000_s18653"/>
                </a:ext>
                <a:ext uri="{FF2B5EF4-FFF2-40B4-BE49-F238E27FC236}">
                  <a16:creationId xmlns:a16="http://schemas.microsoft.com/office/drawing/2014/main" id="{00000000-0008-0000-0100-0000D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117</xdr:row>
          <xdr:rowOff>47625</xdr:rowOff>
        </xdr:from>
        <xdr:to>
          <xdr:col>12</xdr:col>
          <xdr:colOff>676275</xdr:colOff>
          <xdr:row>119</xdr:row>
          <xdr:rowOff>0</xdr:rowOff>
        </xdr:to>
        <xdr:sp macro="" textlink="">
          <xdr:nvSpPr>
            <xdr:cNvPr id="18661" name="AddedMember1_27" hidden="1">
              <a:extLst>
                <a:ext uri="{63B3BB69-23CF-44E3-9099-C40C66FF867C}">
                  <a14:compatExt spid="_x0000_s18661"/>
                </a:ext>
                <a:ext uri="{FF2B5EF4-FFF2-40B4-BE49-F238E27FC236}">
                  <a16:creationId xmlns:a16="http://schemas.microsoft.com/office/drawing/2014/main" id="{00000000-0008-0000-0100-0000E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117</xdr:row>
          <xdr:rowOff>47625</xdr:rowOff>
        </xdr:from>
        <xdr:to>
          <xdr:col>13</xdr:col>
          <xdr:colOff>685800</xdr:colOff>
          <xdr:row>119</xdr:row>
          <xdr:rowOff>0</xdr:rowOff>
        </xdr:to>
        <xdr:sp macro="" textlink="">
          <xdr:nvSpPr>
            <xdr:cNvPr id="18662" name="ChangeMember1_27" hidden="1">
              <a:extLst>
                <a:ext uri="{63B3BB69-23CF-44E3-9099-C40C66FF867C}">
                  <a14:compatExt spid="_x0000_s18662"/>
                </a:ext>
                <a:ext uri="{FF2B5EF4-FFF2-40B4-BE49-F238E27FC236}">
                  <a16:creationId xmlns:a16="http://schemas.microsoft.com/office/drawing/2014/main" id="{00000000-0008-0000-0100-0000E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47625</xdr:rowOff>
        </xdr:from>
        <xdr:to>
          <xdr:col>14</xdr:col>
          <xdr:colOff>685800</xdr:colOff>
          <xdr:row>119</xdr:row>
          <xdr:rowOff>0</xdr:rowOff>
        </xdr:to>
        <xdr:sp macro="" textlink="">
          <xdr:nvSpPr>
            <xdr:cNvPr id="18663" name="UpMember1_27" hidden="1">
              <a:extLst>
                <a:ext uri="{63B3BB69-23CF-44E3-9099-C40C66FF867C}">
                  <a14:compatExt spid="_x0000_s18663"/>
                </a:ext>
                <a:ext uri="{FF2B5EF4-FFF2-40B4-BE49-F238E27FC236}">
                  <a16:creationId xmlns:a16="http://schemas.microsoft.com/office/drawing/2014/main" id="{00000000-0008-0000-0100-0000E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117</xdr:row>
          <xdr:rowOff>47625</xdr:rowOff>
        </xdr:from>
        <xdr:to>
          <xdr:col>15</xdr:col>
          <xdr:colOff>676275</xdr:colOff>
          <xdr:row>119</xdr:row>
          <xdr:rowOff>0</xdr:rowOff>
        </xdr:to>
        <xdr:sp macro="" textlink="">
          <xdr:nvSpPr>
            <xdr:cNvPr id="18664" name="DownMember1_27" hidden="1">
              <a:extLst>
                <a:ext uri="{63B3BB69-23CF-44E3-9099-C40C66FF867C}">
                  <a14:compatExt spid="_x0000_s18664"/>
                </a:ext>
                <a:ext uri="{FF2B5EF4-FFF2-40B4-BE49-F238E27FC236}">
                  <a16:creationId xmlns:a16="http://schemas.microsoft.com/office/drawing/2014/main" id="{00000000-0008-0000-0100-0000E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120</xdr:row>
          <xdr:rowOff>47625</xdr:rowOff>
        </xdr:from>
        <xdr:to>
          <xdr:col>12</xdr:col>
          <xdr:colOff>676275</xdr:colOff>
          <xdr:row>122</xdr:row>
          <xdr:rowOff>0</xdr:rowOff>
        </xdr:to>
        <xdr:sp macro="" textlink="">
          <xdr:nvSpPr>
            <xdr:cNvPr id="18677" name="AddedMember1_28" hidden="1">
              <a:extLst>
                <a:ext uri="{63B3BB69-23CF-44E3-9099-C40C66FF867C}">
                  <a14:compatExt spid="_x0000_s18677"/>
                </a:ext>
                <a:ext uri="{FF2B5EF4-FFF2-40B4-BE49-F238E27FC236}">
                  <a16:creationId xmlns:a16="http://schemas.microsoft.com/office/drawing/2014/main" id="{00000000-0008-0000-0100-0000F5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120</xdr:row>
          <xdr:rowOff>47625</xdr:rowOff>
        </xdr:from>
        <xdr:to>
          <xdr:col>13</xdr:col>
          <xdr:colOff>685800</xdr:colOff>
          <xdr:row>122</xdr:row>
          <xdr:rowOff>0</xdr:rowOff>
        </xdr:to>
        <xdr:sp macro="" textlink="">
          <xdr:nvSpPr>
            <xdr:cNvPr id="18678" name="ChangeMember1_28" hidden="1">
              <a:extLst>
                <a:ext uri="{63B3BB69-23CF-44E3-9099-C40C66FF867C}">
                  <a14:compatExt spid="_x0000_s18678"/>
                </a:ext>
                <a:ext uri="{FF2B5EF4-FFF2-40B4-BE49-F238E27FC236}">
                  <a16:creationId xmlns:a16="http://schemas.microsoft.com/office/drawing/2014/main" id="{00000000-0008-0000-0100-0000F6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47625</xdr:rowOff>
        </xdr:from>
        <xdr:to>
          <xdr:col>14</xdr:col>
          <xdr:colOff>685800</xdr:colOff>
          <xdr:row>122</xdr:row>
          <xdr:rowOff>0</xdr:rowOff>
        </xdr:to>
        <xdr:sp macro="" textlink="">
          <xdr:nvSpPr>
            <xdr:cNvPr id="18679" name="UpMember1_28" hidden="1">
              <a:extLst>
                <a:ext uri="{63B3BB69-23CF-44E3-9099-C40C66FF867C}">
                  <a14:compatExt spid="_x0000_s18679"/>
                </a:ext>
                <a:ext uri="{FF2B5EF4-FFF2-40B4-BE49-F238E27FC236}">
                  <a16:creationId xmlns:a16="http://schemas.microsoft.com/office/drawing/2014/main" id="{00000000-0008-0000-0100-0000F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120</xdr:row>
          <xdr:rowOff>47625</xdr:rowOff>
        </xdr:from>
        <xdr:to>
          <xdr:col>15</xdr:col>
          <xdr:colOff>676275</xdr:colOff>
          <xdr:row>122</xdr:row>
          <xdr:rowOff>0</xdr:rowOff>
        </xdr:to>
        <xdr:sp macro="" textlink="">
          <xdr:nvSpPr>
            <xdr:cNvPr id="18680" name="DownMember1_28" hidden="1">
              <a:extLst>
                <a:ext uri="{63B3BB69-23CF-44E3-9099-C40C66FF867C}">
                  <a14:compatExt spid="_x0000_s18680"/>
                </a:ext>
                <a:ext uri="{FF2B5EF4-FFF2-40B4-BE49-F238E27FC236}">
                  <a16:creationId xmlns:a16="http://schemas.microsoft.com/office/drawing/2014/main" id="{00000000-0008-0000-0100-0000F8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124</xdr:row>
          <xdr:rowOff>0</xdr:rowOff>
        </xdr:from>
        <xdr:to>
          <xdr:col>12</xdr:col>
          <xdr:colOff>676275</xdr:colOff>
          <xdr:row>125</xdr:row>
          <xdr:rowOff>0</xdr:rowOff>
        </xdr:to>
        <xdr:sp macro="" textlink="">
          <xdr:nvSpPr>
            <xdr:cNvPr id="18682" name="AddedMember1_29" hidden="1">
              <a:extLst>
                <a:ext uri="{63B3BB69-23CF-44E3-9099-C40C66FF867C}">
                  <a14:compatExt spid="_x0000_s18682"/>
                </a:ext>
                <a:ext uri="{FF2B5EF4-FFF2-40B4-BE49-F238E27FC236}">
                  <a16:creationId xmlns:a16="http://schemas.microsoft.com/office/drawing/2014/main" id="{00000000-0008-0000-0100-0000FA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124</xdr:row>
          <xdr:rowOff>0</xdr:rowOff>
        </xdr:from>
        <xdr:to>
          <xdr:col>13</xdr:col>
          <xdr:colOff>685800</xdr:colOff>
          <xdr:row>125</xdr:row>
          <xdr:rowOff>0</xdr:rowOff>
        </xdr:to>
        <xdr:sp macro="" textlink="">
          <xdr:nvSpPr>
            <xdr:cNvPr id="18683" name="ChangeMember1_29" hidden="1">
              <a:extLst>
                <a:ext uri="{63B3BB69-23CF-44E3-9099-C40C66FF867C}">
                  <a14:compatExt spid="_x0000_s18683"/>
                </a:ext>
                <a:ext uri="{FF2B5EF4-FFF2-40B4-BE49-F238E27FC236}">
                  <a16:creationId xmlns:a16="http://schemas.microsoft.com/office/drawing/2014/main" id="{00000000-0008-0000-0100-0000FB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685800</xdr:colOff>
          <xdr:row>125</xdr:row>
          <xdr:rowOff>0</xdr:rowOff>
        </xdr:to>
        <xdr:sp macro="" textlink="">
          <xdr:nvSpPr>
            <xdr:cNvPr id="18684" name="UpMember1_29" hidden="1">
              <a:extLst>
                <a:ext uri="{63B3BB69-23CF-44E3-9099-C40C66FF867C}">
                  <a14:compatExt spid="_x0000_s18684"/>
                </a:ext>
                <a:ext uri="{FF2B5EF4-FFF2-40B4-BE49-F238E27FC236}">
                  <a16:creationId xmlns:a16="http://schemas.microsoft.com/office/drawing/2014/main" id="{00000000-0008-0000-0100-0000FC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124</xdr:row>
          <xdr:rowOff>0</xdr:rowOff>
        </xdr:from>
        <xdr:to>
          <xdr:col>15</xdr:col>
          <xdr:colOff>676275</xdr:colOff>
          <xdr:row>125</xdr:row>
          <xdr:rowOff>0</xdr:rowOff>
        </xdr:to>
        <xdr:sp macro="" textlink="">
          <xdr:nvSpPr>
            <xdr:cNvPr id="18685" name="DownMember1_29" hidden="1">
              <a:extLst>
                <a:ext uri="{63B3BB69-23CF-44E3-9099-C40C66FF867C}">
                  <a14:compatExt spid="_x0000_s18685"/>
                </a:ext>
                <a:ext uri="{FF2B5EF4-FFF2-40B4-BE49-F238E27FC236}">
                  <a16:creationId xmlns:a16="http://schemas.microsoft.com/office/drawing/2014/main" id="{00000000-0008-0000-0100-0000FD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127</xdr:row>
          <xdr:rowOff>0</xdr:rowOff>
        </xdr:from>
        <xdr:to>
          <xdr:col>12</xdr:col>
          <xdr:colOff>676275</xdr:colOff>
          <xdr:row>128</xdr:row>
          <xdr:rowOff>0</xdr:rowOff>
        </xdr:to>
        <xdr:sp macro="" textlink="">
          <xdr:nvSpPr>
            <xdr:cNvPr id="18687" name="AddedMember1_30" hidden="1">
              <a:extLst>
                <a:ext uri="{63B3BB69-23CF-44E3-9099-C40C66FF867C}">
                  <a14:compatExt spid="_x0000_s18687"/>
                </a:ext>
                <a:ext uri="{FF2B5EF4-FFF2-40B4-BE49-F238E27FC236}">
                  <a16:creationId xmlns:a16="http://schemas.microsoft.com/office/drawing/2014/main" id="{00000000-0008-0000-0100-0000FF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127</xdr:row>
          <xdr:rowOff>0</xdr:rowOff>
        </xdr:from>
        <xdr:to>
          <xdr:col>13</xdr:col>
          <xdr:colOff>685800</xdr:colOff>
          <xdr:row>128</xdr:row>
          <xdr:rowOff>0</xdr:rowOff>
        </xdr:to>
        <xdr:sp macro="" textlink="">
          <xdr:nvSpPr>
            <xdr:cNvPr id="18688" name="ChangeMember1_30" hidden="1">
              <a:extLst>
                <a:ext uri="{63B3BB69-23CF-44E3-9099-C40C66FF867C}">
                  <a14:compatExt spid="_x0000_s18688"/>
                </a:ext>
                <a:ext uri="{FF2B5EF4-FFF2-40B4-BE49-F238E27FC236}">
                  <a16:creationId xmlns:a16="http://schemas.microsoft.com/office/drawing/2014/main" id="{00000000-0008-0000-0100-000000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127</xdr:row>
          <xdr:rowOff>0</xdr:rowOff>
        </xdr:from>
        <xdr:to>
          <xdr:col>14</xdr:col>
          <xdr:colOff>685800</xdr:colOff>
          <xdr:row>128</xdr:row>
          <xdr:rowOff>0</xdr:rowOff>
        </xdr:to>
        <xdr:sp macro="" textlink="">
          <xdr:nvSpPr>
            <xdr:cNvPr id="18689" name="UpMember1_30" hidden="1">
              <a:extLst>
                <a:ext uri="{63B3BB69-23CF-44E3-9099-C40C66FF867C}">
                  <a14:compatExt spid="_x0000_s18689"/>
                </a:ext>
                <a:ext uri="{FF2B5EF4-FFF2-40B4-BE49-F238E27FC236}">
                  <a16:creationId xmlns:a16="http://schemas.microsoft.com/office/drawing/2014/main" id="{00000000-0008-0000-0100-000001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127</xdr:row>
          <xdr:rowOff>0</xdr:rowOff>
        </xdr:from>
        <xdr:to>
          <xdr:col>15</xdr:col>
          <xdr:colOff>676275</xdr:colOff>
          <xdr:row>128</xdr:row>
          <xdr:rowOff>0</xdr:rowOff>
        </xdr:to>
        <xdr:sp macro="" textlink="">
          <xdr:nvSpPr>
            <xdr:cNvPr id="18690" name="DownMember1_30" hidden="1">
              <a:extLst>
                <a:ext uri="{63B3BB69-23CF-44E3-9099-C40C66FF867C}">
                  <a14:compatExt spid="_x0000_s18690"/>
                </a:ext>
                <a:ext uri="{FF2B5EF4-FFF2-40B4-BE49-F238E27FC236}">
                  <a16:creationId xmlns:a16="http://schemas.microsoft.com/office/drawing/2014/main" id="{00000000-0008-0000-0100-000002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130</xdr:row>
          <xdr:rowOff>0</xdr:rowOff>
        </xdr:from>
        <xdr:to>
          <xdr:col>12</xdr:col>
          <xdr:colOff>676275</xdr:colOff>
          <xdr:row>131</xdr:row>
          <xdr:rowOff>9525</xdr:rowOff>
        </xdr:to>
        <xdr:sp macro="" textlink="">
          <xdr:nvSpPr>
            <xdr:cNvPr id="18697" name="AddedMember1_31" hidden="1">
              <a:extLst>
                <a:ext uri="{63B3BB69-23CF-44E3-9099-C40C66FF867C}">
                  <a14:compatExt spid="_x0000_s18697"/>
                </a:ext>
                <a:ext uri="{FF2B5EF4-FFF2-40B4-BE49-F238E27FC236}">
                  <a16:creationId xmlns:a16="http://schemas.microsoft.com/office/drawing/2014/main" id="{00000000-0008-0000-0100-000009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130</xdr:row>
          <xdr:rowOff>0</xdr:rowOff>
        </xdr:from>
        <xdr:to>
          <xdr:col>13</xdr:col>
          <xdr:colOff>685800</xdr:colOff>
          <xdr:row>131</xdr:row>
          <xdr:rowOff>9525</xdr:rowOff>
        </xdr:to>
        <xdr:sp macro="" textlink="">
          <xdr:nvSpPr>
            <xdr:cNvPr id="18698" name="ChangeMember1_31" hidden="1">
              <a:extLst>
                <a:ext uri="{63B3BB69-23CF-44E3-9099-C40C66FF867C}">
                  <a14:compatExt spid="_x0000_s18698"/>
                </a:ext>
                <a:ext uri="{FF2B5EF4-FFF2-40B4-BE49-F238E27FC236}">
                  <a16:creationId xmlns:a16="http://schemas.microsoft.com/office/drawing/2014/main" id="{00000000-0008-0000-0100-00000A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685800</xdr:colOff>
          <xdr:row>131</xdr:row>
          <xdr:rowOff>9525</xdr:rowOff>
        </xdr:to>
        <xdr:sp macro="" textlink="">
          <xdr:nvSpPr>
            <xdr:cNvPr id="18699" name="UpMember1_31" hidden="1">
              <a:extLst>
                <a:ext uri="{63B3BB69-23CF-44E3-9099-C40C66FF867C}">
                  <a14:compatExt spid="_x0000_s18699"/>
                </a:ext>
                <a:ext uri="{FF2B5EF4-FFF2-40B4-BE49-F238E27FC236}">
                  <a16:creationId xmlns:a16="http://schemas.microsoft.com/office/drawing/2014/main" id="{00000000-0008-0000-0100-00000B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130</xdr:row>
          <xdr:rowOff>0</xdr:rowOff>
        </xdr:from>
        <xdr:to>
          <xdr:col>15</xdr:col>
          <xdr:colOff>676275</xdr:colOff>
          <xdr:row>131</xdr:row>
          <xdr:rowOff>9525</xdr:rowOff>
        </xdr:to>
        <xdr:sp macro="" textlink="">
          <xdr:nvSpPr>
            <xdr:cNvPr id="18700" name="DownMember1_31" hidden="1">
              <a:extLst>
                <a:ext uri="{63B3BB69-23CF-44E3-9099-C40C66FF867C}">
                  <a14:compatExt spid="_x0000_s18700"/>
                </a:ext>
                <a:ext uri="{FF2B5EF4-FFF2-40B4-BE49-F238E27FC236}">
                  <a16:creationId xmlns:a16="http://schemas.microsoft.com/office/drawing/2014/main" id="{00000000-0008-0000-0100-00000C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132</xdr:row>
          <xdr:rowOff>47625</xdr:rowOff>
        </xdr:from>
        <xdr:to>
          <xdr:col>12</xdr:col>
          <xdr:colOff>676275</xdr:colOff>
          <xdr:row>134</xdr:row>
          <xdr:rowOff>0</xdr:rowOff>
        </xdr:to>
        <xdr:sp macro="" textlink="">
          <xdr:nvSpPr>
            <xdr:cNvPr id="18707" name="AddedMember1_32" hidden="1">
              <a:extLst>
                <a:ext uri="{63B3BB69-23CF-44E3-9099-C40C66FF867C}">
                  <a14:compatExt spid="_x0000_s18707"/>
                </a:ext>
                <a:ext uri="{FF2B5EF4-FFF2-40B4-BE49-F238E27FC236}">
                  <a16:creationId xmlns:a16="http://schemas.microsoft.com/office/drawing/2014/main" id="{00000000-0008-0000-0100-000013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132</xdr:row>
          <xdr:rowOff>47625</xdr:rowOff>
        </xdr:from>
        <xdr:to>
          <xdr:col>13</xdr:col>
          <xdr:colOff>685800</xdr:colOff>
          <xdr:row>134</xdr:row>
          <xdr:rowOff>0</xdr:rowOff>
        </xdr:to>
        <xdr:sp macro="" textlink="">
          <xdr:nvSpPr>
            <xdr:cNvPr id="18708" name="ChangeMember1_32" hidden="1">
              <a:extLst>
                <a:ext uri="{63B3BB69-23CF-44E3-9099-C40C66FF867C}">
                  <a14:compatExt spid="_x0000_s18708"/>
                </a:ext>
                <a:ext uri="{FF2B5EF4-FFF2-40B4-BE49-F238E27FC236}">
                  <a16:creationId xmlns:a16="http://schemas.microsoft.com/office/drawing/2014/main" id="{00000000-0008-0000-0100-000014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132</xdr:row>
          <xdr:rowOff>47625</xdr:rowOff>
        </xdr:from>
        <xdr:to>
          <xdr:col>14</xdr:col>
          <xdr:colOff>685800</xdr:colOff>
          <xdr:row>134</xdr:row>
          <xdr:rowOff>0</xdr:rowOff>
        </xdr:to>
        <xdr:sp macro="" textlink="">
          <xdr:nvSpPr>
            <xdr:cNvPr id="18709" name="UpMember1_32" hidden="1">
              <a:extLst>
                <a:ext uri="{63B3BB69-23CF-44E3-9099-C40C66FF867C}">
                  <a14:compatExt spid="_x0000_s18709"/>
                </a:ext>
                <a:ext uri="{FF2B5EF4-FFF2-40B4-BE49-F238E27FC236}">
                  <a16:creationId xmlns:a16="http://schemas.microsoft.com/office/drawing/2014/main" id="{00000000-0008-0000-0100-000015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132</xdr:row>
          <xdr:rowOff>47625</xdr:rowOff>
        </xdr:from>
        <xdr:to>
          <xdr:col>15</xdr:col>
          <xdr:colOff>676275</xdr:colOff>
          <xdr:row>134</xdr:row>
          <xdr:rowOff>0</xdr:rowOff>
        </xdr:to>
        <xdr:sp macro="" textlink="">
          <xdr:nvSpPr>
            <xdr:cNvPr id="18710" name="DownMember1_32" hidden="1">
              <a:extLst>
                <a:ext uri="{63B3BB69-23CF-44E3-9099-C40C66FF867C}">
                  <a14:compatExt spid="_x0000_s18710"/>
                </a:ext>
                <a:ext uri="{FF2B5EF4-FFF2-40B4-BE49-F238E27FC236}">
                  <a16:creationId xmlns:a16="http://schemas.microsoft.com/office/drawing/2014/main" id="{00000000-0008-0000-0100-000016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136</xdr:row>
          <xdr:rowOff>0</xdr:rowOff>
        </xdr:from>
        <xdr:to>
          <xdr:col>12</xdr:col>
          <xdr:colOff>676275</xdr:colOff>
          <xdr:row>137</xdr:row>
          <xdr:rowOff>0</xdr:rowOff>
        </xdr:to>
        <xdr:sp macro="" textlink="">
          <xdr:nvSpPr>
            <xdr:cNvPr id="18712" name="AddedMember1_33" hidden="1">
              <a:extLst>
                <a:ext uri="{63B3BB69-23CF-44E3-9099-C40C66FF867C}">
                  <a14:compatExt spid="_x0000_s18712"/>
                </a:ext>
                <a:ext uri="{FF2B5EF4-FFF2-40B4-BE49-F238E27FC236}">
                  <a16:creationId xmlns:a16="http://schemas.microsoft.com/office/drawing/2014/main" id="{00000000-0008-0000-0100-000018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136</xdr:row>
          <xdr:rowOff>0</xdr:rowOff>
        </xdr:from>
        <xdr:to>
          <xdr:col>13</xdr:col>
          <xdr:colOff>685800</xdr:colOff>
          <xdr:row>137</xdr:row>
          <xdr:rowOff>0</xdr:rowOff>
        </xdr:to>
        <xdr:sp macro="" textlink="">
          <xdr:nvSpPr>
            <xdr:cNvPr id="18713" name="ChangeMember1_33" hidden="1">
              <a:extLst>
                <a:ext uri="{63B3BB69-23CF-44E3-9099-C40C66FF867C}">
                  <a14:compatExt spid="_x0000_s18713"/>
                </a:ext>
                <a:ext uri="{FF2B5EF4-FFF2-40B4-BE49-F238E27FC236}">
                  <a16:creationId xmlns:a16="http://schemas.microsoft.com/office/drawing/2014/main" id="{00000000-0008-0000-0100-000019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685800</xdr:colOff>
          <xdr:row>137</xdr:row>
          <xdr:rowOff>0</xdr:rowOff>
        </xdr:to>
        <xdr:sp macro="" textlink="">
          <xdr:nvSpPr>
            <xdr:cNvPr id="18714" name="UpMember1_33" hidden="1">
              <a:extLst>
                <a:ext uri="{63B3BB69-23CF-44E3-9099-C40C66FF867C}">
                  <a14:compatExt spid="_x0000_s18714"/>
                </a:ext>
                <a:ext uri="{FF2B5EF4-FFF2-40B4-BE49-F238E27FC236}">
                  <a16:creationId xmlns:a16="http://schemas.microsoft.com/office/drawing/2014/main" id="{00000000-0008-0000-0100-00001A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136</xdr:row>
          <xdr:rowOff>0</xdr:rowOff>
        </xdr:from>
        <xdr:to>
          <xdr:col>15</xdr:col>
          <xdr:colOff>676275</xdr:colOff>
          <xdr:row>137</xdr:row>
          <xdr:rowOff>0</xdr:rowOff>
        </xdr:to>
        <xdr:sp macro="" textlink="">
          <xdr:nvSpPr>
            <xdr:cNvPr id="18715" name="DownMember1_33" hidden="1">
              <a:extLst>
                <a:ext uri="{63B3BB69-23CF-44E3-9099-C40C66FF867C}">
                  <a14:compatExt spid="_x0000_s18715"/>
                </a:ext>
                <a:ext uri="{FF2B5EF4-FFF2-40B4-BE49-F238E27FC236}">
                  <a16:creationId xmlns:a16="http://schemas.microsoft.com/office/drawing/2014/main" id="{00000000-0008-0000-0100-00001B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139</xdr:row>
          <xdr:rowOff>0</xdr:rowOff>
        </xdr:from>
        <xdr:to>
          <xdr:col>12</xdr:col>
          <xdr:colOff>676275</xdr:colOff>
          <xdr:row>140</xdr:row>
          <xdr:rowOff>0</xdr:rowOff>
        </xdr:to>
        <xdr:sp macro="" textlink="">
          <xdr:nvSpPr>
            <xdr:cNvPr id="18717" name="AddedMember1_34" hidden="1">
              <a:extLst>
                <a:ext uri="{63B3BB69-23CF-44E3-9099-C40C66FF867C}">
                  <a14:compatExt spid="_x0000_s18717"/>
                </a:ext>
                <a:ext uri="{FF2B5EF4-FFF2-40B4-BE49-F238E27FC236}">
                  <a16:creationId xmlns:a16="http://schemas.microsoft.com/office/drawing/2014/main" id="{00000000-0008-0000-0100-00001D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139</xdr:row>
          <xdr:rowOff>0</xdr:rowOff>
        </xdr:from>
        <xdr:to>
          <xdr:col>13</xdr:col>
          <xdr:colOff>685800</xdr:colOff>
          <xdr:row>140</xdr:row>
          <xdr:rowOff>0</xdr:rowOff>
        </xdr:to>
        <xdr:sp macro="" textlink="">
          <xdr:nvSpPr>
            <xdr:cNvPr id="18718" name="ChangeMember1_34" hidden="1">
              <a:extLst>
                <a:ext uri="{63B3BB69-23CF-44E3-9099-C40C66FF867C}">
                  <a14:compatExt spid="_x0000_s18718"/>
                </a:ext>
                <a:ext uri="{FF2B5EF4-FFF2-40B4-BE49-F238E27FC236}">
                  <a16:creationId xmlns:a16="http://schemas.microsoft.com/office/drawing/2014/main" id="{00000000-0008-0000-0100-00001E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139</xdr:row>
          <xdr:rowOff>0</xdr:rowOff>
        </xdr:from>
        <xdr:to>
          <xdr:col>14</xdr:col>
          <xdr:colOff>685800</xdr:colOff>
          <xdr:row>140</xdr:row>
          <xdr:rowOff>0</xdr:rowOff>
        </xdr:to>
        <xdr:sp macro="" textlink="">
          <xdr:nvSpPr>
            <xdr:cNvPr id="18719" name="UpMember1_34" hidden="1">
              <a:extLst>
                <a:ext uri="{63B3BB69-23CF-44E3-9099-C40C66FF867C}">
                  <a14:compatExt spid="_x0000_s18719"/>
                </a:ext>
                <a:ext uri="{FF2B5EF4-FFF2-40B4-BE49-F238E27FC236}">
                  <a16:creationId xmlns:a16="http://schemas.microsoft.com/office/drawing/2014/main" id="{00000000-0008-0000-0100-00001F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139</xdr:row>
          <xdr:rowOff>0</xdr:rowOff>
        </xdr:from>
        <xdr:to>
          <xdr:col>15</xdr:col>
          <xdr:colOff>676275</xdr:colOff>
          <xdr:row>140</xdr:row>
          <xdr:rowOff>0</xdr:rowOff>
        </xdr:to>
        <xdr:sp macro="" textlink="">
          <xdr:nvSpPr>
            <xdr:cNvPr id="18720" name="DownMember1_34" hidden="1">
              <a:extLst>
                <a:ext uri="{63B3BB69-23CF-44E3-9099-C40C66FF867C}">
                  <a14:compatExt spid="_x0000_s18720"/>
                </a:ext>
                <a:ext uri="{FF2B5EF4-FFF2-40B4-BE49-F238E27FC236}">
                  <a16:creationId xmlns:a16="http://schemas.microsoft.com/office/drawing/2014/main" id="{00000000-0008-0000-0100-000020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141</xdr:row>
          <xdr:rowOff>47625</xdr:rowOff>
        </xdr:from>
        <xdr:to>
          <xdr:col>12</xdr:col>
          <xdr:colOff>676275</xdr:colOff>
          <xdr:row>142</xdr:row>
          <xdr:rowOff>190500</xdr:rowOff>
        </xdr:to>
        <xdr:sp macro="" textlink="">
          <xdr:nvSpPr>
            <xdr:cNvPr id="18722" name="AddedMember1_35" hidden="1">
              <a:extLst>
                <a:ext uri="{63B3BB69-23CF-44E3-9099-C40C66FF867C}">
                  <a14:compatExt spid="_x0000_s18722"/>
                </a:ext>
                <a:ext uri="{FF2B5EF4-FFF2-40B4-BE49-F238E27FC236}">
                  <a16:creationId xmlns:a16="http://schemas.microsoft.com/office/drawing/2014/main" id="{00000000-0008-0000-0100-000022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141</xdr:row>
          <xdr:rowOff>47625</xdr:rowOff>
        </xdr:from>
        <xdr:to>
          <xdr:col>13</xdr:col>
          <xdr:colOff>685800</xdr:colOff>
          <xdr:row>142</xdr:row>
          <xdr:rowOff>190500</xdr:rowOff>
        </xdr:to>
        <xdr:sp macro="" textlink="">
          <xdr:nvSpPr>
            <xdr:cNvPr id="18723" name="ChangeMember1_35" hidden="1">
              <a:extLst>
                <a:ext uri="{63B3BB69-23CF-44E3-9099-C40C66FF867C}">
                  <a14:compatExt spid="_x0000_s18723"/>
                </a:ext>
                <a:ext uri="{FF2B5EF4-FFF2-40B4-BE49-F238E27FC236}">
                  <a16:creationId xmlns:a16="http://schemas.microsoft.com/office/drawing/2014/main" id="{00000000-0008-0000-0100-000023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47625</xdr:rowOff>
        </xdr:from>
        <xdr:to>
          <xdr:col>14</xdr:col>
          <xdr:colOff>685800</xdr:colOff>
          <xdr:row>142</xdr:row>
          <xdr:rowOff>190500</xdr:rowOff>
        </xdr:to>
        <xdr:sp macro="" textlink="">
          <xdr:nvSpPr>
            <xdr:cNvPr id="18724" name="UpMember1_35" hidden="1">
              <a:extLst>
                <a:ext uri="{63B3BB69-23CF-44E3-9099-C40C66FF867C}">
                  <a14:compatExt spid="_x0000_s18724"/>
                </a:ext>
                <a:ext uri="{FF2B5EF4-FFF2-40B4-BE49-F238E27FC236}">
                  <a16:creationId xmlns:a16="http://schemas.microsoft.com/office/drawing/2014/main" id="{00000000-0008-0000-0100-000024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141</xdr:row>
          <xdr:rowOff>47625</xdr:rowOff>
        </xdr:from>
        <xdr:to>
          <xdr:col>15</xdr:col>
          <xdr:colOff>676275</xdr:colOff>
          <xdr:row>142</xdr:row>
          <xdr:rowOff>190500</xdr:rowOff>
        </xdr:to>
        <xdr:sp macro="" textlink="">
          <xdr:nvSpPr>
            <xdr:cNvPr id="18725" name="DownMember1_35" hidden="1">
              <a:extLst>
                <a:ext uri="{63B3BB69-23CF-44E3-9099-C40C66FF867C}">
                  <a14:compatExt spid="_x0000_s18725"/>
                </a:ext>
                <a:ext uri="{FF2B5EF4-FFF2-40B4-BE49-F238E27FC236}">
                  <a16:creationId xmlns:a16="http://schemas.microsoft.com/office/drawing/2014/main" id="{00000000-0008-0000-0100-000025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144</xdr:row>
          <xdr:rowOff>47625</xdr:rowOff>
        </xdr:from>
        <xdr:to>
          <xdr:col>12</xdr:col>
          <xdr:colOff>676275</xdr:colOff>
          <xdr:row>146</xdr:row>
          <xdr:rowOff>0</xdr:rowOff>
        </xdr:to>
        <xdr:sp macro="" textlink="">
          <xdr:nvSpPr>
            <xdr:cNvPr id="18727" name="AddedMember1_36" hidden="1">
              <a:extLst>
                <a:ext uri="{63B3BB69-23CF-44E3-9099-C40C66FF867C}">
                  <a14:compatExt spid="_x0000_s18727"/>
                </a:ext>
                <a:ext uri="{FF2B5EF4-FFF2-40B4-BE49-F238E27FC236}">
                  <a16:creationId xmlns:a16="http://schemas.microsoft.com/office/drawing/2014/main" id="{00000000-0008-0000-0100-000027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144</xdr:row>
          <xdr:rowOff>47625</xdr:rowOff>
        </xdr:from>
        <xdr:to>
          <xdr:col>13</xdr:col>
          <xdr:colOff>685800</xdr:colOff>
          <xdr:row>146</xdr:row>
          <xdr:rowOff>0</xdr:rowOff>
        </xdr:to>
        <xdr:sp macro="" textlink="">
          <xdr:nvSpPr>
            <xdr:cNvPr id="18728" name="ChangeMember1_36" hidden="1">
              <a:extLst>
                <a:ext uri="{63B3BB69-23CF-44E3-9099-C40C66FF867C}">
                  <a14:compatExt spid="_x0000_s18728"/>
                </a:ext>
                <a:ext uri="{FF2B5EF4-FFF2-40B4-BE49-F238E27FC236}">
                  <a16:creationId xmlns:a16="http://schemas.microsoft.com/office/drawing/2014/main" id="{00000000-0008-0000-0100-000028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144</xdr:row>
          <xdr:rowOff>47625</xdr:rowOff>
        </xdr:from>
        <xdr:to>
          <xdr:col>14</xdr:col>
          <xdr:colOff>685800</xdr:colOff>
          <xdr:row>146</xdr:row>
          <xdr:rowOff>0</xdr:rowOff>
        </xdr:to>
        <xdr:sp macro="" textlink="">
          <xdr:nvSpPr>
            <xdr:cNvPr id="18729" name="UpMember1_36" hidden="1">
              <a:extLst>
                <a:ext uri="{63B3BB69-23CF-44E3-9099-C40C66FF867C}">
                  <a14:compatExt spid="_x0000_s18729"/>
                </a:ext>
                <a:ext uri="{FF2B5EF4-FFF2-40B4-BE49-F238E27FC236}">
                  <a16:creationId xmlns:a16="http://schemas.microsoft.com/office/drawing/2014/main" id="{00000000-0008-0000-0100-000029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144</xdr:row>
          <xdr:rowOff>47625</xdr:rowOff>
        </xdr:from>
        <xdr:to>
          <xdr:col>15</xdr:col>
          <xdr:colOff>676275</xdr:colOff>
          <xdr:row>146</xdr:row>
          <xdr:rowOff>0</xdr:rowOff>
        </xdr:to>
        <xdr:sp macro="" textlink="">
          <xdr:nvSpPr>
            <xdr:cNvPr id="18730" name="DownMember1_36" hidden="1">
              <a:extLst>
                <a:ext uri="{63B3BB69-23CF-44E3-9099-C40C66FF867C}">
                  <a14:compatExt spid="_x0000_s18730"/>
                </a:ext>
                <a:ext uri="{FF2B5EF4-FFF2-40B4-BE49-F238E27FC236}">
                  <a16:creationId xmlns:a16="http://schemas.microsoft.com/office/drawing/2014/main" id="{00000000-0008-0000-0100-00002A4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2</xdr:col>
          <xdr:colOff>57150</xdr:colOff>
          <xdr:row>3</xdr:row>
          <xdr:rowOff>257175</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3</xdr:row>
          <xdr:rowOff>38100</xdr:rowOff>
        </xdr:from>
        <xdr:to>
          <xdr:col>5</xdr:col>
          <xdr:colOff>428625</xdr:colOff>
          <xdr:row>3</xdr:row>
          <xdr:rowOff>295275</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2</xdr:col>
          <xdr:colOff>57150</xdr:colOff>
          <xdr:row>3</xdr:row>
          <xdr:rowOff>742950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85725</xdr:colOff>
          <xdr:row>3</xdr:row>
          <xdr:rowOff>514350</xdr:rowOff>
        </xdr:from>
        <xdr:to>
          <xdr:col>5</xdr:col>
          <xdr:colOff>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3</xdr:row>
          <xdr:rowOff>552450</xdr:rowOff>
        </xdr:from>
        <xdr:to>
          <xdr:col>5</xdr:col>
          <xdr:colOff>676275</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1343025</xdr:colOff>
          <xdr:row>3</xdr:row>
          <xdr:rowOff>514350</xdr:rowOff>
        </xdr:from>
        <xdr:to>
          <xdr:col>5</xdr:col>
          <xdr:colOff>1571625</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1600200</xdr:colOff>
          <xdr:row>3</xdr:row>
          <xdr:rowOff>514350</xdr:rowOff>
        </xdr:from>
        <xdr:to>
          <xdr:col>5</xdr:col>
          <xdr:colOff>1828800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1866900</xdr:colOff>
          <xdr:row>3</xdr:row>
          <xdr:rowOff>552450</xdr:rowOff>
        </xdr:from>
        <xdr:to>
          <xdr:col>6</xdr:col>
          <xdr:colOff>419100</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1</xdr:row>
          <xdr:rowOff>419100</xdr:rowOff>
        </xdr:from>
        <xdr:to>
          <xdr:col>2</xdr:col>
          <xdr:colOff>57150</xdr:colOff>
          <xdr:row>2</xdr:row>
          <xdr:rowOff>171450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1</xdr:row>
          <xdr:rowOff>400050</xdr:rowOff>
        </xdr:from>
        <xdr:to>
          <xdr:col>2</xdr:col>
          <xdr:colOff>76200</xdr:colOff>
          <xdr:row>2</xdr:row>
          <xdr:rowOff>171450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14257</xdr:colOff>
      <xdr:row>3</xdr:row>
      <xdr:rowOff>0</xdr:rowOff>
    </xdr:from>
    <xdr:to>
      <xdr:col>212</xdr:col>
      <xdr:colOff>550274</xdr:colOff>
      <xdr:row>4</xdr:row>
      <xdr:rowOff>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5</xdr:col>
          <xdr:colOff>333375</xdr:colOff>
          <xdr:row>3</xdr:row>
          <xdr:rowOff>1057275</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1343025</xdr:colOff>
          <xdr:row>3</xdr:row>
          <xdr:rowOff>771525</xdr:rowOff>
        </xdr:from>
        <xdr:to>
          <xdr:col>5</xdr:col>
          <xdr:colOff>1838325</xdr:colOff>
          <xdr:row>3</xdr:row>
          <xdr:rowOff>952500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1771650</xdr:colOff>
          <xdr:row>3</xdr:row>
          <xdr:rowOff>28575</xdr:rowOff>
        </xdr:from>
        <xdr:to>
          <xdr:col>6</xdr:col>
          <xdr:colOff>381000</xdr:colOff>
          <xdr:row>3</xdr:row>
          <xdr:rowOff>333375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371475</xdr:colOff>
          <xdr:row>3</xdr:row>
          <xdr:rowOff>28575</xdr:rowOff>
        </xdr:from>
        <xdr:to>
          <xdr:col>5</xdr:col>
          <xdr:colOff>1771650</xdr:colOff>
          <xdr:row>3</xdr:row>
          <xdr:rowOff>333375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371475</xdr:colOff>
          <xdr:row>3</xdr:row>
          <xdr:rowOff>219075</xdr:rowOff>
        </xdr:from>
        <xdr:to>
          <xdr:col>5</xdr:col>
          <xdr:colOff>1771650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714375</xdr:colOff>
      <xdr:row>3</xdr:row>
      <xdr:rowOff>257175</xdr:rowOff>
    </xdr:from>
    <xdr:to>
      <xdr:col>7</xdr:col>
      <xdr:colOff>151341</xdr:colOff>
      <xdr:row>3</xdr:row>
      <xdr:rowOff>409575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5525" y="1381125"/>
          <a:ext cx="152400" cy="152400"/>
        </a:xfrm>
        <a:prstGeom prst="rect">
          <a:avLst/>
        </a:prstGeom>
      </xdr:spPr>
    </xdr:pic>
    <xdr:clientData/>
  </xdr:twoCellAnchor>
  <xdr:twoCellAnchor editAs="oneCell">
    <xdr:from>
      <xdr:col>0</xdr:col>
      <xdr:colOff>21166</xdr:colOff>
      <xdr:row>0</xdr:row>
      <xdr:rowOff>10583</xdr:rowOff>
    </xdr:from>
    <xdr:to>
      <xdr:col>5</xdr:col>
      <xdr:colOff>1090082</xdr:colOff>
      <xdr:row>1</xdr:row>
      <xdr:rowOff>359833</xdr:rowOff>
    </xdr:to>
    <xdr:pic>
      <xdr:nvPicPr>
        <xdr:cNvPr id="28" name="Picture 27">
          <a:extLst>
            <a:ext uri="{FF2B5EF4-FFF2-40B4-BE49-F238E27FC236}">
              <a16:creationId xmlns:a16="http://schemas.microsoft.com/office/drawing/2014/main" id="{00000000-0008-0000-0200-00001C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166" y="10583"/>
          <a:ext cx="1598083" cy="709083"/>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390525</xdr:colOff>
          <xdr:row>0</xdr:row>
          <xdr:rowOff>0</xdr:rowOff>
        </xdr:to>
        <xdr:sp macro="" textlink="">
          <xdr:nvSpPr>
            <xdr:cNvPr id="3138" name="ConnectionDescriptorsInfoD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390525</xdr:colOff>
          <xdr:row>0</xdr:row>
          <xdr:rowOff>0</xdr:rowOff>
        </xdr:to>
        <xdr:sp macro="" textlink="">
          <xdr:nvSpPr>
            <xdr:cNvPr id="3139" name="MultipleReportManagerInfoD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390525</xdr:colOff>
          <xdr:row>0</xdr:row>
          <xdr:rowOff>0</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390525</xdr:colOff>
          <xdr:row>0</xdr:row>
          <xdr:rowOff>0</xdr:rowOff>
        </xdr:to>
        <xdr:sp macro="" textlink="">
          <xdr:nvSpPr>
            <xdr:cNvPr id="3141" name="ReportSubmitControl_1D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5</xdr:col>
          <xdr:colOff>381000</xdr:colOff>
          <xdr:row>0</xdr:row>
          <xdr:rowOff>0</xdr:rowOff>
        </xdr:to>
        <xdr:sp macro="" textlink="">
          <xdr:nvSpPr>
            <xdr:cNvPr id="3142" name="AnalyzerDynReportDC000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2" name="IBPPVSheetReportSh1" hidden="1">
          <a:extLst>
            <a:ext uri="{FF2B5EF4-FFF2-40B4-BE49-F238E27FC236}">
              <a16:creationId xmlns:a16="http://schemas.microsoft.com/office/drawing/2014/main" id="{0AE1AF59-6A22-A3FC-272C-05CAB433E954}"/>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8wkAAB+LCAAAAAAAAAq1Vttu2zgQ/RWDyEMvTCHl4qYGdgHFkr3eWpEjyV0khmEw0tglQpEGSbnxBvn3gqLkSxOkabP7RGKGM2d4znCke0S0lvSm1KBQZ4JGse8HSTdG2GwHPsJoGHWb1bqmeBuUCk2Yidw1JkJqyhfGfI+UkDqSOUiTfjbzrk18Tgvgigo+yFFnF5STAlAHeYfXCCOao86h6z7gl2ap6nxFiuaqr0vx7F2mGN3CukcXpbSMX/d73mgUR18Cv9dN0sv0yiTVtAAf5pRTTQW3TBrbEFbAzGWDeBD5A99BGM2lKFJaQAyMaLoymMasxQ/Gk1NjpioGwowLdbQsASMpGKN8ES0NlCl4OEQYFSKHDVCVThN2Ya+EzDUywVcg1aa8fR664zhOo4rNAoobkJXVG/vIELl/dhyFj4+OxmEFI8U3744qv4l4cZti9Dm4mvUG/XEcJIbTTLCy4E8k23C528TnREHeo0wbte9rMXnJmNXSqQjId+TZv1PoxZ+DNAn6YXCRIozEEiTRQnYtrcElwmhFWGmboN92nZnjzhwXTR/z0/XSoB/FVz9Nc3x2/FR8Q9HzwW777OzkI8J20242Z2bz8VP75FO9OXWewmjofx6j7TrHCJvlxC6n1eKaxmy7R/VijxxZ37GBmz7UWfZUsWps7fXcaRyEgdT7j2hXYOVTtWRkbcqfbOrfb6enzp8L/XUDsXGmUCwZ0WBrCwn/2ZFoqQ3ufp9MMZoLWZSM2J460OuloZGJjLCwehzR3K6b19IA1YGog/4YnI/CIDwP4jeTnTcw/TCZfpiEgXfhddOxN0wu06vp2/cHfx8cv3suIkl9P/iyjUmT6dtqkHh9Kcol5YvhtjzUmROmwLgHXIHU3rzSyo6aeiSGQHjrfevfd4kmPCcyb/mwosSo1BLzlpfpkjDVutRri5PZCWZzCDuAXYxKBcFdBqwLjMUwBwk8g20Bpi0dx/RURprZ9gvIpsd/l//em1+R4PC3JPjTwa3/HwW3nP9C7MPXiX30QrHdx2K/DPlh+/IS0PXfyz2iqmeNMWRiYedIVSDRkDc1lgpGQlW+QfV56Qn5OGyHq9o5klRIqtepiMW32v2A0ZIRzilfXAgN9cipS9p8m7OvhC/gL6q0kI1Tbb5O6h8hb2+EuLWDJrjLWJmbci3Cd+D+EbHzCQAA</a:t>
          </a:r>
        </a:p>
      </xdr:txBody>
    </xdr:sp>
    <xdr:clientData/>
  </xdr:twoCellAnchor>
  <xdr:twoCellAnchor>
    <xdr:from>
      <xdr:col>0</xdr:col>
      <xdr:colOff>0</xdr:colOff>
      <xdr:row>0</xdr:row>
      <xdr:rowOff>0</xdr:rowOff>
    </xdr:from>
    <xdr:to>
      <xdr:col>0</xdr:col>
      <xdr:colOff>0</xdr:colOff>
      <xdr:row>0</xdr:row>
      <xdr:rowOff>0</xdr:rowOff>
    </xdr:to>
    <xdr:sp macro="" textlink="">
      <xdr:nvSpPr>
        <xdr:cNvPr id="4" name="IBPPVSheetPlanningNoteSh1" hidden="1">
          <a:extLst>
            <a:ext uri="{FF2B5EF4-FFF2-40B4-BE49-F238E27FC236}">
              <a16:creationId xmlns:a16="http://schemas.microsoft.com/office/drawing/2014/main" id="{656C3508-FB8B-C8D0-948E-E8089118BB88}"/>
            </a:ext>
          </a:extLst>
        </xdr:cNvPr>
        <xdr:cNvSpPr txBox="1"/>
      </xdr:nvSpPr>
      <xdr:spPr>
        <a:xfrm>
          <a:off x="0" y="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AgAAAB+LCAAAAAAAAAqrrgUAQ7+mowIAAAA=</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ustomProperty" Target="../customProperty2.bin"/><Relationship Id="rId7" Type="http://schemas.openxmlformats.org/officeDocument/2006/relationships/control" Target="../activeX/activeX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7.xml"/><Relationship Id="rId21" Type="http://schemas.openxmlformats.org/officeDocument/2006/relationships/ctrlProp" Target="../ctrlProps/ctrlProp11.xml"/><Relationship Id="rId42" Type="http://schemas.openxmlformats.org/officeDocument/2006/relationships/ctrlProp" Target="../ctrlProps/ctrlProp32.xml"/><Relationship Id="rId63" Type="http://schemas.openxmlformats.org/officeDocument/2006/relationships/ctrlProp" Target="../ctrlProps/ctrlProp53.xml"/><Relationship Id="rId84" Type="http://schemas.openxmlformats.org/officeDocument/2006/relationships/ctrlProp" Target="../ctrlProps/ctrlProp74.xml"/><Relationship Id="rId138" Type="http://schemas.openxmlformats.org/officeDocument/2006/relationships/ctrlProp" Target="../ctrlProps/ctrlProp128.xml"/><Relationship Id="rId159" Type="http://schemas.openxmlformats.org/officeDocument/2006/relationships/ctrlProp" Target="../ctrlProps/ctrlProp149.xml"/><Relationship Id="rId170" Type="http://schemas.openxmlformats.org/officeDocument/2006/relationships/ctrlProp" Target="../ctrlProps/ctrlProp160.xml"/><Relationship Id="rId191" Type="http://schemas.openxmlformats.org/officeDocument/2006/relationships/ctrlProp" Target="../ctrlProps/ctrlProp181.xml"/><Relationship Id="rId205" Type="http://schemas.openxmlformats.org/officeDocument/2006/relationships/ctrlProp" Target="../ctrlProps/ctrlProp195.xml"/><Relationship Id="rId107" Type="http://schemas.openxmlformats.org/officeDocument/2006/relationships/ctrlProp" Target="../ctrlProps/ctrlProp97.xml"/><Relationship Id="rId11" Type="http://schemas.openxmlformats.org/officeDocument/2006/relationships/ctrlProp" Target="../ctrlProps/ctrlProp1.xml"/><Relationship Id="rId32" Type="http://schemas.openxmlformats.org/officeDocument/2006/relationships/ctrlProp" Target="../ctrlProps/ctrlProp22.xml"/><Relationship Id="rId53" Type="http://schemas.openxmlformats.org/officeDocument/2006/relationships/ctrlProp" Target="../ctrlProps/ctrlProp43.xml"/><Relationship Id="rId74" Type="http://schemas.openxmlformats.org/officeDocument/2006/relationships/ctrlProp" Target="../ctrlProps/ctrlProp64.xml"/><Relationship Id="rId128" Type="http://schemas.openxmlformats.org/officeDocument/2006/relationships/ctrlProp" Target="../ctrlProps/ctrlProp118.xml"/><Relationship Id="rId149" Type="http://schemas.openxmlformats.org/officeDocument/2006/relationships/ctrlProp" Target="../ctrlProps/ctrlProp139.xml"/><Relationship Id="rId5" Type="http://schemas.openxmlformats.org/officeDocument/2006/relationships/control" Target="../activeX/activeX2.xml"/><Relationship Id="rId95" Type="http://schemas.openxmlformats.org/officeDocument/2006/relationships/ctrlProp" Target="../ctrlProps/ctrlProp85.xml"/><Relationship Id="rId160" Type="http://schemas.openxmlformats.org/officeDocument/2006/relationships/ctrlProp" Target="../ctrlProps/ctrlProp150.xml"/><Relationship Id="rId181" Type="http://schemas.openxmlformats.org/officeDocument/2006/relationships/ctrlProp" Target="../ctrlProps/ctrlProp171.xml"/><Relationship Id="rId22" Type="http://schemas.openxmlformats.org/officeDocument/2006/relationships/ctrlProp" Target="../ctrlProps/ctrlProp12.xml"/><Relationship Id="rId43" Type="http://schemas.openxmlformats.org/officeDocument/2006/relationships/ctrlProp" Target="../ctrlProps/ctrlProp33.xml"/><Relationship Id="rId64" Type="http://schemas.openxmlformats.org/officeDocument/2006/relationships/ctrlProp" Target="../ctrlProps/ctrlProp54.xml"/><Relationship Id="rId118" Type="http://schemas.openxmlformats.org/officeDocument/2006/relationships/ctrlProp" Target="../ctrlProps/ctrlProp108.xml"/><Relationship Id="rId139" Type="http://schemas.openxmlformats.org/officeDocument/2006/relationships/ctrlProp" Target="../ctrlProps/ctrlProp129.xml"/><Relationship Id="rId85" Type="http://schemas.openxmlformats.org/officeDocument/2006/relationships/ctrlProp" Target="../ctrlProps/ctrlProp75.xml"/><Relationship Id="rId150" Type="http://schemas.openxmlformats.org/officeDocument/2006/relationships/ctrlProp" Target="../ctrlProps/ctrlProp140.xml"/><Relationship Id="rId171" Type="http://schemas.openxmlformats.org/officeDocument/2006/relationships/ctrlProp" Target="../ctrlProps/ctrlProp161.xml"/><Relationship Id="rId192" Type="http://schemas.openxmlformats.org/officeDocument/2006/relationships/ctrlProp" Target="../ctrlProps/ctrlProp182.xml"/><Relationship Id="rId206" Type="http://schemas.openxmlformats.org/officeDocument/2006/relationships/ctrlProp" Target="../ctrlProps/ctrlProp196.xml"/><Relationship Id="rId12" Type="http://schemas.openxmlformats.org/officeDocument/2006/relationships/ctrlProp" Target="../ctrlProps/ctrlProp2.xml"/><Relationship Id="rId33" Type="http://schemas.openxmlformats.org/officeDocument/2006/relationships/ctrlProp" Target="../ctrlProps/ctrlProp23.xml"/><Relationship Id="rId108" Type="http://schemas.openxmlformats.org/officeDocument/2006/relationships/ctrlProp" Target="../ctrlProps/ctrlProp98.xml"/><Relationship Id="rId129" Type="http://schemas.openxmlformats.org/officeDocument/2006/relationships/ctrlProp" Target="../ctrlProps/ctrlProp119.xml"/><Relationship Id="rId54" Type="http://schemas.openxmlformats.org/officeDocument/2006/relationships/ctrlProp" Target="../ctrlProps/ctrlProp44.xml"/><Relationship Id="rId75" Type="http://schemas.openxmlformats.org/officeDocument/2006/relationships/ctrlProp" Target="../ctrlProps/ctrlProp65.xml"/><Relationship Id="rId96" Type="http://schemas.openxmlformats.org/officeDocument/2006/relationships/ctrlProp" Target="../ctrlProps/ctrlProp86.xml"/><Relationship Id="rId140" Type="http://schemas.openxmlformats.org/officeDocument/2006/relationships/ctrlProp" Target="../ctrlProps/ctrlProp130.xml"/><Relationship Id="rId161" Type="http://schemas.openxmlformats.org/officeDocument/2006/relationships/ctrlProp" Target="../ctrlProps/ctrlProp151.xml"/><Relationship Id="rId182" Type="http://schemas.openxmlformats.org/officeDocument/2006/relationships/ctrlProp" Target="../ctrlProps/ctrlProp172.xml"/><Relationship Id="rId6" Type="http://schemas.openxmlformats.org/officeDocument/2006/relationships/image" Target="../media/image2.emf"/><Relationship Id="rId23" Type="http://schemas.openxmlformats.org/officeDocument/2006/relationships/ctrlProp" Target="../ctrlProps/ctrlProp13.xml"/><Relationship Id="rId119" Type="http://schemas.openxmlformats.org/officeDocument/2006/relationships/ctrlProp" Target="../ctrlProps/ctrlProp109.xml"/><Relationship Id="rId44" Type="http://schemas.openxmlformats.org/officeDocument/2006/relationships/ctrlProp" Target="../ctrlProps/ctrlProp34.xml"/><Relationship Id="rId65" Type="http://schemas.openxmlformats.org/officeDocument/2006/relationships/ctrlProp" Target="../ctrlProps/ctrlProp55.xml"/><Relationship Id="rId86" Type="http://schemas.openxmlformats.org/officeDocument/2006/relationships/ctrlProp" Target="../ctrlProps/ctrlProp76.xml"/><Relationship Id="rId130" Type="http://schemas.openxmlformats.org/officeDocument/2006/relationships/ctrlProp" Target="../ctrlProps/ctrlProp120.xml"/><Relationship Id="rId151" Type="http://schemas.openxmlformats.org/officeDocument/2006/relationships/ctrlProp" Target="../ctrlProps/ctrlProp141.xml"/><Relationship Id="rId172" Type="http://schemas.openxmlformats.org/officeDocument/2006/relationships/ctrlProp" Target="../ctrlProps/ctrlProp162.xml"/><Relationship Id="rId193" Type="http://schemas.openxmlformats.org/officeDocument/2006/relationships/ctrlProp" Target="../ctrlProps/ctrlProp183.xml"/><Relationship Id="rId207" Type="http://schemas.openxmlformats.org/officeDocument/2006/relationships/ctrlProp" Target="../ctrlProps/ctrlProp197.xml"/><Relationship Id="rId13" Type="http://schemas.openxmlformats.org/officeDocument/2006/relationships/ctrlProp" Target="../ctrlProps/ctrlProp3.xml"/><Relationship Id="rId109" Type="http://schemas.openxmlformats.org/officeDocument/2006/relationships/ctrlProp" Target="../ctrlProps/ctrlProp99.xml"/><Relationship Id="rId34" Type="http://schemas.openxmlformats.org/officeDocument/2006/relationships/ctrlProp" Target="../ctrlProps/ctrlProp24.xml"/><Relationship Id="rId55" Type="http://schemas.openxmlformats.org/officeDocument/2006/relationships/ctrlProp" Target="../ctrlProps/ctrlProp45.xml"/><Relationship Id="rId76" Type="http://schemas.openxmlformats.org/officeDocument/2006/relationships/ctrlProp" Target="../ctrlProps/ctrlProp66.xml"/><Relationship Id="rId97" Type="http://schemas.openxmlformats.org/officeDocument/2006/relationships/ctrlProp" Target="../ctrlProps/ctrlProp87.xml"/><Relationship Id="rId120" Type="http://schemas.openxmlformats.org/officeDocument/2006/relationships/ctrlProp" Target="../ctrlProps/ctrlProp110.xml"/><Relationship Id="rId141" Type="http://schemas.openxmlformats.org/officeDocument/2006/relationships/ctrlProp" Target="../ctrlProps/ctrlProp131.xml"/><Relationship Id="rId7" Type="http://schemas.openxmlformats.org/officeDocument/2006/relationships/control" Target="../activeX/activeX3.xml"/><Relationship Id="rId162" Type="http://schemas.openxmlformats.org/officeDocument/2006/relationships/ctrlProp" Target="../ctrlProps/ctrlProp152.xml"/><Relationship Id="rId183" Type="http://schemas.openxmlformats.org/officeDocument/2006/relationships/ctrlProp" Target="../ctrlProps/ctrlProp173.xml"/><Relationship Id="rId24" Type="http://schemas.openxmlformats.org/officeDocument/2006/relationships/ctrlProp" Target="../ctrlProps/ctrlProp14.xml"/><Relationship Id="rId45" Type="http://schemas.openxmlformats.org/officeDocument/2006/relationships/ctrlProp" Target="../ctrlProps/ctrlProp35.xml"/><Relationship Id="rId66" Type="http://schemas.openxmlformats.org/officeDocument/2006/relationships/ctrlProp" Target="../ctrlProps/ctrlProp56.xml"/><Relationship Id="rId87" Type="http://schemas.openxmlformats.org/officeDocument/2006/relationships/ctrlProp" Target="../ctrlProps/ctrlProp77.xml"/><Relationship Id="rId110" Type="http://schemas.openxmlformats.org/officeDocument/2006/relationships/ctrlProp" Target="../ctrlProps/ctrlProp100.xml"/><Relationship Id="rId131" Type="http://schemas.openxmlformats.org/officeDocument/2006/relationships/ctrlProp" Target="../ctrlProps/ctrlProp121.xml"/><Relationship Id="rId152" Type="http://schemas.openxmlformats.org/officeDocument/2006/relationships/ctrlProp" Target="../ctrlProps/ctrlProp142.xml"/><Relationship Id="rId173" Type="http://schemas.openxmlformats.org/officeDocument/2006/relationships/ctrlProp" Target="../ctrlProps/ctrlProp163.xml"/><Relationship Id="rId194" Type="http://schemas.openxmlformats.org/officeDocument/2006/relationships/ctrlProp" Target="../ctrlProps/ctrlProp184.xml"/><Relationship Id="rId208" Type="http://schemas.openxmlformats.org/officeDocument/2006/relationships/ctrlProp" Target="../ctrlProps/ctrlProp198.xml"/><Relationship Id="rId19" Type="http://schemas.openxmlformats.org/officeDocument/2006/relationships/ctrlProp" Target="../ctrlProps/ctrlProp9.xml"/><Relationship Id="rId14" Type="http://schemas.openxmlformats.org/officeDocument/2006/relationships/ctrlProp" Target="../ctrlProps/ctrlProp4.xml"/><Relationship Id="rId30" Type="http://schemas.openxmlformats.org/officeDocument/2006/relationships/ctrlProp" Target="../ctrlProps/ctrlProp20.xml"/><Relationship Id="rId35" Type="http://schemas.openxmlformats.org/officeDocument/2006/relationships/ctrlProp" Target="../ctrlProps/ctrlProp25.xml"/><Relationship Id="rId56" Type="http://schemas.openxmlformats.org/officeDocument/2006/relationships/ctrlProp" Target="../ctrlProps/ctrlProp46.xml"/><Relationship Id="rId77" Type="http://schemas.openxmlformats.org/officeDocument/2006/relationships/ctrlProp" Target="../ctrlProps/ctrlProp67.xml"/><Relationship Id="rId100" Type="http://schemas.openxmlformats.org/officeDocument/2006/relationships/ctrlProp" Target="../ctrlProps/ctrlProp90.xml"/><Relationship Id="rId105" Type="http://schemas.openxmlformats.org/officeDocument/2006/relationships/ctrlProp" Target="../ctrlProps/ctrlProp95.xml"/><Relationship Id="rId126" Type="http://schemas.openxmlformats.org/officeDocument/2006/relationships/ctrlProp" Target="../ctrlProps/ctrlProp116.xml"/><Relationship Id="rId147" Type="http://schemas.openxmlformats.org/officeDocument/2006/relationships/ctrlProp" Target="../ctrlProps/ctrlProp137.xml"/><Relationship Id="rId168" Type="http://schemas.openxmlformats.org/officeDocument/2006/relationships/ctrlProp" Target="../ctrlProps/ctrlProp158.xml"/><Relationship Id="rId8" Type="http://schemas.openxmlformats.org/officeDocument/2006/relationships/image" Target="../media/image3.emf"/><Relationship Id="rId51" Type="http://schemas.openxmlformats.org/officeDocument/2006/relationships/ctrlProp" Target="../ctrlProps/ctrlProp41.xml"/><Relationship Id="rId72" Type="http://schemas.openxmlformats.org/officeDocument/2006/relationships/ctrlProp" Target="../ctrlProps/ctrlProp62.xml"/><Relationship Id="rId93" Type="http://schemas.openxmlformats.org/officeDocument/2006/relationships/ctrlProp" Target="../ctrlProps/ctrlProp83.xml"/><Relationship Id="rId98" Type="http://schemas.openxmlformats.org/officeDocument/2006/relationships/ctrlProp" Target="../ctrlProps/ctrlProp88.xml"/><Relationship Id="rId121" Type="http://schemas.openxmlformats.org/officeDocument/2006/relationships/ctrlProp" Target="../ctrlProps/ctrlProp111.xml"/><Relationship Id="rId142" Type="http://schemas.openxmlformats.org/officeDocument/2006/relationships/ctrlProp" Target="../ctrlProps/ctrlProp132.xml"/><Relationship Id="rId163" Type="http://schemas.openxmlformats.org/officeDocument/2006/relationships/ctrlProp" Target="../ctrlProps/ctrlProp153.xml"/><Relationship Id="rId184" Type="http://schemas.openxmlformats.org/officeDocument/2006/relationships/ctrlProp" Target="../ctrlProps/ctrlProp174.xml"/><Relationship Id="rId189" Type="http://schemas.openxmlformats.org/officeDocument/2006/relationships/ctrlProp" Target="../ctrlProps/ctrlProp179.xml"/><Relationship Id="rId3" Type="http://schemas.openxmlformats.org/officeDocument/2006/relationships/drawing" Target="../drawings/drawing2.xml"/><Relationship Id="rId25" Type="http://schemas.openxmlformats.org/officeDocument/2006/relationships/ctrlProp" Target="../ctrlProps/ctrlProp15.xml"/><Relationship Id="rId46" Type="http://schemas.openxmlformats.org/officeDocument/2006/relationships/ctrlProp" Target="../ctrlProps/ctrlProp36.xml"/><Relationship Id="rId67" Type="http://schemas.openxmlformats.org/officeDocument/2006/relationships/ctrlProp" Target="../ctrlProps/ctrlProp57.xml"/><Relationship Id="rId116" Type="http://schemas.openxmlformats.org/officeDocument/2006/relationships/ctrlProp" Target="../ctrlProps/ctrlProp106.xml"/><Relationship Id="rId137" Type="http://schemas.openxmlformats.org/officeDocument/2006/relationships/ctrlProp" Target="../ctrlProps/ctrlProp127.xml"/><Relationship Id="rId158" Type="http://schemas.openxmlformats.org/officeDocument/2006/relationships/ctrlProp" Target="../ctrlProps/ctrlProp148.xml"/><Relationship Id="rId20" Type="http://schemas.openxmlformats.org/officeDocument/2006/relationships/ctrlProp" Target="../ctrlProps/ctrlProp10.xml"/><Relationship Id="rId41" Type="http://schemas.openxmlformats.org/officeDocument/2006/relationships/ctrlProp" Target="../ctrlProps/ctrlProp31.xml"/><Relationship Id="rId62" Type="http://schemas.openxmlformats.org/officeDocument/2006/relationships/ctrlProp" Target="../ctrlProps/ctrlProp52.xml"/><Relationship Id="rId83" Type="http://schemas.openxmlformats.org/officeDocument/2006/relationships/ctrlProp" Target="../ctrlProps/ctrlProp73.xml"/><Relationship Id="rId88" Type="http://schemas.openxmlformats.org/officeDocument/2006/relationships/ctrlProp" Target="../ctrlProps/ctrlProp78.xml"/><Relationship Id="rId111" Type="http://schemas.openxmlformats.org/officeDocument/2006/relationships/ctrlProp" Target="../ctrlProps/ctrlProp101.xml"/><Relationship Id="rId132" Type="http://schemas.openxmlformats.org/officeDocument/2006/relationships/ctrlProp" Target="../ctrlProps/ctrlProp122.xml"/><Relationship Id="rId153" Type="http://schemas.openxmlformats.org/officeDocument/2006/relationships/ctrlProp" Target="../ctrlProps/ctrlProp143.xml"/><Relationship Id="rId174" Type="http://schemas.openxmlformats.org/officeDocument/2006/relationships/ctrlProp" Target="../ctrlProps/ctrlProp164.xml"/><Relationship Id="rId179" Type="http://schemas.openxmlformats.org/officeDocument/2006/relationships/ctrlProp" Target="../ctrlProps/ctrlProp169.xml"/><Relationship Id="rId195" Type="http://schemas.openxmlformats.org/officeDocument/2006/relationships/ctrlProp" Target="../ctrlProps/ctrlProp185.xml"/><Relationship Id="rId209" Type="http://schemas.openxmlformats.org/officeDocument/2006/relationships/ctrlProp" Target="../ctrlProps/ctrlProp199.xml"/><Relationship Id="rId190" Type="http://schemas.openxmlformats.org/officeDocument/2006/relationships/ctrlProp" Target="../ctrlProps/ctrlProp180.xml"/><Relationship Id="rId204" Type="http://schemas.openxmlformats.org/officeDocument/2006/relationships/ctrlProp" Target="../ctrlProps/ctrlProp194.xml"/><Relationship Id="rId15" Type="http://schemas.openxmlformats.org/officeDocument/2006/relationships/ctrlProp" Target="../ctrlProps/ctrlProp5.xml"/><Relationship Id="rId36" Type="http://schemas.openxmlformats.org/officeDocument/2006/relationships/ctrlProp" Target="../ctrlProps/ctrlProp26.xml"/><Relationship Id="rId57" Type="http://schemas.openxmlformats.org/officeDocument/2006/relationships/ctrlProp" Target="../ctrlProps/ctrlProp47.xml"/><Relationship Id="rId106" Type="http://schemas.openxmlformats.org/officeDocument/2006/relationships/ctrlProp" Target="../ctrlProps/ctrlProp96.xml"/><Relationship Id="rId127" Type="http://schemas.openxmlformats.org/officeDocument/2006/relationships/ctrlProp" Target="../ctrlProps/ctrlProp117.xml"/><Relationship Id="rId10" Type="http://schemas.openxmlformats.org/officeDocument/2006/relationships/image" Target="../media/image4.emf"/><Relationship Id="rId31" Type="http://schemas.openxmlformats.org/officeDocument/2006/relationships/ctrlProp" Target="../ctrlProps/ctrlProp21.xml"/><Relationship Id="rId52" Type="http://schemas.openxmlformats.org/officeDocument/2006/relationships/ctrlProp" Target="../ctrlProps/ctrlProp42.xml"/><Relationship Id="rId73" Type="http://schemas.openxmlformats.org/officeDocument/2006/relationships/ctrlProp" Target="../ctrlProps/ctrlProp63.xml"/><Relationship Id="rId78" Type="http://schemas.openxmlformats.org/officeDocument/2006/relationships/ctrlProp" Target="../ctrlProps/ctrlProp68.xml"/><Relationship Id="rId94" Type="http://schemas.openxmlformats.org/officeDocument/2006/relationships/ctrlProp" Target="../ctrlProps/ctrlProp84.xml"/><Relationship Id="rId99" Type="http://schemas.openxmlformats.org/officeDocument/2006/relationships/ctrlProp" Target="../ctrlProps/ctrlProp89.xml"/><Relationship Id="rId101" Type="http://schemas.openxmlformats.org/officeDocument/2006/relationships/ctrlProp" Target="../ctrlProps/ctrlProp91.xml"/><Relationship Id="rId122" Type="http://schemas.openxmlformats.org/officeDocument/2006/relationships/ctrlProp" Target="../ctrlProps/ctrlProp112.xml"/><Relationship Id="rId143" Type="http://schemas.openxmlformats.org/officeDocument/2006/relationships/ctrlProp" Target="../ctrlProps/ctrlProp133.xml"/><Relationship Id="rId148" Type="http://schemas.openxmlformats.org/officeDocument/2006/relationships/ctrlProp" Target="../ctrlProps/ctrlProp138.xml"/><Relationship Id="rId164" Type="http://schemas.openxmlformats.org/officeDocument/2006/relationships/ctrlProp" Target="../ctrlProps/ctrlProp154.xml"/><Relationship Id="rId169" Type="http://schemas.openxmlformats.org/officeDocument/2006/relationships/ctrlProp" Target="../ctrlProps/ctrlProp159.xml"/><Relationship Id="rId185" Type="http://schemas.openxmlformats.org/officeDocument/2006/relationships/ctrlProp" Target="../ctrlProps/ctrlProp175.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70.xml"/><Relationship Id="rId210" Type="http://schemas.openxmlformats.org/officeDocument/2006/relationships/ctrlProp" Target="../ctrlProps/ctrlProp200.xml"/><Relationship Id="rId26" Type="http://schemas.openxmlformats.org/officeDocument/2006/relationships/ctrlProp" Target="../ctrlProps/ctrlProp16.xml"/><Relationship Id="rId47" Type="http://schemas.openxmlformats.org/officeDocument/2006/relationships/ctrlProp" Target="../ctrlProps/ctrlProp37.xml"/><Relationship Id="rId68" Type="http://schemas.openxmlformats.org/officeDocument/2006/relationships/ctrlProp" Target="../ctrlProps/ctrlProp58.xml"/><Relationship Id="rId89" Type="http://schemas.openxmlformats.org/officeDocument/2006/relationships/ctrlProp" Target="../ctrlProps/ctrlProp79.xml"/><Relationship Id="rId112" Type="http://schemas.openxmlformats.org/officeDocument/2006/relationships/ctrlProp" Target="../ctrlProps/ctrlProp102.xml"/><Relationship Id="rId133" Type="http://schemas.openxmlformats.org/officeDocument/2006/relationships/ctrlProp" Target="../ctrlProps/ctrlProp123.xml"/><Relationship Id="rId154" Type="http://schemas.openxmlformats.org/officeDocument/2006/relationships/ctrlProp" Target="../ctrlProps/ctrlProp144.xml"/><Relationship Id="rId175" Type="http://schemas.openxmlformats.org/officeDocument/2006/relationships/ctrlProp" Target="../ctrlProps/ctrlProp165.xml"/><Relationship Id="rId196" Type="http://schemas.openxmlformats.org/officeDocument/2006/relationships/ctrlProp" Target="../ctrlProps/ctrlProp186.xml"/><Relationship Id="rId200" Type="http://schemas.openxmlformats.org/officeDocument/2006/relationships/ctrlProp" Target="../ctrlProps/ctrlProp190.xml"/><Relationship Id="rId16" Type="http://schemas.openxmlformats.org/officeDocument/2006/relationships/ctrlProp" Target="../ctrlProps/ctrlProp6.xml"/><Relationship Id="rId37" Type="http://schemas.openxmlformats.org/officeDocument/2006/relationships/ctrlProp" Target="../ctrlProps/ctrlProp27.xml"/><Relationship Id="rId58" Type="http://schemas.openxmlformats.org/officeDocument/2006/relationships/ctrlProp" Target="../ctrlProps/ctrlProp48.xml"/><Relationship Id="rId79" Type="http://schemas.openxmlformats.org/officeDocument/2006/relationships/ctrlProp" Target="../ctrlProps/ctrlProp69.xml"/><Relationship Id="rId102" Type="http://schemas.openxmlformats.org/officeDocument/2006/relationships/ctrlProp" Target="../ctrlProps/ctrlProp92.xml"/><Relationship Id="rId123" Type="http://schemas.openxmlformats.org/officeDocument/2006/relationships/ctrlProp" Target="../ctrlProps/ctrlProp113.xml"/><Relationship Id="rId144" Type="http://schemas.openxmlformats.org/officeDocument/2006/relationships/ctrlProp" Target="../ctrlProps/ctrlProp134.xml"/><Relationship Id="rId90" Type="http://schemas.openxmlformats.org/officeDocument/2006/relationships/ctrlProp" Target="../ctrlProps/ctrlProp80.xml"/><Relationship Id="rId165" Type="http://schemas.openxmlformats.org/officeDocument/2006/relationships/ctrlProp" Target="../ctrlProps/ctrlProp155.xml"/><Relationship Id="rId186" Type="http://schemas.openxmlformats.org/officeDocument/2006/relationships/ctrlProp" Target="../ctrlProps/ctrlProp176.xml"/><Relationship Id="rId211" Type="http://schemas.openxmlformats.org/officeDocument/2006/relationships/ctrlProp" Target="../ctrlProps/ctrlProp201.xml"/><Relationship Id="rId27" Type="http://schemas.openxmlformats.org/officeDocument/2006/relationships/ctrlProp" Target="../ctrlProps/ctrlProp17.xml"/><Relationship Id="rId48" Type="http://schemas.openxmlformats.org/officeDocument/2006/relationships/ctrlProp" Target="../ctrlProps/ctrlProp38.xml"/><Relationship Id="rId69" Type="http://schemas.openxmlformats.org/officeDocument/2006/relationships/ctrlProp" Target="../ctrlProps/ctrlProp59.xml"/><Relationship Id="rId113" Type="http://schemas.openxmlformats.org/officeDocument/2006/relationships/ctrlProp" Target="../ctrlProps/ctrlProp103.xml"/><Relationship Id="rId134" Type="http://schemas.openxmlformats.org/officeDocument/2006/relationships/ctrlProp" Target="../ctrlProps/ctrlProp124.xml"/><Relationship Id="rId80" Type="http://schemas.openxmlformats.org/officeDocument/2006/relationships/ctrlProp" Target="../ctrlProps/ctrlProp70.xml"/><Relationship Id="rId155" Type="http://schemas.openxmlformats.org/officeDocument/2006/relationships/ctrlProp" Target="../ctrlProps/ctrlProp145.xml"/><Relationship Id="rId176" Type="http://schemas.openxmlformats.org/officeDocument/2006/relationships/ctrlProp" Target="../ctrlProps/ctrlProp166.xml"/><Relationship Id="rId197" Type="http://schemas.openxmlformats.org/officeDocument/2006/relationships/ctrlProp" Target="../ctrlProps/ctrlProp187.xml"/><Relationship Id="rId201" Type="http://schemas.openxmlformats.org/officeDocument/2006/relationships/ctrlProp" Target="../ctrlProps/ctrlProp191.xml"/><Relationship Id="rId17" Type="http://schemas.openxmlformats.org/officeDocument/2006/relationships/ctrlProp" Target="../ctrlProps/ctrlProp7.xml"/><Relationship Id="rId38" Type="http://schemas.openxmlformats.org/officeDocument/2006/relationships/ctrlProp" Target="../ctrlProps/ctrlProp28.xml"/><Relationship Id="rId59" Type="http://schemas.openxmlformats.org/officeDocument/2006/relationships/ctrlProp" Target="../ctrlProps/ctrlProp49.xml"/><Relationship Id="rId103" Type="http://schemas.openxmlformats.org/officeDocument/2006/relationships/ctrlProp" Target="../ctrlProps/ctrlProp93.xml"/><Relationship Id="rId124" Type="http://schemas.openxmlformats.org/officeDocument/2006/relationships/ctrlProp" Target="../ctrlProps/ctrlProp114.xml"/><Relationship Id="rId70" Type="http://schemas.openxmlformats.org/officeDocument/2006/relationships/ctrlProp" Target="../ctrlProps/ctrlProp60.xml"/><Relationship Id="rId91" Type="http://schemas.openxmlformats.org/officeDocument/2006/relationships/ctrlProp" Target="../ctrlProps/ctrlProp81.xml"/><Relationship Id="rId145" Type="http://schemas.openxmlformats.org/officeDocument/2006/relationships/ctrlProp" Target="../ctrlProps/ctrlProp135.xml"/><Relationship Id="rId166" Type="http://schemas.openxmlformats.org/officeDocument/2006/relationships/ctrlProp" Target="../ctrlProps/ctrlProp156.xml"/><Relationship Id="rId187" Type="http://schemas.openxmlformats.org/officeDocument/2006/relationships/ctrlProp" Target="../ctrlProps/ctrlProp177.xml"/><Relationship Id="rId1" Type="http://schemas.openxmlformats.org/officeDocument/2006/relationships/printerSettings" Target="../printerSettings/printerSettings2.bin"/><Relationship Id="rId212" Type="http://schemas.openxmlformats.org/officeDocument/2006/relationships/ctrlProp" Target="../ctrlProps/ctrlProp202.xml"/><Relationship Id="rId28" Type="http://schemas.openxmlformats.org/officeDocument/2006/relationships/ctrlProp" Target="../ctrlProps/ctrlProp18.xml"/><Relationship Id="rId49" Type="http://schemas.openxmlformats.org/officeDocument/2006/relationships/ctrlProp" Target="../ctrlProps/ctrlProp39.xml"/><Relationship Id="rId114" Type="http://schemas.openxmlformats.org/officeDocument/2006/relationships/ctrlProp" Target="../ctrlProps/ctrlProp104.xml"/><Relationship Id="rId60" Type="http://schemas.openxmlformats.org/officeDocument/2006/relationships/ctrlProp" Target="../ctrlProps/ctrlProp50.xml"/><Relationship Id="rId81" Type="http://schemas.openxmlformats.org/officeDocument/2006/relationships/ctrlProp" Target="../ctrlProps/ctrlProp71.xml"/><Relationship Id="rId135" Type="http://schemas.openxmlformats.org/officeDocument/2006/relationships/ctrlProp" Target="../ctrlProps/ctrlProp125.xml"/><Relationship Id="rId156" Type="http://schemas.openxmlformats.org/officeDocument/2006/relationships/ctrlProp" Target="../ctrlProps/ctrlProp146.xml"/><Relationship Id="rId177" Type="http://schemas.openxmlformats.org/officeDocument/2006/relationships/ctrlProp" Target="../ctrlProps/ctrlProp167.xml"/><Relationship Id="rId198" Type="http://schemas.openxmlformats.org/officeDocument/2006/relationships/ctrlProp" Target="../ctrlProps/ctrlProp188.xml"/><Relationship Id="rId202" Type="http://schemas.openxmlformats.org/officeDocument/2006/relationships/ctrlProp" Target="../ctrlProps/ctrlProp192.xml"/><Relationship Id="rId18" Type="http://schemas.openxmlformats.org/officeDocument/2006/relationships/ctrlProp" Target="../ctrlProps/ctrlProp8.xml"/><Relationship Id="rId39" Type="http://schemas.openxmlformats.org/officeDocument/2006/relationships/ctrlProp" Target="../ctrlProps/ctrlProp29.xml"/><Relationship Id="rId50" Type="http://schemas.openxmlformats.org/officeDocument/2006/relationships/ctrlProp" Target="../ctrlProps/ctrlProp40.xml"/><Relationship Id="rId104" Type="http://schemas.openxmlformats.org/officeDocument/2006/relationships/ctrlProp" Target="../ctrlProps/ctrlProp94.xml"/><Relationship Id="rId125" Type="http://schemas.openxmlformats.org/officeDocument/2006/relationships/ctrlProp" Target="../ctrlProps/ctrlProp115.xml"/><Relationship Id="rId146" Type="http://schemas.openxmlformats.org/officeDocument/2006/relationships/ctrlProp" Target="../ctrlProps/ctrlProp136.xml"/><Relationship Id="rId167" Type="http://schemas.openxmlformats.org/officeDocument/2006/relationships/ctrlProp" Target="../ctrlProps/ctrlProp157.xml"/><Relationship Id="rId188" Type="http://schemas.openxmlformats.org/officeDocument/2006/relationships/ctrlProp" Target="../ctrlProps/ctrlProp178.xml"/><Relationship Id="rId71" Type="http://schemas.openxmlformats.org/officeDocument/2006/relationships/ctrlProp" Target="../ctrlProps/ctrlProp61.xml"/><Relationship Id="rId92" Type="http://schemas.openxmlformats.org/officeDocument/2006/relationships/ctrlProp" Target="../ctrlProps/ctrlProp82.xml"/><Relationship Id="rId213" Type="http://schemas.openxmlformats.org/officeDocument/2006/relationships/comments" Target="../comments1.xml"/><Relationship Id="rId2" Type="http://schemas.openxmlformats.org/officeDocument/2006/relationships/customProperty" Target="../customProperty4.bin"/><Relationship Id="rId29" Type="http://schemas.openxmlformats.org/officeDocument/2006/relationships/ctrlProp" Target="../ctrlProps/ctrlProp19.xml"/><Relationship Id="rId40" Type="http://schemas.openxmlformats.org/officeDocument/2006/relationships/ctrlProp" Target="../ctrlProps/ctrlProp30.xml"/><Relationship Id="rId115" Type="http://schemas.openxmlformats.org/officeDocument/2006/relationships/ctrlProp" Target="../ctrlProps/ctrlProp105.xml"/><Relationship Id="rId136" Type="http://schemas.openxmlformats.org/officeDocument/2006/relationships/ctrlProp" Target="../ctrlProps/ctrlProp126.xml"/><Relationship Id="rId157" Type="http://schemas.openxmlformats.org/officeDocument/2006/relationships/ctrlProp" Target="../ctrlProps/ctrlProp147.xml"/><Relationship Id="rId178" Type="http://schemas.openxmlformats.org/officeDocument/2006/relationships/ctrlProp" Target="../ctrlProps/ctrlProp168.xml"/><Relationship Id="rId61" Type="http://schemas.openxmlformats.org/officeDocument/2006/relationships/ctrlProp" Target="../ctrlProps/ctrlProp51.xml"/><Relationship Id="rId82" Type="http://schemas.openxmlformats.org/officeDocument/2006/relationships/ctrlProp" Target="../ctrlProps/ctrlProp72.xml"/><Relationship Id="rId199" Type="http://schemas.openxmlformats.org/officeDocument/2006/relationships/ctrlProp" Target="../ctrlProps/ctrlProp189.xml"/><Relationship Id="rId203" Type="http://schemas.openxmlformats.org/officeDocument/2006/relationships/ctrlProp" Target="../ctrlProps/ctrlProp193.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0.xml"/><Relationship Id="rId21" Type="http://schemas.openxmlformats.org/officeDocument/2006/relationships/control" Target="../activeX/activeX11.xml"/><Relationship Id="rId34" Type="http://schemas.openxmlformats.org/officeDocument/2006/relationships/image" Target="../media/image18.emf"/><Relationship Id="rId42" Type="http://schemas.openxmlformats.org/officeDocument/2006/relationships/control" Target="../activeX/activeX22.xml"/><Relationship Id="rId47" Type="http://schemas.openxmlformats.org/officeDocument/2006/relationships/control" Target="../activeX/activeX25.xml"/><Relationship Id="rId7" Type="http://schemas.openxmlformats.org/officeDocument/2006/relationships/vmlDrawing" Target="../drawings/vmlDrawing3.vml"/><Relationship Id="rId2" Type="http://schemas.openxmlformats.org/officeDocument/2006/relationships/customProperty" Target="../customProperty5.bin"/><Relationship Id="rId16" Type="http://schemas.openxmlformats.org/officeDocument/2006/relationships/image" Target="../media/image9.emf"/><Relationship Id="rId29"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drawing" Target="../drawings/drawing3.xml"/><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image" Target="../media/image21.emf"/><Relationship Id="rId45" Type="http://schemas.openxmlformats.org/officeDocument/2006/relationships/control" Target="../activeX/activeX24.xml"/><Relationship Id="rId5" Type="http://schemas.openxmlformats.org/officeDocument/2006/relationships/customProperty" Target="../customProperty8.bin"/><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4" Type="http://schemas.openxmlformats.org/officeDocument/2006/relationships/image" Target="../media/image22.emf"/><Relationship Id="rId4" Type="http://schemas.openxmlformats.org/officeDocument/2006/relationships/customProperty" Target="../customProperty7.bin"/><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 Id="rId43" Type="http://schemas.openxmlformats.org/officeDocument/2006/relationships/control" Target="../activeX/activeX23.xml"/><Relationship Id="rId48" Type="http://schemas.openxmlformats.org/officeDocument/2006/relationships/image" Target="../media/image24.emf"/><Relationship Id="rId8" Type="http://schemas.openxmlformats.org/officeDocument/2006/relationships/image" Target="../media/image5.png"/><Relationship Id="rId3" Type="http://schemas.openxmlformats.org/officeDocument/2006/relationships/customProperty" Target="../customProperty6.bin"/><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image" Target="../media/image20.emf"/><Relationship Id="rId46" Type="http://schemas.openxmlformats.org/officeDocument/2006/relationships/image" Target="../media/image23.emf"/><Relationship Id="rId20" Type="http://schemas.openxmlformats.org/officeDocument/2006/relationships/image" Target="../media/image11.emf"/><Relationship Id="rId41"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GU56"/>
  <sheetViews>
    <sheetView topLeftCell="A55" workbookViewId="0"/>
  </sheetViews>
  <sheetFormatPr defaultRowHeight="15" x14ac:dyDescent="0.25"/>
  <cols>
    <col min="1" max="1" width="13.28515625" bestFit="1" customWidth="1"/>
  </cols>
  <sheetData>
    <row r="1" spans="1:203" ht="409.5" x14ac:dyDescent="0.25">
      <c r="A1" t="s">
        <v>0</v>
      </c>
      <c r="B1" s="56" t="s">
        <v>1</v>
      </c>
    </row>
    <row r="2" spans="1:203" x14ac:dyDescent="0.25">
      <c r="A2" t="s">
        <v>2</v>
      </c>
      <c r="B2" s="56"/>
    </row>
    <row r="3" spans="1:203" x14ac:dyDescent="0.25">
      <c r="A3" t="s">
        <v>3</v>
      </c>
      <c r="C3" t="s">
        <v>4</v>
      </c>
      <c r="D3" t="s">
        <v>5</v>
      </c>
      <c r="E3" t="s">
        <v>6</v>
      </c>
      <c r="F3" t="s">
        <v>7</v>
      </c>
      <c r="G3" t="s">
        <v>8</v>
      </c>
      <c r="H3" t="s">
        <v>9</v>
      </c>
      <c r="I3" t="s">
        <v>10</v>
      </c>
      <c r="J3" t="s">
        <v>11</v>
      </c>
      <c r="K3" t="s">
        <v>12</v>
      </c>
      <c r="L3" t="s">
        <v>13</v>
      </c>
      <c r="M3" t="s">
        <v>14</v>
      </c>
      <c r="N3" t="s">
        <v>15</v>
      </c>
      <c r="O3" t="s">
        <v>16</v>
      </c>
      <c r="P3" t="s">
        <v>17</v>
      </c>
      <c r="Q3" t="s">
        <v>18</v>
      </c>
      <c r="R3" t="s">
        <v>19</v>
      </c>
      <c r="S3" t="s">
        <v>20</v>
      </c>
      <c r="T3" t="s">
        <v>21</v>
      </c>
      <c r="U3" t="s">
        <v>22</v>
      </c>
      <c r="V3" t="s">
        <v>23</v>
      </c>
      <c r="W3" t="s">
        <v>24</v>
      </c>
      <c r="X3" t="s">
        <v>25</v>
      </c>
      <c r="Y3" t="s">
        <v>26</v>
      </c>
      <c r="Z3" t="s">
        <v>27</v>
      </c>
      <c r="AA3" t="s">
        <v>28</v>
      </c>
      <c r="AB3" t="s">
        <v>29</v>
      </c>
      <c r="AC3" t="s">
        <v>30</v>
      </c>
      <c r="AD3" t="s">
        <v>31</v>
      </c>
      <c r="AE3" t="s">
        <v>32</v>
      </c>
      <c r="AF3" t="s">
        <v>33</v>
      </c>
      <c r="AG3" t="s">
        <v>34</v>
      </c>
      <c r="AH3" t="s">
        <v>35</v>
      </c>
      <c r="AI3" t="s">
        <v>36</v>
      </c>
      <c r="AJ3" t="s">
        <v>37</v>
      </c>
      <c r="AK3" t="s">
        <v>38</v>
      </c>
      <c r="AL3" t="s">
        <v>39</v>
      </c>
      <c r="AM3" t="s">
        <v>40</v>
      </c>
      <c r="AN3" t="s">
        <v>41</v>
      </c>
      <c r="AO3" t="s">
        <v>42</v>
      </c>
      <c r="AP3" t="s">
        <v>43</v>
      </c>
      <c r="AQ3" t="s">
        <v>44</v>
      </c>
      <c r="AR3" t="s">
        <v>45</v>
      </c>
      <c r="AS3" t="s">
        <v>46</v>
      </c>
      <c r="AT3" t="s">
        <v>47</v>
      </c>
      <c r="AU3" t="s">
        <v>48</v>
      </c>
      <c r="AV3" t="s">
        <v>49</v>
      </c>
      <c r="AW3" t="s">
        <v>50</v>
      </c>
      <c r="AX3" t="s">
        <v>51</v>
      </c>
      <c r="AY3" t="s">
        <v>52</v>
      </c>
      <c r="AZ3" t="s">
        <v>53</v>
      </c>
      <c r="BA3" t="s">
        <v>54</v>
      </c>
      <c r="BB3" t="s">
        <v>55</v>
      </c>
      <c r="BC3" t="s">
        <v>56</v>
      </c>
      <c r="BD3" t="s">
        <v>57</v>
      </c>
      <c r="BE3" t="s">
        <v>58</v>
      </c>
      <c r="BF3" t="s">
        <v>59</v>
      </c>
      <c r="BG3" t="s">
        <v>60</v>
      </c>
      <c r="BH3" t="s">
        <v>61</v>
      </c>
      <c r="BI3" t="s">
        <v>62</v>
      </c>
      <c r="BJ3" t="s">
        <v>63</v>
      </c>
      <c r="BK3" t="s">
        <v>64</v>
      </c>
      <c r="BL3" t="s">
        <v>65</v>
      </c>
      <c r="BM3" t="s">
        <v>66</v>
      </c>
      <c r="BN3" t="s">
        <v>67</v>
      </c>
      <c r="BO3" t="s">
        <v>68</v>
      </c>
      <c r="BP3" t="s">
        <v>69</v>
      </c>
      <c r="BQ3" t="s">
        <v>70</v>
      </c>
      <c r="BR3" t="s">
        <v>71</v>
      </c>
      <c r="BS3" t="s">
        <v>72</v>
      </c>
      <c r="BT3" t="s">
        <v>73</v>
      </c>
      <c r="BU3" t="s">
        <v>74</v>
      </c>
      <c r="BV3" t="s">
        <v>75</v>
      </c>
      <c r="BW3" t="s">
        <v>76</v>
      </c>
      <c r="BX3" t="s">
        <v>77</v>
      </c>
      <c r="BY3" t="s">
        <v>78</v>
      </c>
      <c r="BZ3" t="s">
        <v>79</v>
      </c>
      <c r="CA3" t="s">
        <v>80</v>
      </c>
      <c r="CB3" t="s">
        <v>81</v>
      </c>
      <c r="CC3" t="s">
        <v>82</v>
      </c>
      <c r="CD3" t="s">
        <v>83</v>
      </c>
      <c r="CE3" t="s">
        <v>84</v>
      </c>
      <c r="CF3" t="s">
        <v>85</v>
      </c>
      <c r="CG3" t="s">
        <v>86</v>
      </c>
      <c r="CH3" t="s">
        <v>87</v>
      </c>
      <c r="CI3" t="s">
        <v>88</v>
      </c>
      <c r="CJ3" t="s">
        <v>89</v>
      </c>
      <c r="CK3" t="s">
        <v>90</v>
      </c>
      <c r="CL3" t="s">
        <v>91</v>
      </c>
      <c r="CM3" t="s">
        <v>92</v>
      </c>
      <c r="CN3" t="s">
        <v>93</v>
      </c>
      <c r="CO3" t="s">
        <v>94</v>
      </c>
      <c r="CP3" t="s">
        <v>95</v>
      </c>
      <c r="CQ3" t="s">
        <v>96</v>
      </c>
      <c r="CR3" t="s">
        <v>97</v>
      </c>
      <c r="CS3" t="s">
        <v>98</v>
      </c>
      <c r="CT3" t="s">
        <v>99</v>
      </c>
      <c r="CU3" t="s">
        <v>100</v>
      </c>
      <c r="CV3" t="s">
        <v>101</v>
      </c>
      <c r="CW3" t="s">
        <v>102</v>
      </c>
      <c r="CX3" t="s">
        <v>103</v>
      </c>
      <c r="CY3" t="s">
        <v>104</v>
      </c>
      <c r="CZ3" t="s">
        <v>105</v>
      </c>
      <c r="DA3" t="s">
        <v>106</v>
      </c>
      <c r="DB3" t="s">
        <v>107</v>
      </c>
      <c r="DC3" t="s">
        <v>108</v>
      </c>
      <c r="DD3" t="s">
        <v>109</v>
      </c>
      <c r="DE3" t="s">
        <v>110</v>
      </c>
      <c r="DF3" t="s">
        <v>111</v>
      </c>
      <c r="DG3" t="s">
        <v>112</v>
      </c>
      <c r="DH3" t="s">
        <v>113</v>
      </c>
      <c r="DI3" t="s">
        <v>114</v>
      </c>
      <c r="DJ3" t="s">
        <v>115</v>
      </c>
      <c r="DK3" t="s">
        <v>116</v>
      </c>
      <c r="DL3" t="s">
        <v>117</v>
      </c>
      <c r="DM3" t="s">
        <v>118</v>
      </c>
      <c r="DN3" t="s">
        <v>119</v>
      </c>
      <c r="DO3" t="s">
        <v>120</v>
      </c>
      <c r="DP3" t="s">
        <v>121</v>
      </c>
      <c r="DQ3" t="s">
        <v>122</v>
      </c>
      <c r="DR3" t="s">
        <v>123</v>
      </c>
      <c r="DS3" t="s">
        <v>124</v>
      </c>
      <c r="DT3" t="s">
        <v>125</v>
      </c>
      <c r="DU3" t="s">
        <v>126</v>
      </c>
      <c r="DV3" t="s">
        <v>127</v>
      </c>
      <c r="DW3" t="s">
        <v>128</v>
      </c>
      <c r="DX3" t="s">
        <v>129</v>
      </c>
      <c r="DY3" t="s">
        <v>130</v>
      </c>
      <c r="DZ3" t="s">
        <v>131</v>
      </c>
      <c r="EA3" t="s">
        <v>132</v>
      </c>
      <c r="EB3" t="s">
        <v>133</v>
      </c>
      <c r="EC3" t="s">
        <v>134</v>
      </c>
      <c r="ED3" t="s">
        <v>135</v>
      </c>
      <c r="EE3" t="s">
        <v>136</v>
      </c>
      <c r="EF3" t="s">
        <v>137</v>
      </c>
      <c r="EG3" t="s">
        <v>138</v>
      </c>
      <c r="EH3" t="s">
        <v>139</v>
      </c>
      <c r="EI3" t="s">
        <v>140</v>
      </c>
      <c r="EJ3" t="s">
        <v>141</v>
      </c>
      <c r="EK3" t="s">
        <v>142</v>
      </c>
      <c r="EL3" t="s">
        <v>143</v>
      </c>
      <c r="EM3" t="s">
        <v>144</v>
      </c>
      <c r="EN3" t="s">
        <v>145</v>
      </c>
      <c r="EO3" t="s">
        <v>146</v>
      </c>
      <c r="EP3" t="s">
        <v>147</v>
      </c>
      <c r="EQ3" t="s">
        <v>148</v>
      </c>
      <c r="ER3" t="s">
        <v>149</v>
      </c>
      <c r="ES3" t="s">
        <v>150</v>
      </c>
      <c r="ET3" t="s">
        <v>151</v>
      </c>
      <c r="EU3" t="s">
        <v>152</v>
      </c>
      <c r="EV3" t="s">
        <v>153</v>
      </c>
      <c r="EW3" t="s">
        <v>154</v>
      </c>
      <c r="EX3" t="s">
        <v>155</v>
      </c>
      <c r="EY3" t="s">
        <v>156</v>
      </c>
      <c r="EZ3" t="s">
        <v>157</v>
      </c>
      <c r="FA3" t="s">
        <v>158</v>
      </c>
      <c r="FB3" t="s">
        <v>159</v>
      </c>
      <c r="FC3" t="s">
        <v>160</v>
      </c>
      <c r="FD3" t="s">
        <v>161</v>
      </c>
      <c r="FE3" t="s">
        <v>162</v>
      </c>
      <c r="FF3" t="s">
        <v>163</v>
      </c>
      <c r="FG3" t="s">
        <v>164</v>
      </c>
      <c r="FH3" t="s">
        <v>165</v>
      </c>
      <c r="FI3" t="s">
        <v>166</v>
      </c>
      <c r="FJ3" t="s">
        <v>167</v>
      </c>
      <c r="FK3" t="s">
        <v>168</v>
      </c>
      <c r="FL3" t="s">
        <v>169</v>
      </c>
      <c r="FM3" t="s">
        <v>170</v>
      </c>
      <c r="FN3" t="s">
        <v>171</v>
      </c>
      <c r="FO3" t="s">
        <v>172</v>
      </c>
      <c r="FP3" t="s">
        <v>173</v>
      </c>
      <c r="FQ3" t="s">
        <v>174</v>
      </c>
      <c r="FR3" t="s">
        <v>175</v>
      </c>
      <c r="FS3" t="s">
        <v>176</v>
      </c>
      <c r="FT3" t="s">
        <v>177</v>
      </c>
      <c r="FU3" t="s">
        <v>178</v>
      </c>
      <c r="FV3" t="s">
        <v>179</v>
      </c>
      <c r="FW3" t="s">
        <v>180</v>
      </c>
      <c r="FX3" t="s">
        <v>181</v>
      </c>
      <c r="FY3" t="s">
        <v>182</v>
      </c>
      <c r="FZ3" t="s">
        <v>183</v>
      </c>
      <c r="GA3" t="s">
        <v>184</v>
      </c>
      <c r="GB3" t="s">
        <v>185</v>
      </c>
      <c r="GC3" t="s">
        <v>186</v>
      </c>
      <c r="GD3" t="s">
        <v>187</v>
      </c>
      <c r="GE3" t="s">
        <v>188</v>
      </c>
      <c r="GF3" t="s">
        <v>189</v>
      </c>
      <c r="GG3" t="s">
        <v>190</v>
      </c>
      <c r="GH3" t="s">
        <v>191</v>
      </c>
      <c r="GI3" t="s">
        <v>192</v>
      </c>
      <c r="GJ3" t="s">
        <v>193</v>
      </c>
      <c r="GK3" t="s">
        <v>194</v>
      </c>
      <c r="GL3" t="s">
        <v>195</v>
      </c>
      <c r="GM3" t="s">
        <v>196</v>
      </c>
      <c r="GN3" t="s">
        <v>197</v>
      </c>
      <c r="GO3" t="s">
        <v>198</v>
      </c>
      <c r="GP3" t="s">
        <v>199</v>
      </c>
      <c r="GQ3" t="s">
        <v>200</v>
      </c>
      <c r="GR3" t="s">
        <v>201</v>
      </c>
      <c r="GS3" t="s">
        <v>202</v>
      </c>
      <c r="GT3" t="s">
        <v>203</v>
      </c>
      <c r="GU3" t="s">
        <v>204</v>
      </c>
    </row>
    <row r="4" spans="1:203" x14ac:dyDescent="0.25">
      <c r="A4" t="s">
        <v>3</v>
      </c>
      <c r="B4" t="s">
        <v>205</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0</v>
      </c>
      <c r="GC4">
        <v>0</v>
      </c>
      <c r="GD4">
        <v>0</v>
      </c>
      <c r="GE4">
        <v>0</v>
      </c>
      <c r="GF4">
        <v>0</v>
      </c>
      <c r="GG4">
        <v>0</v>
      </c>
      <c r="GH4">
        <v>0</v>
      </c>
      <c r="GI4">
        <v>0</v>
      </c>
      <c r="GJ4">
        <v>0</v>
      </c>
      <c r="GK4">
        <v>0</v>
      </c>
      <c r="GL4">
        <v>0</v>
      </c>
      <c r="GM4">
        <v>0</v>
      </c>
      <c r="GN4">
        <v>0</v>
      </c>
      <c r="GO4">
        <v>0</v>
      </c>
      <c r="GP4">
        <v>0</v>
      </c>
      <c r="GQ4">
        <v>0</v>
      </c>
      <c r="GR4">
        <v>0</v>
      </c>
      <c r="GS4">
        <v>0</v>
      </c>
      <c r="GT4">
        <v>0</v>
      </c>
      <c r="GU4">
        <v>0</v>
      </c>
    </row>
    <row r="5" spans="1:203" x14ac:dyDescent="0.25">
      <c r="A5" t="s">
        <v>3</v>
      </c>
      <c r="B5" t="s">
        <v>206</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0</v>
      </c>
      <c r="GC5">
        <v>0</v>
      </c>
      <c r="GD5">
        <v>0</v>
      </c>
      <c r="GE5">
        <v>0</v>
      </c>
      <c r="GF5">
        <v>0</v>
      </c>
      <c r="GG5">
        <v>0</v>
      </c>
      <c r="GH5">
        <v>0</v>
      </c>
      <c r="GI5">
        <v>0</v>
      </c>
      <c r="GJ5">
        <v>0</v>
      </c>
      <c r="GK5">
        <v>0</v>
      </c>
      <c r="GL5">
        <v>0</v>
      </c>
      <c r="GM5">
        <v>0</v>
      </c>
      <c r="GN5">
        <v>0</v>
      </c>
      <c r="GO5">
        <v>0</v>
      </c>
      <c r="GP5">
        <v>0</v>
      </c>
      <c r="GQ5">
        <v>0</v>
      </c>
      <c r="GR5">
        <v>0</v>
      </c>
      <c r="GS5">
        <v>0</v>
      </c>
      <c r="GT5">
        <v>0</v>
      </c>
      <c r="GU5">
        <v>0</v>
      </c>
    </row>
    <row r="6" spans="1:203" x14ac:dyDescent="0.25">
      <c r="A6" t="s">
        <v>3</v>
      </c>
      <c r="B6" t="s">
        <v>207</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c r="DC6">
        <v>0</v>
      </c>
      <c r="DD6">
        <v>0</v>
      </c>
      <c r="DE6">
        <v>0</v>
      </c>
      <c r="DF6">
        <v>0</v>
      </c>
      <c r="DG6">
        <v>0</v>
      </c>
      <c r="DH6">
        <v>0</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row>
    <row r="7" spans="1:203" x14ac:dyDescent="0.25">
      <c r="A7" t="s">
        <v>3</v>
      </c>
      <c r="B7" t="s">
        <v>208</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c r="DA7">
        <v>0</v>
      </c>
      <c r="DB7">
        <v>0</v>
      </c>
      <c r="DC7">
        <v>0</v>
      </c>
      <c r="DD7">
        <v>0</v>
      </c>
      <c r="DE7">
        <v>0</v>
      </c>
      <c r="DF7">
        <v>0</v>
      </c>
      <c r="DG7">
        <v>0</v>
      </c>
      <c r="DH7">
        <v>0</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0</v>
      </c>
      <c r="GK7">
        <v>0</v>
      </c>
      <c r="GL7">
        <v>0</v>
      </c>
      <c r="GM7">
        <v>0</v>
      </c>
      <c r="GN7">
        <v>0</v>
      </c>
      <c r="GO7">
        <v>0</v>
      </c>
      <c r="GP7">
        <v>0</v>
      </c>
      <c r="GQ7">
        <v>0</v>
      </c>
      <c r="GR7">
        <v>0</v>
      </c>
      <c r="GS7">
        <v>0</v>
      </c>
      <c r="GT7">
        <v>0</v>
      </c>
      <c r="GU7">
        <v>0</v>
      </c>
    </row>
    <row r="8" spans="1:203" x14ac:dyDescent="0.25">
      <c r="A8" t="s">
        <v>3</v>
      </c>
      <c r="B8" t="s">
        <v>209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D8">
        <v>0</v>
      </c>
      <c r="DE8">
        <v>0</v>
      </c>
      <c r="DF8">
        <v>0</v>
      </c>
      <c r="DG8">
        <v>0</v>
      </c>
      <c r="DH8">
        <v>0</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0</v>
      </c>
      <c r="GC8">
        <v>0</v>
      </c>
      <c r="GD8">
        <v>0</v>
      </c>
      <c r="GE8">
        <v>0</v>
      </c>
      <c r="GF8">
        <v>0</v>
      </c>
      <c r="GG8">
        <v>0</v>
      </c>
      <c r="GH8">
        <v>0</v>
      </c>
      <c r="GI8">
        <v>0</v>
      </c>
      <c r="GJ8">
        <v>0</v>
      </c>
      <c r="GK8">
        <v>0</v>
      </c>
      <c r="GL8">
        <v>0</v>
      </c>
      <c r="GM8">
        <v>0</v>
      </c>
      <c r="GN8">
        <v>0</v>
      </c>
      <c r="GO8">
        <v>0</v>
      </c>
      <c r="GP8">
        <v>0</v>
      </c>
      <c r="GQ8">
        <v>0</v>
      </c>
      <c r="GR8">
        <v>0</v>
      </c>
      <c r="GS8">
        <v>0</v>
      </c>
      <c r="GT8">
        <v>0</v>
      </c>
      <c r="GU8">
        <v>0</v>
      </c>
    </row>
    <row r="21" spans="1:8" x14ac:dyDescent="0.25">
      <c r="A21" t="s">
        <v>210</v>
      </c>
    </row>
    <row r="22" spans="1:8" x14ac:dyDescent="0.25">
      <c r="A22" t="s">
        <v>211</v>
      </c>
      <c r="B22" t="s">
        <v>212</v>
      </c>
    </row>
    <row r="23" spans="1:8" x14ac:dyDescent="0.25">
      <c r="A23" t="s">
        <v>213</v>
      </c>
      <c r="B23" t="s">
        <v>214</v>
      </c>
    </row>
    <row r="24" spans="1:8" x14ac:dyDescent="0.25">
      <c r="A24" t="s">
        <v>215</v>
      </c>
      <c r="B24" t="s">
        <v>216</v>
      </c>
    </row>
    <row r="25" spans="1:8" x14ac:dyDescent="0.25">
      <c r="A25" t="s">
        <v>217</v>
      </c>
      <c r="B25" t="s">
        <v>218</v>
      </c>
    </row>
    <row r="26" spans="1:8" x14ac:dyDescent="0.25">
      <c r="A26" t="s">
        <v>219</v>
      </c>
      <c r="B26" t="s">
        <v>220</v>
      </c>
    </row>
    <row r="27" spans="1:8" x14ac:dyDescent="0.25">
      <c r="A27" t="s">
        <v>221</v>
      </c>
      <c r="B27" t="s">
        <v>222</v>
      </c>
    </row>
    <row r="28" spans="1:8" ht="409.5" x14ac:dyDescent="0.25">
      <c r="A28" t="s">
        <v>223</v>
      </c>
      <c r="B28" s="56" t="s">
        <v>224</v>
      </c>
      <c r="C28" s="57" t="s">
        <v>225</v>
      </c>
    </row>
    <row r="29" spans="1:8" ht="409.5" x14ac:dyDescent="0.25">
      <c r="A29" t="s">
        <v>226</v>
      </c>
      <c r="B29" s="56" t="s">
        <v>227</v>
      </c>
      <c r="C29" s="56" t="s">
        <v>228</v>
      </c>
      <c r="D29" s="56" t="s">
        <v>229</v>
      </c>
      <c r="E29" s="56" t="s">
        <v>230</v>
      </c>
      <c r="F29" s="56" t="s">
        <v>231</v>
      </c>
      <c r="G29" s="56" t="s">
        <v>232</v>
      </c>
      <c r="H29" s="56" t="s">
        <v>233</v>
      </c>
    </row>
    <row r="30" spans="1:8" x14ac:dyDescent="0.25">
      <c r="A30" t="s">
        <v>234</v>
      </c>
      <c r="B30" t="s">
        <v>216</v>
      </c>
    </row>
    <row r="31" spans="1:8" x14ac:dyDescent="0.25">
      <c r="A31" t="s">
        <v>235</v>
      </c>
      <c r="B31" t="s">
        <v>216</v>
      </c>
    </row>
    <row r="32" spans="1:8" x14ac:dyDescent="0.25">
      <c r="A32" t="s">
        <v>236</v>
      </c>
      <c r="B32" t="s">
        <v>216</v>
      </c>
    </row>
    <row r="33" spans="1:2" x14ac:dyDescent="0.25">
      <c r="A33" t="s">
        <v>237</v>
      </c>
      <c r="B33" t="s">
        <v>214</v>
      </c>
    </row>
    <row r="34" spans="1:2" x14ac:dyDescent="0.25">
      <c r="A34" t="s">
        <v>238</v>
      </c>
      <c r="B34" t="s">
        <v>239</v>
      </c>
    </row>
    <row r="50" spans="1:4" x14ac:dyDescent="0.25">
      <c r="A50" t="s">
        <v>240</v>
      </c>
    </row>
    <row r="51" spans="1:4" x14ac:dyDescent="0.25">
      <c r="A51" t="s">
        <v>241</v>
      </c>
    </row>
    <row r="52" spans="1:4" x14ac:dyDescent="0.25">
      <c r="A52" t="s">
        <v>242</v>
      </c>
      <c r="C52" t="s">
        <v>243</v>
      </c>
      <c r="D52" t="s">
        <v>244</v>
      </c>
    </row>
    <row r="53" spans="1:4" x14ac:dyDescent="0.25">
      <c r="A53" t="s">
        <v>242</v>
      </c>
      <c r="B53" t="s">
        <v>245</v>
      </c>
      <c r="C53">
        <v>1</v>
      </c>
      <c r="D53">
        <v>2</v>
      </c>
    </row>
    <row r="54" spans="1:4" x14ac:dyDescent="0.25">
      <c r="A54" t="s">
        <v>242</v>
      </c>
      <c r="B54" t="s">
        <v>246</v>
      </c>
      <c r="C54">
        <v>3</v>
      </c>
      <c r="D54">
        <v>4</v>
      </c>
    </row>
    <row r="55" spans="1:4" x14ac:dyDescent="0.25">
      <c r="A55" t="s">
        <v>247</v>
      </c>
    </row>
    <row r="56" spans="1:4" x14ac:dyDescent="0.25">
      <c r="A56" t="s">
        <v>248</v>
      </c>
    </row>
  </sheetData>
  <pageMargins left="0.7" right="0.7" top="0.75" bottom="0.75" header="0.3" footer="0.3"/>
  <pageSetup orientation="portrait" horizontalDpi="300" verticalDpi="0" r:id="rId1"/>
  <customProperties>
    <customPr name="_pios_id" r:id="rId2"/>
    <customPr name="CofWorksheetType" r:id="rId3"/>
    <customPr name="EpmWorksheetKeyString_GUID" r:id="rId4"/>
  </customProperties>
  <drawing r:id="rId5"/>
  <legacyDrawing r:id="rId6"/>
  <controls>
    <mc:AlternateContent xmlns:mc="http://schemas.openxmlformats.org/markup-compatibility/2006">
      <mc:Choice Requires="x14">
        <control shapeId="13313" r:id="rId7" name="FPMExcelClientSheetOptionstb1">
          <controlPr defaultSize="0" autoLine="0" autoPict="0" r:id="rId8">
            <anchor moveWithCells="1" sizeWithCells="1">
              <from>
                <xdr:col>0</xdr:col>
                <xdr:colOff>0</xdr:colOff>
                <xdr:row>0</xdr:row>
                <xdr:rowOff>0</xdr:rowOff>
              </from>
              <to>
                <xdr:col>1</xdr:col>
                <xdr:colOff>9525</xdr:colOff>
                <xdr:row>0</xdr:row>
                <xdr:rowOff>0</xdr:rowOff>
              </to>
            </anchor>
          </controlPr>
        </control>
      </mc:Choice>
      <mc:Fallback>
        <control shapeId="13313" r:id="rId7"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Q209"/>
  <sheetViews>
    <sheetView showGridLines="0" topLeftCell="A112" zoomScale="85" zoomScaleNormal="85" workbookViewId="0">
      <selection activeCell="F152" sqref="F152"/>
    </sheetView>
  </sheetViews>
  <sheetFormatPr defaultColWidth="9.140625" defaultRowHeight="15" x14ac:dyDescent="0.25"/>
  <cols>
    <col min="1" max="1" width="1.7109375" style="1" customWidth="1"/>
    <col min="2" max="2" width="12.7109375" style="1" customWidth="1"/>
    <col min="3" max="3" width="15.7109375" style="1" customWidth="1"/>
    <col min="4" max="4" width="82.140625" style="1" customWidth="1"/>
    <col min="5" max="5" width="3.28515625" style="1" customWidth="1"/>
    <col min="6" max="6" width="14.28515625" customWidth="1"/>
    <col min="7" max="7" width="3.28515625" style="1" customWidth="1"/>
    <col min="8" max="8" width="30.7109375" style="1" customWidth="1"/>
    <col min="9" max="9" width="3.28515625" style="1" customWidth="1"/>
    <col min="10" max="10" width="14.28515625" customWidth="1"/>
    <col min="11" max="11" width="3.28515625" style="1" customWidth="1"/>
    <col min="12" max="12" width="36.7109375" style="1" customWidth="1"/>
    <col min="13" max="16" width="10.7109375" style="1" customWidth="1"/>
    <col min="17" max="17" width="90.7109375" style="1" customWidth="1"/>
    <col min="18" max="16384" width="9.140625" style="1"/>
  </cols>
  <sheetData>
    <row r="1" spans="1:17" ht="42" customHeight="1" x14ac:dyDescent="0.2">
      <c r="A1" s="2"/>
      <c r="B1" s="98" t="s">
        <v>249</v>
      </c>
      <c r="C1" s="98"/>
      <c r="D1" s="98"/>
      <c r="E1" s="98"/>
      <c r="F1" s="98"/>
      <c r="G1" s="98"/>
      <c r="H1" s="98"/>
      <c r="I1" s="98"/>
      <c r="J1" s="98"/>
      <c r="K1" s="98"/>
      <c r="L1" s="98"/>
    </row>
    <row r="2" spans="1:17" ht="15.75" customHeight="1" x14ac:dyDescent="0.25">
      <c r="A2" s="31" t="s">
        <v>250</v>
      </c>
      <c r="B2" s="2"/>
      <c r="C2" s="2"/>
      <c r="D2" s="2"/>
      <c r="E2" s="2"/>
      <c r="G2" s="2"/>
      <c r="H2" s="2"/>
      <c r="I2" s="2"/>
      <c r="J2" s="33"/>
      <c r="K2" s="2"/>
      <c r="L2" s="2"/>
    </row>
    <row r="3" spans="1:17" ht="15.75" customHeight="1" x14ac:dyDescent="0.25">
      <c r="A3" s="2"/>
      <c r="B3" s="3" t="s">
        <v>251</v>
      </c>
      <c r="C3" s="2"/>
      <c r="D3" s="2"/>
      <c r="E3" s="2"/>
      <c r="F3" s="33"/>
      <c r="G3" s="2"/>
      <c r="H3" s="2"/>
      <c r="I3" s="2"/>
      <c r="J3" s="33"/>
      <c r="K3" s="2"/>
      <c r="L3" s="2"/>
    </row>
    <row r="4" spans="1:17" ht="18" customHeight="1" thickBot="1" x14ac:dyDescent="0.3">
      <c r="A4" s="2"/>
      <c r="B4" s="2"/>
      <c r="C4" s="2"/>
      <c r="D4" s="2"/>
      <c r="E4" s="2"/>
      <c r="F4" s="33"/>
      <c r="G4" s="2"/>
      <c r="H4" s="2"/>
      <c r="I4" s="2"/>
      <c r="J4" s="33"/>
      <c r="K4" s="2"/>
      <c r="L4" s="2"/>
    </row>
    <row r="5" spans="1:17" ht="28.35" customHeight="1" x14ac:dyDescent="0.2">
      <c r="A5" s="2"/>
      <c r="B5" s="99" t="s">
        <v>252</v>
      </c>
      <c r="C5" s="100"/>
      <c r="D5" s="100"/>
      <c r="E5" s="100"/>
      <c r="F5" s="100"/>
      <c r="G5" s="100"/>
      <c r="H5" s="100"/>
      <c r="I5" s="100"/>
      <c r="J5" s="100"/>
      <c r="K5" s="100"/>
      <c r="L5" s="101"/>
      <c r="Q5" s="16" t="s">
        <v>253</v>
      </c>
    </row>
    <row r="6" spans="1:17" ht="28.35" customHeight="1" thickBot="1" x14ac:dyDescent="0.25">
      <c r="A6" s="2"/>
      <c r="B6" s="102"/>
      <c r="C6" s="103"/>
      <c r="D6" s="103"/>
      <c r="E6" s="103"/>
      <c r="F6" s="103"/>
      <c r="G6" s="103"/>
      <c r="H6" s="103"/>
      <c r="I6" s="103"/>
      <c r="J6" s="103"/>
      <c r="K6" s="103"/>
      <c r="L6" s="104"/>
      <c r="Q6" s="17" t="s">
        <v>254</v>
      </c>
    </row>
    <row r="7" spans="1:17" ht="21.95" customHeight="1" x14ac:dyDescent="0.25">
      <c r="A7" s="2"/>
      <c r="B7" s="96" t="s">
        <v>255</v>
      </c>
      <c r="C7" s="14"/>
      <c r="D7" s="14"/>
      <c r="E7" s="14"/>
      <c r="F7" s="34"/>
      <c r="G7" s="14"/>
      <c r="H7" s="14"/>
      <c r="I7" s="14"/>
      <c r="J7" s="34"/>
      <c r="K7" s="14"/>
      <c r="L7" s="15"/>
      <c r="Q7" s="97" t="s">
        <v>256</v>
      </c>
    </row>
    <row r="8" spans="1:17" ht="18" customHeight="1" x14ac:dyDescent="0.25">
      <c r="A8" s="2"/>
      <c r="B8" s="80"/>
      <c r="C8" s="2"/>
      <c r="D8" s="2"/>
      <c r="E8" s="2"/>
      <c r="F8" s="33"/>
      <c r="G8" s="2"/>
      <c r="H8" s="2"/>
      <c r="I8" s="2"/>
      <c r="J8" s="33"/>
      <c r="K8" s="2"/>
      <c r="L8" s="10"/>
      <c r="Q8" s="97"/>
    </row>
    <row r="9" spans="1:17" ht="17.100000000000001" customHeight="1" x14ac:dyDescent="0.2">
      <c r="A9" s="2"/>
      <c r="B9" s="80"/>
      <c r="C9" s="5"/>
      <c r="D9" s="6"/>
      <c r="E9" s="82" t="s">
        <v>257</v>
      </c>
      <c r="F9" s="83"/>
      <c r="G9" s="84"/>
      <c r="H9" s="4" t="s">
        <v>258</v>
      </c>
      <c r="I9" s="82" t="s">
        <v>259</v>
      </c>
      <c r="J9" s="83"/>
      <c r="K9" s="84"/>
      <c r="L9" s="11" t="s">
        <v>258</v>
      </c>
      <c r="Q9" s="97"/>
    </row>
    <row r="10" spans="1:17" ht="5.0999999999999996" customHeight="1" x14ac:dyDescent="0.25">
      <c r="A10" s="2"/>
      <c r="B10" s="80"/>
      <c r="C10" s="85"/>
      <c r="D10" s="2"/>
      <c r="E10" s="12"/>
      <c r="F10" s="35"/>
      <c r="G10" s="12"/>
      <c r="H10" s="8"/>
      <c r="I10" s="12"/>
      <c r="J10" s="35"/>
      <c r="K10" s="12"/>
      <c r="L10" s="10"/>
      <c r="Q10" s="97"/>
    </row>
    <row r="11" spans="1:17" ht="15.95" customHeight="1" x14ac:dyDescent="0.2">
      <c r="A11" s="2"/>
      <c r="B11" s="80"/>
      <c r="C11" s="86"/>
      <c r="D11" s="51" t="s">
        <v>260</v>
      </c>
      <c r="E11" s="12"/>
      <c r="F11" s="27">
        <v>10000</v>
      </c>
      <c r="G11" s="12"/>
      <c r="H11" s="54" t="s">
        <v>261</v>
      </c>
      <c r="I11" s="12"/>
      <c r="J11" s="30" t="s">
        <v>262</v>
      </c>
      <c r="K11" s="12"/>
      <c r="L11" s="13" t="s">
        <v>263</v>
      </c>
      <c r="Q11" s="97"/>
    </row>
    <row r="12" spans="1:17" ht="5.0999999999999996" customHeight="1" thickBot="1" x14ac:dyDescent="0.3">
      <c r="A12" s="2"/>
      <c r="B12" s="81"/>
      <c r="C12" s="88"/>
      <c r="D12" s="70"/>
      <c r="E12" s="71"/>
      <c r="F12" s="72"/>
      <c r="G12" s="71"/>
      <c r="H12" s="73"/>
      <c r="I12" s="71"/>
      <c r="J12" s="72"/>
      <c r="K12" s="71"/>
      <c r="L12" s="74"/>
      <c r="Q12" s="97"/>
    </row>
    <row r="13" spans="1:17" ht="21.95" customHeight="1" x14ac:dyDescent="0.25">
      <c r="A13" s="2"/>
      <c r="B13" s="80" t="s">
        <v>264</v>
      </c>
      <c r="C13" s="2"/>
      <c r="D13" s="2"/>
      <c r="E13" s="2"/>
      <c r="F13" s="33"/>
      <c r="G13" s="2"/>
      <c r="H13" s="2"/>
      <c r="I13" s="2"/>
      <c r="J13" s="33"/>
      <c r="K13" s="2"/>
      <c r="L13" s="10"/>
      <c r="Q13" s="97"/>
    </row>
    <row r="14" spans="1:17" ht="18" customHeight="1" x14ac:dyDescent="0.25">
      <c r="A14" s="2"/>
      <c r="B14" s="80"/>
      <c r="C14" s="2"/>
      <c r="D14" s="2"/>
      <c r="E14" s="2"/>
      <c r="F14" s="33"/>
      <c r="G14" s="2"/>
      <c r="H14" s="2"/>
      <c r="I14" s="2"/>
      <c r="J14" s="33"/>
      <c r="K14" s="2"/>
      <c r="L14" s="10"/>
      <c r="Q14" s="97"/>
    </row>
    <row r="15" spans="1:17" ht="17.100000000000001" customHeight="1" x14ac:dyDescent="0.2">
      <c r="A15" s="2"/>
      <c r="B15" s="80"/>
      <c r="C15" s="5"/>
      <c r="D15" s="6"/>
      <c r="E15" s="82" t="s">
        <v>257</v>
      </c>
      <c r="F15" s="83"/>
      <c r="G15" s="84"/>
      <c r="H15" s="4" t="s">
        <v>258</v>
      </c>
      <c r="I15" s="82" t="s">
        <v>259</v>
      </c>
      <c r="J15" s="83"/>
      <c r="K15" s="84"/>
      <c r="L15" s="11" t="s">
        <v>258</v>
      </c>
      <c r="Q15" s="97"/>
    </row>
    <row r="16" spans="1:17" ht="5.0999999999999996" customHeight="1" x14ac:dyDescent="0.25">
      <c r="A16" s="2"/>
      <c r="B16" s="80"/>
      <c r="C16" s="85"/>
      <c r="D16" s="2"/>
      <c r="E16" s="12"/>
      <c r="F16" s="35"/>
      <c r="G16" s="12"/>
      <c r="H16" s="8"/>
      <c r="I16" s="12"/>
      <c r="J16" s="35"/>
      <c r="K16" s="12"/>
      <c r="L16" s="10"/>
      <c r="Q16" s="97"/>
    </row>
    <row r="17" spans="1:17" ht="15.95" customHeight="1" x14ac:dyDescent="0.2">
      <c r="A17" s="2"/>
      <c r="B17" s="80"/>
      <c r="C17" s="86"/>
      <c r="D17" s="51" t="s">
        <v>260</v>
      </c>
      <c r="E17" s="12"/>
      <c r="F17" s="27">
        <v>10000</v>
      </c>
      <c r="G17" s="12"/>
      <c r="H17" s="54" t="s">
        <v>263</v>
      </c>
      <c r="I17" s="12"/>
      <c r="J17" s="21" t="s">
        <v>262</v>
      </c>
      <c r="K17" s="12"/>
      <c r="L17" s="13" t="s">
        <v>263</v>
      </c>
      <c r="Q17" s="97"/>
    </row>
    <row r="18" spans="1:17" ht="5.0999999999999996" customHeight="1" thickBot="1" x14ac:dyDescent="0.3">
      <c r="A18" s="2"/>
      <c r="B18" s="81"/>
      <c r="C18" s="88"/>
      <c r="D18" s="70"/>
      <c r="E18" s="71"/>
      <c r="F18" s="72"/>
      <c r="G18" s="71"/>
      <c r="H18" s="73"/>
      <c r="I18" s="71"/>
      <c r="J18" s="72"/>
      <c r="K18" s="71"/>
      <c r="L18" s="74"/>
      <c r="Q18" s="97"/>
    </row>
    <row r="19" spans="1:17" ht="9" customHeight="1" x14ac:dyDescent="0.25">
      <c r="A19" s="2"/>
      <c r="B19" s="2"/>
      <c r="C19" s="2"/>
      <c r="D19" s="2"/>
      <c r="E19" s="2"/>
      <c r="F19" s="33"/>
      <c r="G19" s="2"/>
      <c r="H19" s="2"/>
      <c r="I19" s="2"/>
      <c r="J19" s="33"/>
      <c r="K19" s="2"/>
      <c r="L19" s="2"/>
      <c r="Q19" s="97"/>
    </row>
    <row r="20" spans="1:17" ht="24.6" customHeight="1" x14ac:dyDescent="0.25">
      <c r="A20" s="2"/>
      <c r="B20" s="2"/>
      <c r="C20" s="2"/>
      <c r="D20" s="2"/>
      <c r="E20" s="2"/>
      <c r="F20" s="33"/>
      <c r="G20" s="2"/>
      <c r="H20" s="2"/>
      <c r="I20" s="2"/>
      <c r="J20" s="33"/>
      <c r="K20" s="2"/>
      <c r="L20" s="2"/>
      <c r="Q20" s="18"/>
    </row>
    <row r="21" spans="1:17" ht="15" customHeight="1" thickBot="1" x14ac:dyDescent="0.3">
      <c r="A21" s="2"/>
      <c r="B21" s="2"/>
      <c r="C21" s="2"/>
      <c r="D21" s="2"/>
      <c r="E21" s="2"/>
      <c r="F21" s="33"/>
      <c r="G21" s="2"/>
      <c r="H21" s="2"/>
      <c r="I21" s="2"/>
      <c r="J21" s="33"/>
      <c r="K21" s="2"/>
      <c r="L21" s="2"/>
      <c r="Q21" s="19" t="s">
        <v>265</v>
      </c>
    </row>
    <row r="22" spans="1:17" ht="28.35" customHeight="1" x14ac:dyDescent="0.2">
      <c r="A22" s="2"/>
      <c r="B22" s="89" t="s">
        <v>266</v>
      </c>
      <c r="C22" s="90"/>
      <c r="D22" s="90"/>
      <c r="E22" s="90"/>
      <c r="F22" s="90"/>
      <c r="G22" s="90"/>
      <c r="H22" s="90"/>
      <c r="I22" s="90"/>
      <c r="J22" s="90"/>
      <c r="K22" s="90"/>
      <c r="L22" s="91"/>
      <c r="Q22" s="97" t="s">
        <v>267</v>
      </c>
    </row>
    <row r="23" spans="1:17" ht="28.35" customHeight="1" x14ac:dyDescent="0.2">
      <c r="A23" s="2"/>
      <c r="B23" s="92"/>
      <c r="C23" s="93"/>
      <c r="D23" s="93"/>
      <c r="E23" s="93"/>
      <c r="F23" s="93"/>
      <c r="G23" s="93"/>
      <c r="H23" s="93"/>
      <c r="I23" s="93"/>
      <c r="J23" s="93"/>
      <c r="K23" s="93"/>
      <c r="L23" s="94"/>
      <c r="Q23" s="97"/>
    </row>
    <row r="24" spans="1:17" ht="18" customHeight="1" x14ac:dyDescent="0.25">
      <c r="A24" s="2"/>
      <c r="B24" s="79" t="s">
        <v>264</v>
      </c>
      <c r="C24" s="2"/>
      <c r="D24" s="2"/>
      <c r="E24" s="2"/>
      <c r="F24" s="33"/>
      <c r="G24" s="2"/>
      <c r="H24" s="2"/>
      <c r="I24" s="2"/>
      <c r="J24" s="33"/>
      <c r="K24" s="2"/>
      <c r="L24" s="10"/>
      <c r="Q24" s="97"/>
    </row>
    <row r="25" spans="1:17" ht="17.100000000000001" customHeight="1" x14ac:dyDescent="0.2">
      <c r="A25" s="2"/>
      <c r="B25" s="80"/>
      <c r="C25" s="5"/>
      <c r="D25" s="6"/>
      <c r="E25" s="82" t="s">
        <v>257</v>
      </c>
      <c r="F25" s="83"/>
      <c r="G25" s="84"/>
      <c r="H25" s="4" t="s">
        <v>258</v>
      </c>
      <c r="I25" s="82" t="s">
        <v>259</v>
      </c>
      <c r="J25" s="83"/>
      <c r="K25" s="84"/>
      <c r="L25" s="11" t="s">
        <v>258</v>
      </c>
      <c r="Q25" s="97"/>
    </row>
    <row r="26" spans="1:17" ht="5.0999999999999996" customHeight="1" x14ac:dyDescent="0.25">
      <c r="A26" s="2"/>
      <c r="B26" s="80"/>
      <c r="C26" s="86"/>
      <c r="D26" s="2"/>
      <c r="E26" s="12"/>
      <c r="F26" s="35"/>
      <c r="G26" s="12"/>
      <c r="H26" s="9"/>
      <c r="I26" s="12"/>
      <c r="J26" s="35"/>
      <c r="K26" s="12"/>
      <c r="L26" s="10"/>
      <c r="Q26" s="97"/>
    </row>
    <row r="27" spans="1:17" ht="15.95" customHeight="1" x14ac:dyDescent="0.2">
      <c r="A27" s="2"/>
      <c r="B27" s="80"/>
      <c r="C27" s="86"/>
      <c r="D27" s="51" t="s">
        <v>268</v>
      </c>
      <c r="E27" s="12"/>
      <c r="F27" s="37">
        <v>10000</v>
      </c>
      <c r="G27" s="12"/>
      <c r="H27" s="54" t="s">
        <v>263</v>
      </c>
      <c r="I27" s="12"/>
      <c r="J27" s="38" t="s">
        <v>262</v>
      </c>
      <c r="K27" s="12"/>
      <c r="L27" s="13" t="s">
        <v>263</v>
      </c>
      <c r="Q27" s="97"/>
    </row>
    <row r="28" spans="1:17" ht="5.0999999999999996" customHeight="1" x14ac:dyDescent="0.25">
      <c r="A28" s="2"/>
      <c r="B28" s="80"/>
      <c r="C28" s="87"/>
      <c r="D28" s="52"/>
      <c r="E28" s="7"/>
      <c r="F28" s="36"/>
      <c r="G28" s="7"/>
      <c r="H28" s="6"/>
      <c r="I28" s="7"/>
      <c r="J28" s="36"/>
      <c r="K28" s="7"/>
      <c r="L28" s="53"/>
      <c r="Q28" s="97"/>
    </row>
    <row r="29" spans="1:17" ht="5.0999999999999996" customHeight="1" x14ac:dyDescent="0.25">
      <c r="A29" s="2"/>
      <c r="B29" s="80"/>
      <c r="C29" s="86"/>
      <c r="D29" s="2"/>
      <c r="E29" s="12"/>
      <c r="F29" s="35"/>
      <c r="G29" s="12"/>
      <c r="H29" s="9"/>
      <c r="I29" s="12"/>
      <c r="J29" s="35"/>
      <c r="K29" s="12"/>
      <c r="L29" s="10"/>
      <c r="Q29" s="97"/>
    </row>
    <row r="30" spans="1:17" ht="15.95" customHeight="1" x14ac:dyDescent="0.25">
      <c r="A30" s="2"/>
      <c r="B30" s="80"/>
      <c r="C30" s="86"/>
      <c r="D30" s="51" t="s">
        <v>269</v>
      </c>
      <c r="E30" s="12"/>
      <c r="F30" s="26">
        <v>10000</v>
      </c>
      <c r="G30" s="12"/>
      <c r="H30" s="54" t="s">
        <v>270</v>
      </c>
      <c r="I30" s="12"/>
      <c r="J30" s="39" t="s">
        <v>262</v>
      </c>
      <c r="K30" s="12"/>
      <c r="L30" s="13" t="s">
        <v>261</v>
      </c>
      <c r="Q30" s="20"/>
    </row>
    <row r="31" spans="1:17" ht="5.0999999999999996" customHeight="1" x14ac:dyDescent="0.25">
      <c r="A31" s="2"/>
      <c r="B31" s="80"/>
      <c r="C31" s="87"/>
      <c r="D31" s="52"/>
      <c r="E31" s="7"/>
      <c r="F31" s="36"/>
      <c r="G31" s="7"/>
      <c r="H31" s="6"/>
      <c r="I31" s="7"/>
      <c r="J31" s="36"/>
      <c r="K31" s="7"/>
      <c r="L31" s="53"/>
    </row>
    <row r="32" spans="1:17" ht="5.0999999999999996" customHeight="1" x14ac:dyDescent="0.25">
      <c r="A32" s="2"/>
      <c r="B32" s="80"/>
      <c r="C32" s="86"/>
      <c r="D32" s="2"/>
      <c r="E32" s="12"/>
      <c r="F32" s="35"/>
      <c r="G32" s="12"/>
      <c r="H32" s="9"/>
      <c r="I32" s="12"/>
      <c r="J32" s="35"/>
      <c r="K32" s="12"/>
      <c r="L32" s="10"/>
    </row>
    <row r="33" spans="1:12" ht="15.95" customHeight="1" x14ac:dyDescent="0.2">
      <c r="A33" s="2"/>
      <c r="B33" s="80"/>
      <c r="C33" s="86"/>
      <c r="D33" s="51" t="s">
        <v>271</v>
      </c>
      <c r="E33" s="12"/>
      <c r="F33" s="37">
        <v>10000</v>
      </c>
      <c r="G33" s="12"/>
      <c r="H33" s="54" t="s">
        <v>263</v>
      </c>
      <c r="I33" s="12"/>
      <c r="J33" s="38" t="s">
        <v>262</v>
      </c>
      <c r="K33" s="12"/>
      <c r="L33" s="13" t="s">
        <v>263</v>
      </c>
    </row>
    <row r="34" spans="1:12" ht="5.0999999999999996" customHeight="1" x14ac:dyDescent="0.25">
      <c r="A34" s="2"/>
      <c r="B34" s="80"/>
      <c r="C34" s="87"/>
      <c r="D34" s="52"/>
      <c r="E34" s="7"/>
      <c r="F34" s="36"/>
      <c r="G34" s="7"/>
      <c r="H34" s="6"/>
      <c r="I34" s="7"/>
      <c r="J34" s="36"/>
      <c r="K34" s="7"/>
      <c r="L34" s="53"/>
    </row>
    <row r="35" spans="1:12" ht="5.0999999999999996" customHeight="1" x14ac:dyDescent="0.25">
      <c r="A35" s="2"/>
      <c r="B35" s="80"/>
      <c r="C35" s="86"/>
      <c r="D35" s="2"/>
      <c r="E35" s="12"/>
      <c r="F35" s="35"/>
      <c r="G35" s="12"/>
      <c r="H35" s="9"/>
      <c r="I35" s="12"/>
      <c r="J35" s="35"/>
      <c r="K35" s="12"/>
      <c r="L35" s="10"/>
    </row>
    <row r="36" spans="1:12" ht="15.95" customHeight="1" x14ac:dyDescent="0.2">
      <c r="A36" s="2"/>
      <c r="B36" s="80"/>
      <c r="C36" s="86"/>
      <c r="D36" s="51" t="s">
        <v>272</v>
      </c>
      <c r="E36" s="12"/>
      <c r="F36" s="22">
        <v>10000</v>
      </c>
      <c r="G36" s="12"/>
      <c r="H36" s="54" t="s">
        <v>273</v>
      </c>
      <c r="I36" s="12"/>
      <c r="J36" s="38" t="s">
        <v>262</v>
      </c>
      <c r="K36" s="12"/>
      <c r="L36" s="13" t="s">
        <v>261</v>
      </c>
    </row>
    <row r="37" spans="1:12" ht="5.0999999999999996" customHeight="1" x14ac:dyDescent="0.25">
      <c r="A37" s="2"/>
      <c r="B37" s="80"/>
      <c r="C37" s="87"/>
      <c r="D37" s="52"/>
      <c r="E37" s="7"/>
      <c r="F37" s="36"/>
      <c r="G37" s="7"/>
      <c r="H37" s="6"/>
      <c r="I37" s="7"/>
      <c r="J37" s="36"/>
      <c r="K37" s="7"/>
      <c r="L37" s="53"/>
    </row>
    <row r="38" spans="1:12" ht="5.0999999999999996" customHeight="1" x14ac:dyDescent="0.25">
      <c r="A38" s="2"/>
      <c r="B38" s="80"/>
      <c r="C38" s="86"/>
      <c r="D38" s="2"/>
      <c r="E38" s="12"/>
      <c r="F38" s="35"/>
      <c r="G38" s="12"/>
      <c r="H38" s="9"/>
      <c r="I38" s="12"/>
      <c r="J38" s="35"/>
      <c r="K38" s="12"/>
      <c r="L38" s="10"/>
    </row>
    <row r="39" spans="1:12" ht="15.95" customHeight="1" x14ac:dyDescent="0.25">
      <c r="A39" s="2"/>
      <c r="B39" s="80"/>
      <c r="C39" s="86"/>
      <c r="D39" s="51" t="s">
        <v>274</v>
      </c>
      <c r="E39" s="12"/>
      <c r="F39" s="35"/>
      <c r="G39" s="12"/>
      <c r="H39" s="9"/>
      <c r="I39" s="12"/>
      <c r="J39" s="35"/>
      <c r="K39" s="12"/>
      <c r="L39" s="10"/>
    </row>
    <row r="40" spans="1:12" ht="5.0999999999999996" customHeight="1" x14ac:dyDescent="0.25">
      <c r="A40" s="2"/>
      <c r="B40" s="80"/>
      <c r="C40" s="50"/>
      <c r="D40" s="51"/>
      <c r="E40" s="12"/>
      <c r="F40" s="35"/>
      <c r="G40" s="12"/>
      <c r="H40" s="9"/>
      <c r="I40" s="12"/>
      <c r="J40" s="35"/>
      <c r="K40" s="12"/>
      <c r="L40" s="10"/>
    </row>
    <row r="41" spans="1:12" ht="15.95" customHeight="1" x14ac:dyDescent="0.2">
      <c r="A41" s="2"/>
      <c r="B41" s="80"/>
      <c r="C41" s="50"/>
      <c r="D41" s="29" t="s">
        <v>275</v>
      </c>
      <c r="E41" s="12"/>
      <c r="F41" s="26">
        <v>10000</v>
      </c>
      <c r="G41" s="12"/>
      <c r="H41" s="54" t="s">
        <v>270</v>
      </c>
      <c r="I41" s="12"/>
      <c r="J41" s="38" t="s">
        <v>262</v>
      </c>
      <c r="K41" s="12"/>
      <c r="L41" s="13" t="s">
        <v>261</v>
      </c>
    </row>
    <row r="42" spans="1:12" ht="5.0999999999999996" customHeight="1" x14ac:dyDescent="0.25">
      <c r="A42" s="2"/>
      <c r="B42" s="80"/>
      <c r="C42" s="50"/>
      <c r="D42" s="28"/>
      <c r="E42" s="7"/>
      <c r="F42" s="36"/>
      <c r="G42" s="7"/>
      <c r="H42" s="6"/>
      <c r="I42" s="7"/>
      <c r="J42" s="36"/>
      <c r="K42" s="7"/>
      <c r="L42" s="53"/>
    </row>
    <row r="43" spans="1:12" ht="5.0999999999999996" customHeight="1" x14ac:dyDescent="0.25">
      <c r="A43" s="2"/>
      <c r="B43" s="80"/>
      <c r="C43" s="50"/>
      <c r="D43" s="51"/>
      <c r="E43" s="12"/>
      <c r="F43" s="35"/>
      <c r="G43" s="12"/>
      <c r="H43" s="9"/>
      <c r="I43" s="12"/>
      <c r="J43" s="35"/>
      <c r="K43" s="12"/>
      <c r="L43" s="10"/>
    </row>
    <row r="44" spans="1:12" ht="15.95" customHeight="1" x14ac:dyDescent="0.2">
      <c r="A44" s="2"/>
      <c r="B44" s="80"/>
      <c r="C44" s="50"/>
      <c r="D44" s="29" t="s">
        <v>276</v>
      </c>
      <c r="E44" s="12"/>
      <c r="F44" s="26">
        <v>10000</v>
      </c>
      <c r="G44" s="12"/>
      <c r="H44" s="54" t="s">
        <v>270</v>
      </c>
      <c r="I44" s="12"/>
      <c r="J44" s="38" t="s">
        <v>262</v>
      </c>
      <c r="K44" s="12"/>
      <c r="L44" s="13" t="s">
        <v>261</v>
      </c>
    </row>
    <row r="45" spans="1:12" ht="5.0999999999999996" customHeight="1" x14ac:dyDescent="0.25">
      <c r="A45" s="2"/>
      <c r="B45" s="80"/>
      <c r="C45" s="50"/>
      <c r="D45" s="28"/>
      <c r="E45" s="7"/>
      <c r="F45" s="36"/>
      <c r="G45" s="7"/>
      <c r="H45" s="6"/>
      <c r="I45" s="7"/>
      <c r="J45" s="36"/>
      <c r="K45" s="7"/>
      <c r="L45" s="53"/>
    </row>
    <row r="46" spans="1:12" ht="5.0999999999999996" customHeight="1" x14ac:dyDescent="0.25">
      <c r="A46" s="2"/>
      <c r="B46" s="80"/>
      <c r="C46" s="50"/>
      <c r="D46" s="51"/>
      <c r="E46" s="12"/>
      <c r="F46" s="35"/>
      <c r="G46" s="12"/>
      <c r="H46" s="9"/>
      <c r="I46" s="12"/>
      <c r="J46" s="35"/>
      <c r="K46" s="12"/>
      <c r="L46" s="10"/>
    </row>
    <row r="47" spans="1:12" ht="15.95" customHeight="1" x14ac:dyDescent="0.2">
      <c r="A47" s="2"/>
      <c r="B47" s="80"/>
      <c r="C47" s="50"/>
      <c r="D47" s="29" t="s">
        <v>277</v>
      </c>
      <c r="E47" s="12"/>
      <c r="F47" s="26">
        <v>10000</v>
      </c>
      <c r="G47" s="12"/>
      <c r="H47" s="54" t="s">
        <v>270</v>
      </c>
      <c r="I47" s="12"/>
      <c r="J47" s="38" t="s">
        <v>262</v>
      </c>
      <c r="K47" s="12"/>
      <c r="L47" s="13" t="s">
        <v>261</v>
      </c>
    </row>
    <row r="48" spans="1:12" ht="5.0999999999999996" customHeight="1" x14ac:dyDescent="0.25">
      <c r="A48" s="2"/>
      <c r="B48" s="80"/>
      <c r="C48" s="50"/>
      <c r="D48" s="28"/>
      <c r="E48" s="7"/>
      <c r="F48" s="36"/>
      <c r="G48" s="7"/>
      <c r="H48" s="6"/>
      <c r="I48" s="7"/>
      <c r="J48" s="36"/>
      <c r="K48" s="7"/>
      <c r="L48" s="53"/>
    </row>
    <row r="49" spans="1:12" ht="5.0999999999999996" customHeight="1" x14ac:dyDescent="0.25">
      <c r="A49" s="2"/>
      <c r="B49" s="80"/>
      <c r="C49" s="50"/>
      <c r="D49" s="51"/>
      <c r="E49" s="12"/>
      <c r="F49" s="35"/>
      <c r="G49" s="12"/>
      <c r="H49" s="9"/>
      <c r="I49" s="12"/>
      <c r="J49" s="35"/>
      <c r="K49" s="12"/>
      <c r="L49" s="10"/>
    </row>
    <row r="50" spans="1:12" ht="15.95" customHeight="1" x14ac:dyDescent="0.2">
      <c r="A50" s="2"/>
      <c r="B50" s="80"/>
      <c r="C50" s="50"/>
      <c r="D50" s="29" t="s">
        <v>278</v>
      </c>
      <c r="E50" s="12"/>
      <c r="F50" s="26">
        <v>10000</v>
      </c>
      <c r="G50" s="12"/>
      <c r="H50" s="54" t="s">
        <v>270</v>
      </c>
      <c r="I50" s="12"/>
      <c r="J50" s="38" t="s">
        <v>262</v>
      </c>
      <c r="K50" s="12"/>
      <c r="L50" s="13" t="s">
        <v>261</v>
      </c>
    </row>
    <row r="51" spans="1:12" ht="5.0999999999999996" customHeight="1" x14ac:dyDescent="0.25">
      <c r="A51" s="2"/>
      <c r="B51" s="80"/>
      <c r="C51" s="50"/>
      <c r="D51" s="28"/>
      <c r="E51" s="7"/>
      <c r="F51" s="36"/>
      <c r="G51" s="7"/>
      <c r="H51" s="6"/>
      <c r="I51" s="7"/>
      <c r="J51" s="36"/>
      <c r="K51" s="7"/>
      <c r="L51" s="53"/>
    </row>
    <row r="52" spans="1:12" ht="5.0999999999999996" customHeight="1" x14ac:dyDescent="0.25">
      <c r="A52" s="2"/>
      <c r="B52" s="80"/>
      <c r="C52" s="50"/>
      <c r="D52" s="51"/>
      <c r="E52" s="12"/>
      <c r="F52" s="35"/>
      <c r="G52" s="12"/>
      <c r="H52" s="9"/>
      <c r="I52" s="12"/>
      <c r="J52" s="35"/>
      <c r="K52" s="12"/>
      <c r="L52" s="10"/>
    </row>
    <row r="53" spans="1:12" ht="15.95" customHeight="1" x14ac:dyDescent="0.2">
      <c r="A53" s="2"/>
      <c r="B53" s="80"/>
      <c r="C53" s="50"/>
      <c r="D53" s="29" t="s">
        <v>279</v>
      </c>
      <c r="E53" s="12"/>
      <c r="F53" s="26">
        <v>10000</v>
      </c>
      <c r="G53" s="12"/>
      <c r="H53" s="54" t="s">
        <v>270</v>
      </c>
      <c r="I53" s="12"/>
      <c r="J53" s="38" t="s">
        <v>262</v>
      </c>
      <c r="K53" s="12"/>
      <c r="L53" s="13" t="s">
        <v>261</v>
      </c>
    </row>
    <row r="54" spans="1:12" ht="5.0999999999999996" customHeight="1" x14ac:dyDescent="0.25">
      <c r="A54" s="2"/>
      <c r="B54" s="80"/>
      <c r="C54" s="50"/>
      <c r="D54" s="28"/>
      <c r="E54" s="7"/>
      <c r="F54" s="36"/>
      <c r="G54" s="7"/>
      <c r="H54" s="6"/>
      <c r="I54" s="7"/>
      <c r="J54" s="36"/>
      <c r="K54" s="7"/>
      <c r="L54" s="53"/>
    </row>
    <row r="55" spans="1:12" ht="5.0999999999999996" customHeight="1" x14ac:dyDescent="0.25">
      <c r="A55" s="2"/>
      <c r="B55" s="80"/>
      <c r="C55" s="50"/>
      <c r="D55" s="51"/>
      <c r="E55" s="12"/>
      <c r="F55" s="35"/>
      <c r="G55" s="12"/>
      <c r="H55" s="9"/>
      <c r="I55" s="12"/>
      <c r="J55" s="35"/>
      <c r="K55" s="12"/>
      <c r="L55" s="10"/>
    </row>
    <row r="56" spans="1:12" ht="15.95" customHeight="1" x14ac:dyDescent="0.2">
      <c r="A56" s="2"/>
      <c r="B56" s="80"/>
      <c r="C56" s="50"/>
      <c r="D56" s="29" t="s">
        <v>280</v>
      </c>
      <c r="E56" s="12"/>
      <c r="F56" s="26">
        <v>10000</v>
      </c>
      <c r="G56" s="12"/>
      <c r="H56" s="54" t="s">
        <v>270</v>
      </c>
      <c r="I56" s="12"/>
      <c r="J56" s="38" t="s">
        <v>262</v>
      </c>
      <c r="K56" s="12"/>
      <c r="L56" s="13" t="s">
        <v>261</v>
      </c>
    </row>
    <row r="57" spans="1:12" ht="5.0999999999999996" customHeight="1" x14ac:dyDescent="0.25">
      <c r="A57" s="2"/>
      <c r="B57" s="80"/>
      <c r="C57" s="50"/>
      <c r="D57" s="28"/>
      <c r="E57" s="7"/>
      <c r="F57" s="36"/>
      <c r="G57" s="7"/>
      <c r="H57" s="6"/>
      <c r="I57" s="7"/>
      <c r="J57" s="36"/>
      <c r="K57" s="7"/>
      <c r="L57" s="53"/>
    </row>
    <row r="58" spans="1:12" ht="5.0999999999999996" customHeight="1" x14ac:dyDescent="0.25">
      <c r="A58" s="2"/>
      <c r="B58" s="80"/>
      <c r="C58" s="50"/>
      <c r="D58" s="51"/>
      <c r="E58" s="12"/>
      <c r="F58" s="35"/>
      <c r="G58" s="12"/>
      <c r="H58" s="9"/>
      <c r="I58" s="12"/>
      <c r="J58" s="35"/>
      <c r="K58" s="12"/>
      <c r="L58" s="10"/>
    </row>
    <row r="59" spans="1:12" ht="15.95" customHeight="1" x14ac:dyDescent="0.2">
      <c r="A59" s="2"/>
      <c r="B59" s="80"/>
      <c r="C59" s="50"/>
      <c r="D59" s="29" t="s">
        <v>281</v>
      </c>
      <c r="E59" s="12"/>
      <c r="F59" s="55">
        <v>10000</v>
      </c>
      <c r="G59" s="12"/>
      <c r="H59" s="54" t="s">
        <v>270</v>
      </c>
      <c r="I59" s="12"/>
      <c r="J59" s="38" t="s">
        <v>262</v>
      </c>
      <c r="K59" s="12"/>
      <c r="L59" s="13" t="s">
        <v>261</v>
      </c>
    </row>
    <row r="60" spans="1:12" ht="5.0999999999999996" customHeight="1" x14ac:dyDescent="0.25">
      <c r="A60" s="2"/>
      <c r="B60" s="80"/>
      <c r="C60" s="50"/>
      <c r="D60" s="28"/>
      <c r="E60" s="7"/>
      <c r="F60" s="36"/>
      <c r="G60" s="7"/>
      <c r="H60" s="6"/>
      <c r="I60" s="7"/>
      <c r="J60" s="36"/>
      <c r="K60" s="7"/>
      <c r="L60" s="53"/>
    </row>
    <row r="61" spans="1:12" ht="5.0999999999999996" customHeight="1" x14ac:dyDescent="0.25">
      <c r="A61" s="2"/>
      <c r="B61" s="80"/>
      <c r="C61" s="50"/>
      <c r="D61" s="51"/>
      <c r="E61" s="12"/>
      <c r="F61" s="35"/>
      <c r="G61" s="12"/>
      <c r="H61" s="9"/>
      <c r="I61" s="12"/>
      <c r="J61" s="35"/>
      <c r="K61" s="12"/>
      <c r="L61" s="10"/>
    </row>
    <row r="62" spans="1:12" ht="15.95" customHeight="1" x14ac:dyDescent="0.2">
      <c r="A62" s="2"/>
      <c r="B62" s="80"/>
      <c r="C62" s="50"/>
      <c r="D62" s="29" t="s">
        <v>282</v>
      </c>
      <c r="E62" s="12"/>
      <c r="F62" s="55">
        <v>10000</v>
      </c>
      <c r="G62" s="12"/>
      <c r="H62" s="54" t="s">
        <v>270</v>
      </c>
      <c r="I62" s="12"/>
      <c r="J62" s="38" t="s">
        <v>262</v>
      </c>
      <c r="K62" s="12"/>
      <c r="L62" s="13" t="s">
        <v>261</v>
      </c>
    </row>
    <row r="63" spans="1:12" ht="5.0999999999999996" customHeight="1" x14ac:dyDescent="0.25">
      <c r="A63" s="2"/>
      <c r="B63" s="80"/>
      <c r="C63" s="50"/>
      <c r="D63" s="28"/>
      <c r="E63" s="7"/>
      <c r="F63" s="36"/>
      <c r="G63" s="7"/>
      <c r="H63" s="6"/>
      <c r="I63" s="7"/>
      <c r="J63" s="36"/>
      <c r="K63" s="7"/>
      <c r="L63" s="53"/>
    </row>
    <row r="64" spans="1:12" ht="5.0999999999999996" customHeight="1" x14ac:dyDescent="0.25">
      <c r="A64" s="2"/>
      <c r="B64" s="80"/>
      <c r="C64" s="50"/>
      <c r="D64" s="51"/>
      <c r="E64" s="12"/>
      <c r="F64" s="35"/>
      <c r="G64" s="12"/>
      <c r="H64" s="9"/>
      <c r="I64" s="12"/>
      <c r="J64" s="35"/>
      <c r="K64" s="12"/>
      <c r="L64" s="10"/>
    </row>
    <row r="65" spans="1:12" ht="15.95" customHeight="1" x14ac:dyDescent="0.2">
      <c r="A65" s="2"/>
      <c r="B65" s="80"/>
      <c r="C65" s="50"/>
      <c r="D65" s="29" t="s">
        <v>283</v>
      </c>
      <c r="E65" s="12"/>
      <c r="F65" s="26">
        <v>10000</v>
      </c>
      <c r="G65" s="12"/>
      <c r="H65" s="54" t="s">
        <v>270</v>
      </c>
      <c r="I65" s="12"/>
      <c r="J65" s="38" t="s">
        <v>262</v>
      </c>
      <c r="K65" s="12"/>
      <c r="L65" s="13" t="s">
        <v>261</v>
      </c>
    </row>
    <row r="66" spans="1:12" ht="5.0999999999999996" customHeight="1" x14ac:dyDescent="0.25">
      <c r="A66" s="2"/>
      <c r="B66" s="80"/>
      <c r="C66" s="50"/>
      <c r="D66" s="28"/>
      <c r="E66" s="7"/>
      <c r="F66" s="36"/>
      <c r="G66" s="7"/>
      <c r="H66" s="6"/>
      <c r="I66" s="7"/>
      <c r="J66" s="36"/>
      <c r="K66" s="7"/>
      <c r="L66" s="53"/>
    </row>
    <row r="67" spans="1:12" ht="5.0999999999999996" customHeight="1" x14ac:dyDescent="0.25">
      <c r="A67" s="2"/>
      <c r="B67" s="80"/>
      <c r="C67" s="50"/>
      <c r="D67" s="51"/>
      <c r="E67" s="12"/>
      <c r="F67" s="35"/>
      <c r="G67" s="12"/>
      <c r="H67" s="9"/>
      <c r="I67" s="12"/>
      <c r="J67" s="35"/>
      <c r="K67" s="12"/>
      <c r="L67" s="10"/>
    </row>
    <row r="68" spans="1:12" ht="15.95" customHeight="1" x14ac:dyDescent="0.2">
      <c r="A68" s="2"/>
      <c r="B68" s="80"/>
      <c r="C68" s="50"/>
      <c r="D68" s="29" t="s">
        <v>284</v>
      </c>
      <c r="E68" s="12"/>
      <c r="F68" s="26">
        <v>10000</v>
      </c>
      <c r="G68" s="12"/>
      <c r="H68" s="54" t="s">
        <v>270</v>
      </c>
      <c r="I68" s="12"/>
      <c r="J68" s="38" t="s">
        <v>262</v>
      </c>
      <c r="K68" s="12"/>
      <c r="L68" s="13" t="s">
        <v>261</v>
      </c>
    </row>
    <row r="69" spans="1:12" ht="5.0999999999999996" customHeight="1" x14ac:dyDescent="0.25">
      <c r="A69" s="2"/>
      <c r="B69" s="80"/>
      <c r="C69" s="50"/>
      <c r="D69" s="28"/>
      <c r="E69" s="7"/>
      <c r="F69" s="36"/>
      <c r="G69" s="7"/>
      <c r="H69" s="6"/>
      <c r="I69" s="7"/>
      <c r="J69" s="36"/>
      <c r="K69" s="7"/>
      <c r="L69" s="53"/>
    </row>
    <row r="70" spans="1:12" ht="5.0999999999999996" customHeight="1" x14ac:dyDescent="0.25">
      <c r="A70" s="2"/>
      <c r="B70" s="80"/>
      <c r="C70" s="50"/>
      <c r="D70" s="51"/>
      <c r="E70" s="12"/>
      <c r="F70" s="35"/>
      <c r="G70" s="12"/>
      <c r="H70" s="9"/>
      <c r="I70" s="12"/>
      <c r="J70" s="35"/>
      <c r="K70" s="12"/>
      <c r="L70" s="10"/>
    </row>
    <row r="71" spans="1:12" ht="15.95" customHeight="1" x14ac:dyDescent="0.2">
      <c r="A71" s="2"/>
      <c r="B71" s="80"/>
      <c r="C71" s="50"/>
      <c r="D71" s="29" t="s">
        <v>285</v>
      </c>
      <c r="E71" s="12"/>
      <c r="F71" s="26">
        <v>10000</v>
      </c>
      <c r="G71" s="12"/>
      <c r="H71" s="54" t="s">
        <v>270</v>
      </c>
      <c r="I71" s="12"/>
      <c r="J71" s="38" t="s">
        <v>262</v>
      </c>
      <c r="K71" s="12"/>
      <c r="L71" s="13" t="s">
        <v>261</v>
      </c>
    </row>
    <row r="72" spans="1:12" ht="5.0999999999999996" customHeight="1" x14ac:dyDescent="0.25">
      <c r="A72" s="2"/>
      <c r="B72" s="80"/>
      <c r="C72" s="50"/>
      <c r="D72" s="28"/>
      <c r="E72" s="7"/>
      <c r="F72" s="36"/>
      <c r="G72" s="7"/>
      <c r="H72" s="6"/>
      <c r="I72" s="7"/>
      <c r="J72" s="36"/>
      <c r="K72" s="7"/>
      <c r="L72" s="53"/>
    </row>
    <row r="73" spans="1:12" ht="5.0999999999999996" customHeight="1" x14ac:dyDescent="0.25">
      <c r="A73" s="2"/>
      <c r="B73" s="80"/>
      <c r="C73" s="50"/>
      <c r="D73" s="51"/>
      <c r="E73" s="12"/>
      <c r="F73" s="35"/>
      <c r="G73" s="12"/>
      <c r="H73" s="9"/>
      <c r="I73" s="12"/>
      <c r="J73" s="35"/>
      <c r="K73" s="12"/>
      <c r="L73" s="10"/>
    </row>
    <row r="74" spans="1:12" ht="15.95" customHeight="1" x14ac:dyDescent="0.2">
      <c r="A74" s="2"/>
      <c r="B74" s="80"/>
      <c r="C74" s="50"/>
      <c r="D74" s="29" t="s">
        <v>286</v>
      </c>
      <c r="E74" s="12"/>
      <c r="F74" s="26">
        <v>10000</v>
      </c>
      <c r="G74" s="12"/>
      <c r="H74" s="54" t="s">
        <v>270</v>
      </c>
      <c r="I74" s="12"/>
      <c r="J74" s="38" t="s">
        <v>262</v>
      </c>
      <c r="K74" s="12"/>
      <c r="L74" s="13" t="s">
        <v>261</v>
      </c>
    </row>
    <row r="75" spans="1:12" ht="5.0999999999999996" customHeight="1" x14ac:dyDescent="0.25">
      <c r="A75" s="2"/>
      <c r="B75" s="80"/>
      <c r="C75" s="50"/>
      <c r="D75" s="28"/>
      <c r="E75" s="7"/>
      <c r="F75" s="36"/>
      <c r="G75" s="7"/>
      <c r="H75" s="6"/>
      <c r="I75" s="7"/>
      <c r="J75" s="36"/>
      <c r="K75" s="7"/>
      <c r="L75" s="53"/>
    </row>
    <row r="76" spans="1:12" ht="5.0999999999999996" customHeight="1" x14ac:dyDescent="0.25">
      <c r="A76" s="2"/>
      <c r="B76" s="80"/>
      <c r="C76" s="50"/>
      <c r="D76" s="51"/>
      <c r="E76" s="12"/>
      <c r="F76" s="35"/>
      <c r="G76" s="12"/>
      <c r="H76" s="9"/>
      <c r="I76" s="12"/>
      <c r="J76" s="35"/>
      <c r="K76" s="12"/>
      <c r="L76" s="10"/>
    </row>
    <row r="77" spans="1:12" ht="15.95" customHeight="1" x14ac:dyDescent="0.2">
      <c r="A77" s="2"/>
      <c r="B77" s="80"/>
      <c r="C77" s="50"/>
      <c r="D77" s="29" t="s">
        <v>287</v>
      </c>
      <c r="E77" s="12"/>
      <c r="F77" s="26">
        <v>10000</v>
      </c>
      <c r="G77" s="12"/>
      <c r="H77" s="54" t="s">
        <v>270</v>
      </c>
      <c r="I77" s="12"/>
      <c r="J77" s="38" t="s">
        <v>262</v>
      </c>
      <c r="K77" s="12"/>
      <c r="L77" s="13" t="s">
        <v>261</v>
      </c>
    </row>
    <row r="78" spans="1:12" ht="5.0999999999999996" customHeight="1" x14ac:dyDescent="0.25">
      <c r="A78" s="2"/>
      <c r="B78" s="80"/>
      <c r="C78" s="50"/>
      <c r="D78" s="28"/>
      <c r="E78" s="7"/>
      <c r="F78" s="36"/>
      <c r="G78" s="7"/>
      <c r="H78" s="6"/>
      <c r="I78" s="7"/>
      <c r="J78" s="36"/>
      <c r="K78" s="7"/>
      <c r="L78" s="53"/>
    </row>
    <row r="79" spans="1:12" ht="5.0999999999999996" customHeight="1" x14ac:dyDescent="0.25">
      <c r="A79" s="2"/>
      <c r="B79" s="80"/>
      <c r="C79" s="50"/>
      <c r="D79" s="51"/>
      <c r="E79" s="12"/>
      <c r="F79" s="35"/>
      <c r="G79" s="12"/>
      <c r="H79" s="9"/>
      <c r="I79" s="12"/>
      <c r="J79" s="35"/>
      <c r="K79" s="12"/>
      <c r="L79" s="10"/>
    </row>
    <row r="80" spans="1:12" ht="15.95" customHeight="1" x14ac:dyDescent="0.2">
      <c r="A80" s="2"/>
      <c r="B80" s="80"/>
      <c r="C80" s="50"/>
      <c r="D80" s="29" t="s">
        <v>288</v>
      </c>
      <c r="E80" s="12"/>
      <c r="F80" s="55">
        <v>10000</v>
      </c>
      <c r="G80" s="12"/>
      <c r="H80" s="54" t="s">
        <v>270</v>
      </c>
      <c r="I80" s="12"/>
      <c r="J80" s="38" t="s">
        <v>262</v>
      </c>
      <c r="K80" s="12"/>
      <c r="L80" s="13" t="s">
        <v>261</v>
      </c>
    </row>
    <row r="81" spans="1:12" ht="5.0999999999999996" customHeight="1" x14ac:dyDescent="0.25">
      <c r="A81" s="2"/>
      <c r="B81" s="80"/>
      <c r="C81" s="50"/>
      <c r="D81" s="28"/>
      <c r="E81" s="7"/>
      <c r="F81" s="36"/>
      <c r="G81" s="7"/>
      <c r="H81" s="6"/>
      <c r="I81" s="7"/>
      <c r="J81" s="36"/>
      <c r="K81" s="7"/>
      <c r="L81" s="53"/>
    </row>
    <row r="82" spans="1:12" ht="5.0999999999999996" customHeight="1" x14ac:dyDescent="0.25">
      <c r="A82" s="2"/>
      <c r="B82" s="80"/>
      <c r="C82" s="50"/>
      <c r="D82" s="51"/>
      <c r="E82" s="12"/>
      <c r="F82" s="35"/>
      <c r="G82" s="12"/>
      <c r="H82" s="9"/>
      <c r="I82" s="12"/>
      <c r="J82" s="35"/>
      <c r="K82" s="12"/>
      <c r="L82" s="10"/>
    </row>
    <row r="83" spans="1:12" ht="15.95" customHeight="1" x14ac:dyDescent="0.2">
      <c r="A83" s="2"/>
      <c r="B83" s="80"/>
      <c r="C83" s="50"/>
      <c r="D83" s="29" t="s">
        <v>289</v>
      </c>
      <c r="E83" s="12"/>
      <c r="F83" s="55">
        <v>10000</v>
      </c>
      <c r="G83" s="12"/>
      <c r="H83" s="54" t="s">
        <v>270</v>
      </c>
      <c r="I83" s="12"/>
      <c r="J83" s="38" t="s">
        <v>262</v>
      </c>
      <c r="K83" s="12"/>
      <c r="L83" s="13" t="s">
        <v>261</v>
      </c>
    </row>
    <row r="84" spans="1:12" ht="5.0999999999999996" customHeight="1" x14ac:dyDescent="0.25">
      <c r="A84" s="2"/>
      <c r="B84" s="80"/>
      <c r="C84" s="50"/>
      <c r="D84" s="28"/>
      <c r="E84" s="7"/>
      <c r="F84" s="36"/>
      <c r="G84" s="7"/>
      <c r="H84" s="6"/>
      <c r="I84" s="7"/>
      <c r="J84" s="36"/>
      <c r="K84" s="7"/>
      <c r="L84" s="53"/>
    </row>
    <row r="85" spans="1:12" ht="5.0999999999999996" customHeight="1" x14ac:dyDescent="0.25">
      <c r="A85" s="2"/>
      <c r="B85" s="80"/>
      <c r="C85" s="50"/>
      <c r="D85" s="51"/>
      <c r="E85" s="12"/>
      <c r="F85" s="35"/>
      <c r="G85" s="12"/>
      <c r="H85" s="9"/>
      <c r="I85" s="12"/>
      <c r="J85" s="35"/>
      <c r="K85" s="12"/>
      <c r="L85" s="10"/>
    </row>
    <row r="86" spans="1:12" ht="15.95" customHeight="1" x14ac:dyDescent="0.2">
      <c r="A86" s="2"/>
      <c r="B86" s="80"/>
      <c r="C86" s="50"/>
      <c r="D86" s="29" t="s">
        <v>290</v>
      </c>
      <c r="E86" s="12"/>
      <c r="F86" s="26">
        <v>10000</v>
      </c>
      <c r="G86" s="12"/>
      <c r="H86" s="54" t="s">
        <v>270</v>
      </c>
      <c r="I86" s="12"/>
      <c r="J86" s="38" t="s">
        <v>262</v>
      </c>
      <c r="K86" s="12"/>
      <c r="L86" s="13" t="s">
        <v>261</v>
      </c>
    </row>
    <row r="87" spans="1:12" ht="5.0999999999999996" customHeight="1" x14ac:dyDescent="0.25">
      <c r="A87" s="2"/>
      <c r="B87" s="80"/>
      <c r="C87" s="50"/>
      <c r="D87" s="28"/>
      <c r="E87" s="7"/>
      <c r="F87" s="36"/>
      <c r="G87" s="7"/>
      <c r="H87" s="6"/>
      <c r="I87" s="7"/>
      <c r="J87" s="36"/>
      <c r="K87" s="7"/>
      <c r="L87" s="53"/>
    </row>
    <row r="88" spans="1:12" ht="5.0999999999999996" customHeight="1" x14ac:dyDescent="0.25">
      <c r="A88" s="2"/>
      <c r="B88" s="80"/>
      <c r="C88" s="50"/>
      <c r="D88" s="51"/>
      <c r="E88" s="12"/>
      <c r="F88" s="35"/>
      <c r="G88" s="12"/>
      <c r="H88" s="9"/>
      <c r="I88" s="12"/>
      <c r="J88" s="35"/>
      <c r="K88" s="12"/>
      <c r="L88" s="10"/>
    </row>
    <row r="89" spans="1:12" ht="15.95" customHeight="1" x14ac:dyDescent="0.2">
      <c r="A89" s="2"/>
      <c r="B89" s="80"/>
      <c r="C89" s="50"/>
      <c r="D89" s="29" t="s">
        <v>291</v>
      </c>
      <c r="E89" s="12"/>
      <c r="F89" s="26">
        <v>10000</v>
      </c>
      <c r="G89" s="12"/>
      <c r="H89" s="54" t="s">
        <v>270</v>
      </c>
      <c r="I89" s="12"/>
      <c r="J89" s="38" t="s">
        <v>262</v>
      </c>
      <c r="K89" s="12"/>
      <c r="L89" s="13" t="s">
        <v>261</v>
      </c>
    </row>
    <row r="90" spans="1:12" ht="5.0999999999999996" customHeight="1" x14ac:dyDescent="0.25">
      <c r="A90" s="2"/>
      <c r="B90" s="80"/>
      <c r="C90" s="50"/>
      <c r="D90" s="28"/>
      <c r="E90" s="7"/>
      <c r="F90" s="36"/>
      <c r="G90" s="7"/>
      <c r="H90" s="6"/>
      <c r="I90" s="7"/>
      <c r="J90" s="36"/>
      <c r="K90" s="7"/>
      <c r="L90" s="53"/>
    </row>
    <row r="91" spans="1:12" ht="5.0999999999999996" customHeight="1" x14ac:dyDescent="0.25">
      <c r="A91" s="2"/>
      <c r="B91" s="80"/>
      <c r="C91" s="50"/>
      <c r="D91" s="51"/>
      <c r="E91" s="12"/>
      <c r="F91" s="35"/>
      <c r="G91" s="12"/>
      <c r="H91" s="9"/>
      <c r="I91" s="12"/>
      <c r="J91" s="35"/>
      <c r="K91" s="12"/>
      <c r="L91" s="10"/>
    </row>
    <row r="92" spans="1:12" ht="15.95" customHeight="1" x14ac:dyDescent="0.2">
      <c r="A92" s="2"/>
      <c r="B92" s="80"/>
      <c r="C92" s="50"/>
      <c r="D92" s="29" t="s">
        <v>292</v>
      </c>
      <c r="E92" s="12"/>
      <c r="F92" s="26">
        <v>10000</v>
      </c>
      <c r="G92" s="12"/>
      <c r="H92" s="54" t="s">
        <v>270</v>
      </c>
      <c r="I92" s="12"/>
      <c r="J92" s="38" t="s">
        <v>262</v>
      </c>
      <c r="K92" s="12"/>
      <c r="L92" s="13" t="s">
        <v>261</v>
      </c>
    </row>
    <row r="93" spans="1:12" ht="5.0999999999999996" customHeight="1" x14ac:dyDescent="0.25">
      <c r="A93" s="2"/>
      <c r="B93" s="80"/>
      <c r="C93" s="50"/>
      <c r="D93" s="28"/>
      <c r="E93" s="7"/>
      <c r="F93" s="36"/>
      <c r="G93" s="7"/>
      <c r="H93" s="6"/>
      <c r="I93" s="7"/>
      <c r="J93" s="36"/>
      <c r="K93" s="7"/>
      <c r="L93" s="53"/>
    </row>
    <row r="94" spans="1:12" ht="4.9000000000000004" customHeight="1" x14ac:dyDescent="0.25">
      <c r="A94" s="2"/>
      <c r="B94" s="80"/>
      <c r="C94" s="50"/>
      <c r="D94" s="51"/>
      <c r="E94" s="12"/>
      <c r="F94" s="35"/>
      <c r="G94" s="12"/>
      <c r="H94" s="9"/>
      <c r="I94" s="12"/>
      <c r="J94" s="35"/>
      <c r="K94" s="12"/>
      <c r="L94" s="10"/>
    </row>
    <row r="95" spans="1:12" ht="15.75" customHeight="1" x14ac:dyDescent="0.2">
      <c r="A95" s="2"/>
      <c r="B95" s="80"/>
      <c r="C95" s="50"/>
      <c r="D95" s="29" t="s">
        <v>293</v>
      </c>
      <c r="E95" s="12"/>
      <c r="F95" s="26">
        <v>10000</v>
      </c>
      <c r="G95" s="12"/>
      <c r="H95" s="54" t="s">
        <v>270</v>
      </c>
      <c r="I95" s="12"/>
      <c r="J95" s="38" t="s">
        <v>262</v>
      </c>
      <c r="K95" s="12"/>
      <c r="L95" s="13" t="s">
        <v>261</v>
      </c>
    </row>
    <row r="96" spans="1:12" ht="4.9000000000000004" customHeight="1" x14ac:dyDescent="0.25">
      <c r="A96" s="2"/>
      <c r="B96" s="80"/>
      <c r="C96" s="50"/>
      <c r="D96" s="28"/>
      <c r="E96" s="7"/>
      <c r="F96" s="36"/>
      <c r="G96" s="7"/>
      <c r="H96" s="6"/>
      <c r="I96" s="7"/>
      <c r="J96" s="36"/>
      <c r="K96" s="7"/>
      <c r="L96" s="53"/>
    </row>
    <row r="97" spans="1:12" ht="4.9000000000000004" customHeight="1" x14ac:dyDescent="0.25">
      <c r="A97" s="2"/>
      <c r="B97" s="80"/>
      <c r="C97" s="50"/>
      <c r="D97" s="51"/>
      <c r="E97" s="12"/>
      <c r="F97" s="35"/>
      <c r="G97" s="12"/>
      <c r="H97" s="9"/>
      <c r="I97" s="12"/>
      <c r="J97" s="35"/>
      <c r="K97" s="12"/>
      <c r="L97" s="10"/>
    </row>
    <row r="98" spans="1:12" ht="15.75" customHeight="1" x14ac:dyDescent="0.2">
      <c r="A98" s="2"/>
      <c r="B98" s="80"/>
      <c r="C98" s="50"/>
      <c r="D98" s="29" t="s">
        <v>294</v>
      </c>
      <c r="E98" s="12"/>
      <c r="F98" s="26">
        <v>10000</v>
      </c>
      <c r="G98" s="12"/>
      <c r="H98" s="54" t="s">
        <v>270</v>
      </c>
      <c r="I98" s="12"/>
      <c r="J98" s="38" t="s">
        <v>262</v>
      </c>
      <c r="K98" s="12"/>
      <c r="L98" s="13" t="s">
        <v>261</v>
      </c>
    </row>
    <row r="99" spans="1:12" ht="4.9000000000000004" customHeight="1" x14ac:dyDescent="0.25">
      <c r="A99" s="2"/>
      <c r="B99" s="80"/>
      <c r="C99" s="50"/>
      <c r="D99" s="28"/>
      <c r="E99" s="7"/>
      <c r="F99" s="36"/>
      <c r="G99" s="7"/>
      <c r="H99" s="6"/>
      <c r="I99" s="7"/>
      <c r="J99" s="36"/>
      <c r="K99" s="7"/>
      <c r="L99" s="53"/>
    </row>
    <row r="100" spans="1:12" ht="4.9000000000000004" customHeight="1" x14ac:dyDescent="0.25">
      <c r="A100" s="2"/>
      <c r="B100" s="80"/>
      <c r="C100" s="50"/>
      <c r="D100" s="51"/>
      <c r="E100" s="12"/>
      <c r="F100" s="35"/>
      <c r="G100" s="12"/>
      <c r="H100" s="9"/>
      <c r="I100" s="12"/>
      <c r="J100" s="35"/>
      <c r="K100" s="12"/>
      <c r="L100" s="10"/>
    </row>
    <row r="101" spans="1:12" ht="15.75" customHeight="1" x14ac:dyDescent="0.2">
      <c r="A101" s="2"/>
      <c r="B101" s="80"/>
      <c r="C101" s="50"/>
      <c r="D101" s="29" t="s">
        <v>295</v>
      </c>
      <c r="E101" s="12"/>
      <c r="F101" s="55">
        <v>10000</v>
      </c>
      <c r="G101" s="12"/>
      <c r="H101" s="54" t="s">
        <v>270</v>
      </c>
      <c r="I101" s="12"/>
      <c r="J101" s="38" t="s">
        <v>262</v>
      </c>
      <c r="K101" s="12"/>
      <c r="L101" s="13" t="s">
        <v>261</v>
      </c>
    </row>
    <row r="102" spans="1:12" ht="4.9000000000000004" customHeight="1" x14ac:dyDescent="0.25">
      <c r="A102" s="2"/>
      <c r="B102" s="80"/>
      <c r="C102" s="50"/>
      <c r="D102" s="28"/>
      <c r="E102" s="7"/>
      <c r="F102" s="36"/>
      <c r="G102" s="7"/>
      <c r="H102" s="6"/>
      <c r="I102" s="7"/>
      <c r="J102" s="36"/>
      <c r="K102" s="7"/>
      <c r="L102" s="53"/>
    </row>
    <row r="103" spans="1:12" ht="4.9000000000000004" customHeight="1" x14ac:dyDescent="0.25">
      <c r="A103" s="2"/>
      <c r="B103" s="80"/>
      <c r="C103" s="50"/>
      <c r="D103" s="51"/>
      <c r="E103" s="12"/>
      <c r="F103" s="35"/>
      <c r="G103" s="12"/>
      <c r="H103" s="9"/>
      <c r="I103" s="12"/>
      <c r="J103" s="35"/>
      <c r="K103" s="12"/>
      <c r="L103" s="10"/>
    </row>
    <row r="104" spans="1:12" ht="15.75" customHeight="1" x14ac:dyDescent="0.2">
      <c r="A104" s="2"/>
      <c r="B104" s="80"/>
      <c r="C104" s="50"/>
      <c r="D104" s="29" t="s">
        <v>296</v>
      </c>
      <c r="E104" s="12"/>
      <c r="F104" s="55">
        <v>10000</v>
      </c>
      <c r="G104" s="12"/>
      <c r="H104" s="54" t="s">
        <v>270</v>
      </c>
      <c r="I104" s="12"/>
      <c r="J104" s="38" t="s">
        <v>262</v>
      </c>
      <c r="K104" s="12"/>
      <c r="L104" s="13" t="s">
        <v>261</v>
      </c>
    </row>
    <row r="105" spans="1:12" ht="4.9000000000000004" customHeight="1" x14ac:dyDescent="0.25">
      <c r="A105" s="2"/>
      <c r="B105" s="80"/>
      <c r="C105" s="50"/>
      <c r="D105" s="28"/>
      <c r="E105" s="7"/>
      <c r="F105" s="36"/>
      <c r="G105" s="7"/>
      <c r="H105" s="6"/>
      <c r="I105" s="7"/>
      <c r="J105" s="36"/>
      <c r="K105" s="7"/>
      <c r="L105" s="53"/>
    </row>
    <row r="106" spans="1:12" ht="4.9000000000000004" customHeight="1" x14ac:dyDescent="0.25">
      <c r="A106" s="2"/>
      <c r="B106" s="80"/>
      <c r="C106" s="50"/>
      <c r="D106" s="51"/>
      <c r="E106" s="12"/>
      <c r="F106" s="35"/>
      <c r="G106" s="12"/>
      <c r="H106" s="9"/>
      <c r="I106" s="12"/>
      <c r="J106" s="35"/>
      <c r="K106" s="12"/>
      <c r="L106" s="10"/>
    </row>
    <row r="107" spans="1:12" ht="15.75" customHeight="1" x14ac:dyDescent="0.2">
      <c r="A107" s="2"/>
      <c r="B107" s="80"/>
      <c r="C107" s="50"/>
      <c r="D107" s="29" t="s">
        <v>297</v>
      </c>
      <c r="E107" s="12"/>
      <c r="F107" s="26">
        <v>10000</v>
      </c>
      <c r="G107" s="12"/>
      <c r="H107" s="54" t="s">
        <v>270</v>
      </c>
      <c r="I107" s="12"/>
      <c r="J107" s="38" t="s">
        <v>262</v>
      </c>
      <c r="K107" s="12"/>
      <c r="L107" s="13" t="s">
        <v>261</v>
      </c>
    </row>
    <row r="108" spans="1:12" ht="4.9000000000000004" customHeight="1" x14ac:dyDescent="0.25">
      <c r="A108" s="2"/>
      <c r="B108" s="80"/>
      <c r="C108" s="50"/>
      <c r="D108" s="28"/>
      <c r="E108" s="7"/>
      <c r="F108" s="36"/>
      <c r="G108" s="7"/>
      <c r="H108" s="6"/>
      <c r="I108" s="7"/>
      <c r="J108" s="36"/>
      <c r="K108" s="7"/>
      <c r="L108" s="53"/>
    </row>
    <row r="109" spans="1:12" ht="4.9000000000000004" customHeight="1" x14ac:dyDescent="0.25">
      <c r="A109" s="2"/>
      <c r="B109" s="80"/>
      <c r="C109" s="50"/>
      <c r="D109" s="51"/>
      <c r="E109" s="12"/>
      <c r="F109" s="35"/>
      <c r="G109" s="12"/>
      <c r="H109" s="9"/>
      <c r="I109" s="12"/>
      <c r="J109" s="35"/>
      <c r="K109" s="12"/>
      <c r="L109" s="10"/>
    </row>
    <row r="110" spans="1:12" ht="15.75" customHeight="1" x14ac:dyDescent="0.2">
      <c r="A110" s="2"/>
      <c r="B110" s="80"/>
      <c r="C110" s="50"/>
      <c r="D110" s="29" t="s">
        <v>298</v>
      </c>
      <c r="E110" s="12"/>
      <c r="F110" s="32">
        <v>10000</v>
      </c>
      <c r="G110" s="12"/>
      <c r="H110" s="54" t="s">
        <v>299</v>
      </c>
      <c r="I110" s="12"/>
      <c r="J110" s="40" t="s">
        <v>262</v>
      </c>
      <c r="K110" s="12"/>
      <c r="L110" s="13" t="s">
        <v>300</v>
      </c>
    </row>
    <row r="111" spans="1:12" ht="4.9000000000000004" customHeight="1" x14ac:dyDescent="0.25">
      <c r="A111" s="2"/>
      <c r="B111" s="80"/>
      <c r="C111" s="50"/>
      <c r="D111" s="28"/>
      <c r="E111" s="7"/>
      <c r="F111" s="36"/>
      <c r="G111" s="7"/>
      <c r="H111" s="6"/>
      <c r="I111" s="7"/>
      <c r="J111" s="36"/>
      <c r="K111" s="7"/>
      <c r="L111" s="53"/>
    </row>
    <row r="112" spans="1:12" ht="4.9000000000000004" customHeight="1" x14ac:dyDescent="0.25">
      <c r="A112" s="2"/>
      <c r="B112" s="80"/>
      <c r="C112" s="50"/>
      <c r="D112" s="51"/>
      <c r="E112" s="12"/>
      <c r="F112" s="35"/>
      <c r="G112" s="12"/>
      <c r="H112" s="9"/>
      <c r="I112" s="12"/>
      <c r="J112" s="35"/>
      <c r="K112" s="12"/>
      <c r="L112" s="10"/>
    </row>
    <row r="113" spans="1:12" ht="15.75" customHeight="1" x14ac:dyDescent="0.2">
      <c r="A113" s="2"/>
      <c r="B113" s="80"/>
      <c r="C113" s="50"/>
      <c r="D113" s="48" t="s">
        <v>301</v>
      </c>
      <c r="E113" s="12"/>
      <c r="F113" s="49">
        <v>10000</v>
      </c>
      <c r="G113" s="12"/>
      <c r="H113" s="54" t="s">
        <v>302</v>
      </c>
      <c r="I113" s="12"/>
      <c r="J113" s="38" t="s">
        <v>262</v>
      </c>
      <c r="K113" s="12"/>
      <c r="L113" s="13" t="s">
        <v>261</v>
      </c>
    </row>
    <row r="114" spans="1:12" ht="4.9000000000000004" customHeight="1" x14ac:dyDescent="0.25">
      <c r="A114" s="2"/>
      <c r="B114" s="80"/>
      <c r="C114" s="50"/>
      <c r="D114" s="28"/>
      <c r="E114" s="7"/>
      <c r="F114" s="36"/>
      <c r="G114" s="7"/>
      <c r="H114" s="6"/>
      <c r="I114" s="7"/>
      <c r="J114" s="36"/>
      <c r="K114" s="7"/>
      <c r="L114" s="53"/>
    </row>
    <row r="115" spans="1:12" ht="5.0999999999999996" customHeight="1" x14ac:dyDescent="0.25">
      <c r="A115" s="2"/>
      <c r="B115" s="80"/>
      <c r="C115" s="50"/>
      <c r="D115" s="51"/>
      <c r="E115" s="12"/>
      <c r="F115" s="35"/>
      <c r="G115" s="12"/>
      <c r="H115" s="9"/>
      <c r="I115" s="12"/>
      <c r="J115" s="35"/>
      <c r="K115" s="12"/>
      <c r="L115" s="10"/>
    </row>
    <row r="116" spans="1:12" ht="15.75" customHeight="1" x14ac:dyDescent="0.2">
      <c r="A116" s="2"/>
      <c r="B116" s="80"/>
      <c r="C116" s="50"/>
      <c r="D116" s="29" t="s">
        <v>303</v>
      </c>
      <c r="E116" s="12"/>
      <c r="F116" s="68">
        <v>10000</v>
      </c>
      <c r="G116" s="12"/>
      <c r="H116" s="67" t="s">
        <v>263</v>
      </c>
      <c r="I116" s="12"/>
      <c r="J116" s="38" t="s">
        <v>262</v>
      </c>
      <c r="K116" s="12"/>
      <c r="L116" s="13" t="s">
        <v>263</v>
      </c>
    </row>
    <row r="117" spans="1:12" ht="5.0999999999999996" customHeight="1" x14ac:dyDescent="0.25">
      <c r="A117" s="2"/>
      <c r="B117" s="80"/>
      <c r="C117" s="50"/>
      <c r="D117" s="28"/>
      <c r="E117" s="7"/>
      <c r="F117" s="36"/>
      <c r="G117" s="7"/>
      <c r="H117" s="6"/>
      <c r="I117" s="7"/>
      <c r="J117" s="36"/>
      <c r="K117" s="7"/>
      <c r="L117" s="53"/>
    </row>
    <row r="118" spans="1:12" ht="5.0999999999999996" customHeight="1" x14ac:dyDescent="0.25">
      <c r="A118" s="2"/>
      <c r="B118" s="80"/>
      <c r="C118" s="50"/>
      <c r="D118" s="51"/>
      <c r="E118" s="12"/>
      <c r="F118" s="35"/>
      <c r="G118" s="12"/>
      <c r="H118" s="9"/>
      <c r="I118" s="12"/>
      <c r="J118" s="35"/>
      <c r="K118" s="12"/>
      <c r="L118" s="10"/>
    </row>
    <row r="119" spans="1:12" ht="15.75" customHeight="1" x14ac:dyDescent="0.2">
      <c r="A119" s="2"/>
      <c r="B119" s="80"/>
      <c r="C119" s="50"/>
      <c r="D119" s="29" t="s">
        <v>304</v>
      </c>
      <c r="E119" s="12"/>
      <c r="F119" s="69">
        <v>10000</v>
      </c>
      <c r="G119" s="12"/>
      <c r="H119" s="54" t="s">
        <v>263</v>
      </c>
      <c r="I119" s="12"/>
      <c r="J119" s="38" t="s">
        <v>262</v>
      </c>
      <c r="K119" s="12"/>
      <c r="L119" s="13" t="s">
        <v>263</v>
      </c>
    </row>
    <row r="120" spans="1:12" ht="5.0999999999999996" customHeight="1" x14ac:dyDescent="0.25">
      <c r="A120" s="2"/>
      <c r="B120" s="80"/>
      <c r="C120" s="50"/>
      <c r="D120" s="28"/>
      <c r="E120" s="7"/>
      <c r="F120" s="36"/>
      <c r="G120" s="7"/>
      <c r="H120" s="6"/>
      <c r="I120" s="7"/>
      <c r="J120" s="36"/>
      <c r="K120" s="7"/>
      <c r="L120" s="53"/>
    </row>
    <row r="121" spans="1:12" ht="5.0999999999999996" customHeight="1" x14ac:dyDescent="0.25">
      <c r="A121" s="2"/>
      <c r="B121" s="80"/>
      <c r="C121" s="50"/>
      <c r="D121" s="51"/>
      <c r="E121" s="12"/>
      <c r="F121" s="35"/>
      <c r="G121" s="12"/>
      <c r="H121" s="9"/>
      <c r="I121" s="12"/>
      <c r="J121" s="35"/>
      <c r="K121" s="12"/>
      <c r="L121" s="10"/>
    </row>
    <row r="122" spans="1:12" ht="15.75" customHeight="1" x14ac:dyDescent="0.2">
      <c r="A122" s="2"/>
      <c r="B122" s="80"/>
      <c r="C122" s="50"/>
      <c r="D122" s="29" t="s">
        <v>305</v>
      </c>
      <c r="E122" s="12"/>
      <c r="F122" s="69">
        <v>10000</v>
      </c>
      <c r="G122" s="12"/>
      <c r="H122" s="54" t="s">
        <v>263</v>
      </c>
      <c r="I122" s="12"/>
      <c r="J122" s="38" t="s">
        <v>262</v>
      </c>
      <c r="K122" s="12"/>
      <c r="L122" s="13" t="s">
        <v>263</v>
      </c>
    </row>
    <row r="123" spans="1:12" ht="5.0999999999999996" customHeight="1" x14ac:dyDescent="0.25">
      <c r="A123" s="2"/>
      <c r="B123" s="80"/>
      <c r="C123" s="50"/>
      <c r="D123" s="28"/>
      <c r="E123" s="7"/>
      <c r="F123" s="36"/>
      <c r="G123" s="7"/>
      <c r="H123" s="6"/>
      <c r="I123" s="7"/>
      <c r="J123" s="36"/>
      <c r="K123" s="7"/>
      <c r="L123" s="53"/>
    </row>
    <row r="124" spans="1:12" ht="5.0999999999999996" customHeight="1" x14ac:dyDescent="0.25">
      <c r="A124" s="2"/>
      <c r="B124" s="80"/>
      <c r="C124" s="50"/>
      <c r="D124" s="51"/>
      <c r="E124" s="12"/>
      <c r="F124" s="35"/>
      <c r="G124" s="12"/>
      <c r="H124" s="9"/>
      <c r="I124" s="12"/>
      <c r="J124" s="35"/>
      <c r="K124" s="12"/>
      <c r="L124" s="10"/>
    </row>
    <row r="125" spans="1:12" ht="15.75" customHeight="1" x14ac:dyDescent="0.2">
      <c r="A125" s="2"/>
      <c r="B125" s="80"/>
      <c r="C125" s="50"/>
      <c r="D125" s="29" t="s">
        <v>306</v>
      </c>
      <c r="E125" s="12"/>
      <c r="F125" s="69">
        <v>10000</v>
      </c>
      <c r="G125" s="12"/>
      <c r="H125" s="54" t="s">
        <v>263</v>
      </c>
      <c r="I125" s="12"/>
      <c r="J125" s="38" t="s">
        <v>262</v>
      </c>
      <c r="K125" s="12"/>
      <c r="L125" s="13" t="s">
        <v>263</v>
      </c>
    </row>
    <row r="126" spans="1:12" ht="5.0999999999999996" customHeight="1" x14ac:dyDescent="0.25">
      <c r="A126" s="2"/>
      <c r="B126" s="80"/>
      <c r="C126" s="50"/>
      <c r="D126" s="28"/>
      <c r="E126" s="7"/>
      <c r="F126" s="36"/>
      <c r="G126" s="7"/>
      <c r="H126" s="6"/>
      <c r="I126" s="7"/>
      <c r="J126" s="36"/>
      <c r="K126" s="7"/>
      <c r="L126" s="53"/>
    </row>
    <row r="127" spans="1:12" ht="5.0999999999999996" customHeight="1" x14ac:dyDescent="0.25">
      <c r="A127" s="2"/>
      <c r="B127" s="80"/>
      <c r="C127" s="50"/>
      <c r="D127" s="51"/>
      <c r="E127" s="12"/>
      <c r="F127" s="35"/>
      <c r="G127" s="12"/>
      <c r="H127" s="9"/>
      <c r="I127" s="12"/>
      <c r="J127" s="35"/>
      <c r="K127" s="12"/>
      <c r="L127" s="10"/>
    </row>
    <row r="128" spans="1:12" ht="15.75" customHeight="1" x14ac:dyDescent="0.2">
      <c r="A128" s="2"/>
      <c r="B128" s="80"/>
      <c r="C128" s="50"/>
      <c r="D128" s="29" t="s">
        <v>206</v>
      </c>
      <c r="E128" s="12"/>
      <c r="F128" s="69">
        <v>10000</v>
      </c>
      <c r="G128" s="12"/>
      <c r="H128" s="54" t="s">
        <v>263</v>
      </c>
      <c r="I128" s="12"/>
      <c r="J128" s="38" t="s">
        <v>262</v>
      </c>
      <c r="K128" s="12"/>
      <c r="L128" s="13" t="s">
        <v>263</v>
      </c>
    </row>
    <row r="129" spans="1:12" ht="5.0999999999999996" customHeight="1" x14ac:dyDescent="0.25">
      <c r="A129" s="2"/>
      <c r="B129" s="80"/>
      <c r="C129" s="50"/>
      <c r="D129" s="28"/>
      <c r="E129" s="7"/>
      <c r="F129" s="36"/>
      <c r="G129" s="7"/>
      <c r="H129" s="6"/>
      <c r="I129" s="7"/>
      <c r="J129" s="36"/>
      <c r="K129" s="7"/>
      <c r="L129" s="53"/>
    </row>
    <row r="130" spans="1:12" ht="5.0999999999999996" customHeight="1" x14ac:dyDescent="0.25">
      <c r="A130" s="2"/>
      <c r="B130" s="80"/>
      <c r="C130" s="50"/>
      <c r="D130" s="51"/>
      <c r="E130" s="12"/>
      <c r="F130" s="35"/>
      <c r="G130" s="12"/>
      <c r="H130" s="9"/>
      <c r="I130" s="12"/>
      <c r="J130" s="35"/>
      <c r="K130" s="12"/>
      <c r="L130" s="10"/>
    </row>
    <row r="131" spans="1:12" ht="15.75" customHeight="1" x14ac:dyDescent="0.2">
      <c r="A131" s="2"/>
      <c r="B131" s="80"/>
      <c r="C131" s="50"/>
      <c r="D131" s="29" t="s">
        <v>205</v>
      </c>
      <c r="E131" s="12"/>
      <c r="F131" s="69">
        <v>10000</v>
      </c>
      <c r="G131" s="12"/>
      <c r="H131" s="54" t="s">
        <v>263</v>
      </c>
      <c r="I131" s="12"/>
      <c r="J131" s="38" t="s">
        <v>262</v>
      </c>
      <c r="K131" s="12"/>
      <c r="L131" s="13" t="s">
        <v>263</v>
      </c>
    </row>
    <row r="132" spans="1:12" ht="5.0999999999999996" customHeight="1" x14ac:dyDescent="0.25">
      <c r="A132" s="2"/>
      <c r="B132" s="80"/>
      <c r="C132" s="50"/>
      <c r="D132" s="28"/>
      <c r="E132" s="7"/>
      <c r="F132" s="36"/>
      <c r="G132" s="7"/>
      <c r="H132" s="6"/>
      <c r="I132" s="7"/>
      <c r="J132" s="36"/>
      <c r="K132" s="7"/>
      <c r="L132" s="53"/>
    </row>
    <row r="133" spans="1:12" ht="5.0999999999999996" customHeight="1" x14ac:dyDescent="0.25">
      <c r="A133" s="2"/>
      <c r="B133" s="80"/>
      <c r="C133" s="50"/>
      <c r="D133" s="51"/>
      <c r="E133" s="12"/>
      <c r="F133" s="35"/>
      <c r="G133" s="12"/>
      <c r="H133" s="9"/>
      <c r="I133" s="12"/>
      <c r="J133" s="35"/>
      <c r="K133" s="12"/>
      <c r="L133" s="10"/>
    </row>
    <row r="134" spans="1:12" ht="15.75" customHeight="1" x14ac:dyDescent="0.2">
      <c r="A134" s="2"/>
      <c r="B134" s="80"/>
      <c r="C134" s="50"/>
      <c r="D134" s="29" t="s">
        <v>207</v>
      </c>
      <c r="E134" s="12"/>
      <c r="F134" s="69">
        <v>10000</v>
      </c>
      <c r="G134" s="12"/>
      <c r="H134" s="54" t="s">
        <v>263</v>
      </c>
      <c r="I134" s="12"/>
      <c r="J134" s="38" t="s">
        <v>262</v>
      </c>
      <c r="K134" s="12"/>
      <c r="L134" s="13" t="s">
        <v>263</v>
      </c>
    </row>
    <row r="135" spans="1:12" ht="5.0999999999999996" customHeight="1" x14ac:dyDescent="0.25">
      <c r="A135" s="2"/>
      <c r="B135" s="80"/>
      <c r="C135" s="50"/>
      <c r="D135" s="28"/>
      <c r="E135" s="7"/>
      <c r="F135" s="36"/>
      <c r="G135" s="7"/>
      <c r="H135" s="6"/>
      <c r="I135" s="7"/>
      <c r="J135" s="36"/>
      <c r="K135" s="7"/>
      <c r="L135" s="53"/>
    </row>
    <row r="136" spans="1:12" ht="5.0999999999999996" customHeight="1" x14ac:dyDescent="0.25">
      <c r="A136" s="2"/>
      <c r="B136" s="80"/>
      <c r="C136" s="50"/>
      <c r="D136" s="51"/>
      <c r="E136" s="12"/>
      <c r="F136" s="35"/>
      <c r="G136" s="12"/>
      <c r="H136" s="9"/>
      <c r="I136" s="12"/>
      <c r="J136" s="35"/>
      <c r="K136" s="12"/>
      <c r="L136" s="10"/>
    </row>
    <row r="137" spans="1:12" ht="15.75" customHeight="1" x14ac:dyDescent="0.2">
      <c r="A137" s="2"/>
      <c r="B137" s="80"/>
      <c r="C137" s="50"/>
      <c r="D137" s="29" t="s">
        <v>307</v>
      </c>
      <c r="E137" s="12"/>
      <c r="F137" s="69">
        <v>10000</v>
      </c>
      <c r="G137" s="12"/>
      <c r="H137" s="54" t="s">
        <v>263</v>
      </c>
      <c r="I137" s="12"/>
      <c r="J137" s="38" t="s">
        <v>262</v>
      </c>
      <c r="K137" s="12"/>
      <c r="L137" s="13" t="s">
        <v>263</v>
      </c>
    </row>
    <row r="138" spans="1:12" ht="5.0999999999999996" customHeight="1" x14ac:dyDescent="0.25">
      <c r="A138" s="2"/>
      <c r="B138" s="80"/>
      <c r="C138" s="50"/>
      <c r="D138" s="28"/>
      <c r="E138" s="7"/>
      <c r="F138" s="36"/>
      <c r="G138" s="7"/>
      <c r="H138" s="6"/>
      <c r="I138" s="7"/>
      <c r="J138" s="36"/>
      <c r="K138" s="7"/>
      <c r="L138" s="53"/>
    </row>
    <row r="139" spans="1:12" ht="5.0999999999999996" customHeight="1" x14ac:dyDescent="0.25">
      <c r="A139" s="2"/>
      <c r="B139" s="80"/>
      <c r="C139" s="50"/>
      <c r="D139" s="51"/>
      <c r="E139" s="12"/>
      <c r="F139" s="35"/>
      <c r="G139" s="12"/>
      <c r="H139" s="9"/>
      <c r="I139" s="12"/>
      <c r="J139" s="35"/>
      <c r="K139" s="12"/>
      <c r="L139" s="10"/>
    </row>
    <row r="140" spans="1:12" ht="15.75" customHeight="1" x14ac:dyDescent="0.2">
      <c r="A140" s="2"/>
      <c r="B140" s="80"/>
      <c r="C140" s="50"/>
      <c r="D140" s="29" t="s">
        <v>308</v>
      </c>
      <c r="E140" s="12"/>
      <c r="F140" s="69">
        <v>10000</v>
      </c>
      <c r="G140" s="12"/>
      <c r="H140" s="54" t="s">
        <v>263</v>
      </c>
      <c r="I140" s="12"/>
      <c r="J140" s="38" t="s">
        <v>262</v>
      </c>
      <c r="K140" s="12"/>
      <c r="L140" s="13" t="s">
        <v>263</v>
      </c>
    </row>
    <row r="141" spans="1:12" ht="5.0999999999999996" customHeight="1" x14ac:dyDescent="0.25">
      <c r="A141" s="2"/>
      <c r="B141" s="80"/>
      <c r="C141" s="50"/>
      <c r="D141" s="28"/>
      <c r="E141" s="7"/>
      <c r="F141" s="36"/>
      <c r="G141" s="7"/>
      <c r="H141" s="6"/>
      <c r="I141" s="7"/>
      <c r="J141" s="36"/>
      <c r="K141" s="7"/>
      <c r="L141" s="53"/>
    </row>
    <row r="142" spans="1:12" ht="5.0999999999999996" customHeight="1" x14ac:dyDescent="0.25">
      <c r="A142" s="2"/>
      <c r="B142" s="80"/>
      <c r="C142" s="50"/>
      <c r="D142" s="51"/>
      <c r="E142" s="12"/>
      <c r="F142" s="35"/>
      <c r="G142" s="12"/>
      <c r="H142" s="9"/>
      <c r="I142" s="12"/>
      <c r="J142" s="35"/>
      <c r="K142" s="12"/>
      <c r="L142" s="10"/>
    </row>
    <row r="143" spans="1:12" ht="15.75" customHeight="1" x14ac:dyDescent="0.2">
      <c r="A143" s="2"/>
      <c r="B143" s="80"/>
      <c r="C143" s="50"/>
      <c r="D143" s="29" t="s">
        <v>309</v>
      </c>
      <c r="E143" s="12"/>
      <c r="F143" s="69">
        <v>10000</v>
      </c>
      <c r="G143" s="12"/>
      <c r="H143" s="54" t="s">
        <v>263</v>
      </c>
      <c r="I143" s="12"/>
      <c r="J143" s="38" t="s">
        <v>262</v>
      </c>
      <c r="K143" s="12"/>
      <c r="L143" s="13" t="s">
        <v>263</v>
      </c>
    </row>
    <row r="144" spans="1:12" ht="5.0999999999999996" customHeight="1" x14ac:dyDescent="0.25">
      <c r="A144" s="2"/>
      <c r="B144" s="80"/>
      <c r="C144" s="50"/>
      <c r="D144" s="28"/>
      <c r="E144" s="7"/>
      <c r="F144" s="36"/>
      <c r="G144" s="7"/>
      <c r="H144" s="6"/>
      <c r="I144" s="7"/>
      <c r="J144" s="36"/>
      <c r="K144" s="7"/>
      <c r="L144" s="53"/>
    </row>
    <row r="145" spans="1:12" ht="5.0999999999999996" customHeight="1" x14ac:dyDescent="0.25">
      <c r="A145" s="2"/>
      <c r="B145" s="80"/>
      <c r="C145" s="50"/>
      <c r="D145" s="51"/>
      <c r="E145" s="12"/>
      <c r="F145" s="35"/>
      <c r="G145" s="12"/>
      <c r="H145" s="9"/>
      <c r="I145" s="12"/>
      <c r="J145" s="35"/>
      <c r="K145" s="12"/>
      <c r="L145" s="10"/>
    </row>
    <row r="146" spans="1:12" ht="15.75" customHeight="1" x14ac:dyDescent="0.2">
      <c r="A146" s="2"/>
      <c r="B146" s="80"/>
      <c r="C146" s="50"/>
      <c r="D146" s="29" t="s">
        <v>209</v>
      </c>
      <c r="E146" s="12"/>
      <c r="F146" s="69">
        <v>10000</v>
      </c>
      <c r="G146" s="12"/>
      <c r="H146" s="54" t="s">
        <v>263</v>
      </c>
      <c r="I146" s="12"/>
      <c r="J146" s="38" t="s">
        <v>262</v>
      </c>
      <c r="K146" s="12"/>
      <c r="L146" s="13" t="s">
        <v>263</v>
      </c>
    </row>
    <row r="147" spans="1:12" ht="5.0999999999999996" customHeight="1" x14ac:dyDescent="0.25">
      <c r="A147" s="2"/>
      <c r="B147" s="80"/>
      <c r="C147" s="50"/>
      <c r="D147" s="28"/>
      <c r="E147" s="7"/>
      <c r="F147" s="36"/>
      <c r="G147" s="7"/>
      <c r="H147" s="6"/>
      <c r="I147" s="7"/>
      <c r="J147" s="36"/>
      <c r="K147" s="7"/>
      <c r="L147" s="53"/>
    </row>
    <row r="148" spans="1:12" ht="21.95" customHeight="1" x14ac:dyDescent="0.25">
      <c r="A148" s="2"/>
      <c r="B148" s="80"/>
      <c r="C148" s="50"/>
      <c r="D148" s="2"/>
      <c r="E148" s="2"/>
      <c r="F148" s="33"/>
      <c r="G148" s="2"/>
      <c r="H148" s="9"/>
      <c r="I148" s="2"/>
      <c r="J148" s="33"/>
      <c r="K148" s="2"/>
      <c r="L148" s="10"/>
    </row>
    <row r="149" spans="1:12" ht="5.0999999999999996" customHeight="1" thickBot="1" x14ac:dyDescent="0.3">
      <c r="A149" s="2"/>
      <c r="B149" s="81"/>
      <c r="C149" s="75"/>
      <c r="D149" s="70"/>
      <c r="E149" s="70"/>
      <c r="F149" s="78"/>
      <c r="G149" s="70"/>
      <c r="H149" s="73"/>
      <c r="I149" s="70"/>
      <c r="J149" s="78"/>
      <c r="K149" s="70"/>
      <c r="L149" s="74"/>
    </row>
    <row r="150" spans="1:12" ht="15.95" customHeight="1" x14ac:dyDescent="0.25">
      <c r="A150" s="2"/>
      <c r="B150" s="96" t="s">
        <v>255</v>
      </c>
      <c r="C150" s="14"/>
      <c r="D150" s="14"/>
      <c r="E150" s="14"/>
      <c r="F150" s="34"/>
      <c r="G150" s="14"/>
      <c r="H150" s="14"/>
      <c r="I150" s="14"/>
      <c r="J150" s="34"/>
      <c r="K150" s="14"/>
      <c r="L150" s="15"/>
    </row>
    <row r="151" spans="1:12" ht="18" customHeight="1" x14ac:dyDescent="0.2">
      <c r="A151" s="2"/>
      <c r="B151" s="80"/>
      <c r="C151" s="5"/>
      <c r="D151" s="6"/>
      <c r="E151" s="82" t="s">
        <v>257</v>
      </c>
      <c r="F151" s="83"/>
      <c r="G151" s="84"/>
      <c r="H151" s="4" t="s">
        <v>258</v>
      </c>
      <c r="I151" s="82" t="s">
        <v>259</v>
      </c>
      <c r="J151" s="83"/>
      <c r="K151" s="84"/>
      <c r="L151" s="11" t="s">
        <v>258</v>
      </c>
    </row>
    <row r="152" spans="1:12" ht="5.0999999999999996" customHeight="1" x14ac:dyDescent="0.25">
      <c r="A152" s="2"/>
      <c r="B152" s="80"/>
      <c r="C152" s="86"/>
      <c r="D152" s="2"/>
      <c r="E152" s="12"/>
      <c r="F152" s="35"/>
      <c r="G152" s="12"/>
      <c r="H152" s="9"/>
      <c r="I152" s="12"/>
      <c r="J152" s="35"/>
      <c r="K152" s="12"/>
      <c r="L152" s="10"/>
    </row>
    <row r="153" spans="1:12" ht="15.95" customHeight="1" x14ac:dyDescent="0.2">
      <c r="A153" s="2"/>
      <c r="B153" s="80"/>
      <c r="C153" s="86"/>
      <c r="D153" s="51" t="s">
        <v>268</v>
      </c>
      <c r="E153" s="12"/>
      <c r="F153" s="37">
        <v>10000</v>
      </c>
      <c r="G153" s="12"/>
      <c r="H153" s="54" t="s">
        <v>263</v>
      </c>
      <c r="I153" s="12"/>
      <c r="J153" s="38" t="s">
        <v>262</v>
      </c>
      <c r="K153" s="12"/>
      <c r="L153" s="13" t="s">
        <v>263</v>
      </c>
    </row>
    <row r="154" spans="1:12" ht="5.0999999999999996" customHeight="1" x14ac:dyDescent="0.25">
      <c r="A154" s="2"/>
      <c r="B154" s="80"/>
      <c r="C154" s="87"/>
      <c r="D154" s="52"/>
      <c r="E154" s="7"/>
      <c r="F154" s="36"/>
      <c r="G154" s="7"/>
      <c r="H154" s="6"/>
      <c r="I154" s="7"/>
      <c r="J154" s="36"/>
      <c r="K154" s="7"/>
      <c r="L154" s="53"/>
    </row>
    <row r="155" spans="1:12" ht="5.0999999999999996" customHeight="1" x14ac:dyDescent="0.25">
      <c r="A155" s="2"/>
      <c r="B155" s="80"/>
      <c r="C155" s="86"/>
      <c r="D155" s="2"/>
      <c r="E155" s="12"/>
      <c r="F155" s="35"/>
      <c r="G155" s="12"/>
      <c r="H155" s="9"/>
      <c r="I155" s="12"/>
      <c r="J155" s="35"/>
      <c r="K155" s="12"/>
      <c r="L155" s="10"/>
    </row>
    <row r="156" spans="1:12" ht="15.95" customHeight="1" x14ac:dyDescent="0.2">
      <c r="A156" s="2"/>
      <c r="B156" s="80"/>
      <c r="C156" s="86"/>
      <c r="D156" s="51" t="s">
        <v>269</v>
      </c>
      <c r="E156" s="12"/>
      <c r="F156" s="37">
        <v>10000</v>
      </c>
      <c r="G156" s="12"/>
      <c r="H156" s="54" t="s">
        <v>263</v>
      </c>
      <c r="I156" s="12"/>
      <c r="J156" s="38" t="s">
        <v>262</v>
      </c>
      <c r="K156" s="12"/>
      <c r="L156" s="13" t="s">
        <v>263</v>
      </c>
    </row>
    <row r="157" spans="1:12" ht="5.0999999999999996" customHeight="1" x14ac:dyDescent="0.25">
      <c r="A157" s="2"/>
      <c r="B157" s="80"/>
      <c r="C157" s="87"/>
      <c r="D157" s="52"/>
      <c r="E157" s="7"/>
      <c r="F157" s="36"/>
      <c r="G157" s="7"/>
      <c r="H157" s="6"/>
      <c r="I157" s="7"/>
      <c r="J157" s="36"/>
      <c r="K157" s="7"/>
      <c r="L157" s="53"/>
    </row>
    <row r="158" spans="1:12" ht="5.0999999999999996" customHeight="1" x14ac:dyDescent="0.25">
      <c r="A158" s="2"/>
      <c r="B158" s="80"/>
      <c r="C158" s="86"/>
      <c r="D158" s="2"/>
      <c r="E158" s="12"/>
      <c r="F158" s="35"/>
      <c r="G158" s="12"/>
      <c r="H158" s="9"/>
      <c r="I158" s="12"/>
      <c r="J158" s="35"/>
      <c r="K158" s="12"/>
      <c r="L158" s="10"/>
    </row>
    <row r="159" spans="1:12" ht="15.95" customHeight="1" x14ac:dyDescent="0.2">
      <c r="A159" s="2"/>
      <c r="B159" s="80"/>
      <c r="C159" s="86"/>
      <c r="D159" s="51" t="s">
        <v>271</v>
      </c>
      <c r="E159" s="12"/>
      <c r="F159" s="37"/>
      <c r="G159" s="12"/>
      <c r="H159" s="54" t="s">
        <v>263</v>
      </c>
      <c r="I159" s="12"/>
      <c r="J159" s="38" t="s">
        <v>262</v>
      </c>
      <c r="K159" s="12"/>
      <c r="L159" s="13" t="s">
        <v>263</v>
      </c>
    </row>
    <row r="160" spans="1:12" ht="5.0999999999999996" customHeight="1" x14ac:dyDescent="0.25">
      <c r="A160" s="2"/>
      <c r="B160" s="80"/>
      <c r="C160" s="87"/>
      <c r="D160" s="52"/>
      <c r="E160" s="7"/>
      <c r="F160" s="36"/>
      <c r="G160" s="7"/>
      <c r="H160" s="6"/>
      <c r="I160" s="7"/>
      <c r="J160" s="36"/>
      <c r="K160" s="7"/>
      <c r="L160" s="53"/>
    </row>
    <row r="161" spans="1:12" ht="5.0999999999999996" customHeight="1" x14ac:dyDescent="0.25">
      <c r="A161" s="2"/>
      <c r="B161" s="80"/>
      <c r="C161" s="86"/>
      <c r="D161" s="2"/>
      <c r="E161" s="12"/>
      <c r="F161" s="35"/>
      <c r="G161" s="12"/>
      <c r="H161" s="9"/>
      <c r="I161" s="12"/>
      <c r="J161" s="35"/>
      <c r="K161" s="12"/>
      <c r="L161" s="10"/>
    </row>
    <row r="162" spans="1:12" ht="15.95" customHeight="1" x14ac:dyDescent="0.2">
      <c r="A162" s="2"/>
      <c r="B162" s="80"/>
      <c r="C162" s="86"/>
      <c r="D162" s="51" t="s">
        <v>272</v>
      </c>
      <c r="E162" s="12"/>
      <c r="F162" s="37">
        <v>10000</v>
      </c>
      <c r="G162" s="12"/>
      <c r="H162" s="54" t="s">
        <v>263</v>
      </c>
      <c r="I162" s="12"/>
      <c r="J162" s="38" t="s">
        <v>262</v>
      </c>
      <c r="K162" s="12"/>
      <c r="L162" s="13" t="s">
        <v>263</v>
      </c>
    </row>
    <row r="163" spans="1:12" ht="5.0999999999999996" customHeight="1" x14ac:dyDescent="0.25">
      <c r="A163" s="2"/>
      <c r="B163" s="80"/>
      <c r="C163" s="87"/>
      <c r="D163" s="52"/>
      <c r="E163" s="7"/>
      <c r="F163" s="36"/>
      <c r="G163" s="7"/>
      <c r="H163" s="6"/>
      <c r="I163" s="7"/>
      <c r="J163" s="36"/>
      <c r="K163" s="7"/>
      <c r="L163" s="53"/>
    </row>
    <row r="164" spans="1:12" ht="5.0999999999999996" customHeight="1" x14ac:dyDescent="0.25">
      <c r="A164" s="2"/>
      <c r="B164" s="80"/>
      <c r="C164" s="86"/>
      <c r="D164" s="2"/>
      <c r="E164" s="12"/>
      <c r="F164" s="35"/>
      <c r="G164" s="12"/>
      <c r="H164" s="9"/>
      <c r="I164" s="12"/>
      <c r="J164" s="35"/>
      <c r="K164" s="12"/>
      <c r="L164" s="10"/>
    </row>
    <row r="165" spans="1:12" ht="15.95" customHeight="1" x14ac:dyDescent="0.25">
      <c r="A165" s="2"/>
      <c r="B165" s="80"/>
      <c r="C165" s="86"/>
      <c r="D165" s="51" t="s">
        <v>274</v>
      </c>
      <c r="E165" s="12"/>
      <c r="F165" s="35"/>
      <c r="G165" s="12"/>
      <c r="H165" s="9"/>
      <c r="I165" s="12"/>
      <c r="J165" s="35"/>
      <c r="K165" s="12"/>
      <c r="L165" s="10"/>
    </row>
    <row r="166" spans="1:12" ht="5.0999999999999996" customHeight="1" x14ac:dyDescent="0.25">
      <c r="A166" s="2"/>
      <c r="B166" s="80"/>
      <c r="C166" s="50"/>
      <c r="D166" s="51"/>
      <c r="E166" s="12"/>
      <c r="F166" s="35"/>
      <c r="G166" s="12"/>
      <c r="H166" s="9"/>
      <c r="I166" s="12"/>
      <c r="J166" s="35"/>
      <c r="K166" s="12"/>
      <c r="L166" s="10"/>
    </row>
    <row r="167" spans="1:12" ht="15.75" customHeight="1" x14ac:dyDescent="0.2">
      <c r="A167" s="2"/>
      <c r="B167" s="80"/>
      <c r="C167" s="50"/>
      <c r="D167" s="29" t="s">
        <v>310</v>
      </c>
      <c r="E167" s="12"/>
      <c r="F167" s="47">
        <v>10000</v>
      </c>
      <c r="G167" s="12"/>
      <c r="H167" s="54" t="s">
        <v>311</v>
      </c>
      <c r="I167" s="12"/>
      <c r="J167" s="38" t="s">
        <v>262</v>
      </c>
      <c r="K167" s="12"/>
      <c r="L167" s="13" t="s">
        <v>261</v>
      </c>
    </row>
    <row r="168" spans="1:12" ht="5.0999999999999996" customHeight="1" x14ac:dyDescent="0.25">
      <c r="A168" s="2"/>
      <c r="B168" s="80"/>
      <c r="C168" s="50"/>
      <c r="D168" s="28"/>
      <c r="E168" s="7"/>
      <c r="F168" s="36"/>
      <c r="G168" s="7"/>
      <c r="H168" s="6"/>
      <c r="I168" s="7"/>
      <c r="J168" s="36"/>
      <c r="K168" s="7"/>
      <c r="L168" s="53"/>
    </row>
    <row r="169" spans="1:12" ht="4.9000000000000004" customHeight="1" x14ac:dyDescent="0.25">
      <c r="A169" s="2"/>
      <c r="B169" s="80"/>
      <c r="C169" s="50"/>
      <c r="D169" s="51"/>
      <c r="E169" s="12"/>
      <c r="F169" s="35"/>
      <c r="G169" s="12"/>
      <c r="H169" s="9"/>
      <c r="I169" s="12"/>
      <c r="J169" s="35"/>
      <c r="K169" s="12"/>
      <c r="L169" s="10"/>
    </row>
    <row r="170" spans="1:12" ht="15.75" customHeight="1" x14ac:dyDescent="0.2">
      <c r="A170" s="2"/>
      <c r="B170" s="80"/>
      <c r="C170" s="50"/>
      <c r="D170" s="29" t="s">
        <v>312</v>
      </c>
      <c r="E170" s="12"/>
      <c r="F170" s="37">
        <v>10000</v>
      </c>
      <c r="G170" s="12"/>
      <c r="H170" s="54" t="s">
        <v>261</v>
      </c>
      <c r="I170" s="12"/>
      <c r="J170" s="41" t="s">
        <v>262</v>
      </c>
      <c r="K170" s="12"/>
      <c r="L170" s="13" t="s">
        <v>273</v>
      </c>
    </row>
    <row r="171" spans="1:12" ht="4.9000000000000004" customHeight="1" x14ac:dyDescent="0.25">
      <c r="A171" s="2"/>
      <c r="B171" s="80"/>
      <c r="C171" s="50"/>
      <c r="D171" s="28"/>
      <c r="E171" s="7"/>
      <c r="F171" s="36"/>
      <c r="G171" s="7"/>
      <c r="H171" s="6"/>
      <c r="I171" s="7"/>
      <c r="J171" s="36"/>
      <c r="K171" s="7"/>
      <c r="L171" s="53"/>
    </row>
    <row r="172" spans="1:12" ht="4.9000000000000004" customHeight="1" x14ac:dyDescent="0.25">
      <c r="A172" s="2"/>
      <c r="B172" s="80"/>
      <c r="C172" s="50"/>
      <c r="D172" s="51"/>
      <c r="E172" s="12"/>
      <c r="F172" s="35"/>
      <c r="G172" s="12"/>
      <c r="H172" s="9"/>
      <c r="I172" s="12"/>
      <c r="J172" s="35"/>
      <c r="K172" s="12"/>
      <c r="L172" s="10"/>
    </row>
    <row r="173" spans="1:12" ht="15.75" customHeight="1" x14ac:dyDescent="0.2">
      <c r="A173" s="2"/>
      <c r="B173" s="80"/>
      <c r="C173" s="50"/>
      <c r="D173" s="29" t="s">
        <v>313</v>
      </c>
      <c r="E173" s="12"/>
      <c r="F173" s="37">
        <v>10000</v>
      </c>
      <c r="G173" s="12"/>
      <c r="H173" s="54" t="s">
        <v>261</v>
      </c>
      <c r="I173" s="12"/>
      <c r="J173" s="42" t="s">
        <v>262</v>
      </c>
      <c r="K173" s="12"/>
      <c r="L173" s="13" t="s">
        <v>273</v>
      </c>
    </row>
    <row r="174" spans="1:12" ht="4.9000000000000004" customHeight="1" x14ac:dyDescent="0.25">
      <c r="A174" s="2"/>
      <c r="B174" s="80"/>
      <c r="C174" s="50"/>
      <c r="D174" s="28"/>
      <c r="E174" s="7"/>
      <c r="F174" s="36"/>
      <c r="G174" s="7"/>
      <c r="H174" s="6"/>
      <c r="I174" s="7"/>
      <c r="J174" s="36"/>
      <c r="K174" s="7"/>
      <c r="L174" s="53"/>
    </row>
    <row r="175" spans="1:12" ht="4.9000000000000004" customHeight="1" x14ac:dyDescent="0.25">
      <c r="A175" s="2"/>
      <c r="B175" s="80"/>
      <c r="C175" s="50"/>
      <c r="D175" s="51"/>
      <c r="E175" s="12"/>
      <c r="F175" s="35"/>
      <c r="G175" s="12"/>
      <c r="H175" s="9"/>
      <c r="I175" s="12"/>
      <c r="J175" s="35"/>
      <c r="K175" s="12"/>
      <c r="L175" s="10"/>
    </row>
    <row r="176" spans="1:12" ht="15.75" customHeight="1" x14ac:dyDescent="0.2">
      <c r="A176" s="2"/>
      <c r="B176" s="80"/>
      <c r="C176" s="50"/>
      <c r="D176" s="29" t="s">
        <v>314</v>
      </c>
      <c r="E176" s="12"/>
      <c r="F176" s="37">
        <v>10000</v>
      </c>
      <c r="G176" s="12"/>
      <c r="H176" s="54" t="s">
        <v>261</v>
      </c>
      <c r="I176" s="12"/>
      <c r="J176" s="43" t="s">
        <v>262</v>
      </c>
      <c r="K176" s="12"/>
      <c r="L176" s="13" t="s">
        <v>273</v>
      </c>
    </row>
    <row r="177" spans="1:12" ht="4.9000000000000004" customHeight="1" x14ac:dyDescent="0.25">
      <c r="A177" s="2"/>
      <c r="B177" s="80"/>
      <c r="C177" s="50"/>
      <c r="D177" s="28"/>
      <c r="E177" s="7"/>
      <c r="F177" s="36"/>
      <c r="G177" s="7"/>
      <c r="H177" s="6"/>
      <c r="I177" s="7"/>
      <c r="J177" s="36"/>
      <c r="K177" s="7"/>
      <c r="L177" s="53"/>
    </row>
    <row r="178" spans="1:12" ht="4.9000000000000004" customHeight="1" x14ac:dyDescent="0.25">
      <c r="A178" s="2"/>
      <c r="B178" s="80"/>
      <c r="C178" s="50"/>
      <c r="D178" s="51"/>
      <c r="E178" s="12"/>
      <c r="F178" s="35"/>
      <c r="G178" s="12"/>
      <c r="H178" s="9"/>
      <c r="I178" s="12"/>
      <c r="J178" s="35"/>
      <c r="K178" s="12"/>
      <c r="L178" s="10"/>
    </row>
    <row r="179" spans="1:12" ht="15.75" customHeight="1" x14ac:dyDescent="0.2">
      <c r="A179" s="2"/>
      <c r="B179" s="80"/>
      <c r="C179" s="50"/>
      <c r="D179" s="29" t="s">
        <v>315</v>
      </c>
      <c r="E179" s="12"/>
      <c r="F179" s="37">
        <v>10000</v>
      </c>
      <c r="G179" s="12"/>
      <c r="H179" s="54" t="s">
        <v>261</v>
      </c>
      <c r="I179" s="12"/>
      <c r="J179" s="44" t="s">
        <v>262</v>
      </c>
      <c r="K179" s="12"/>
      <c r="L179" s="13" t="s">
        <v>273</v>
      </c>
    </row>
    <row r="180" spans="1:12" ht="4.9000000000000004" customHeight="1" x14ac:dyDescent="0.25">
      <c r="A180" s="2"/>
      <c r="B180" s="80"/>
      <c r="C180" s="50"/>
      <c r="D180" s="28"/>
      <c r="E180" s="7"/>
      <c r="F180" s="36"/>
      <c r="G180" s="7"/>
      <c r="H180" s="6"/>
      <c r="I180" s="7"/>
      <c r="J180" s="36"/>
      <c r="K180" s="7"/>
      <c r="L180" s="53"/>
    </row>
    <row r="181" spans="1:12" ht="4.9000000000000004" customHeight="1" x14ac:dyDescent="0.25">
      <c r="A181" s="2"/>
      <c r="B181" s="80"/>
      <c r="C181" s="50"/>
      <c r="D181" s="51"/>
      <c r="E181" s="12"/>
      <c r="F181" s="35"/>
      <c r="G181" s="12"/>
      <c r="H181" s="9"/>
      <c r="I181" s="12"/>
      <c r="J181" s="35"/>
      <c r="K181" s="12"/>
      <c r="L181" s="10"/>
    </row>
    <row r="182" spans="1:12" ht="15.75" customHeight="1" x14ac:dyDescent="0.2">
      <c r="A182" s="2"/>
      <c r="B182" s="80"/>
      <c r="C182" s="50"/>
      <c r="D182" s="29" t="s">
        <v>316</v>
      </c>
      <c r="E182" s="12"/>
      <c r="F182" s="37">
        <v>10000</v>
      </c>
      <c r="G182" s="12"/>
      <c r="H182" s="54" t="s">
        <v>261</v>
      </c>
      <c r="I182" s="12"/>
      <c r="J182" s="45" t="s">
        <v>262</v>
      </c>
      <c r="K182" s="12"/>
      <c r="L182" s="13" t="s">
        <v>273</v>
      </c>
    </row>
    <row r="183" spans="1:12" ht="4.9000000000000004" customHeight="1" x14ac:dyDescent="0.25">
      <c r="A183" s="2"/>
      <c r="B183" s="80"/>
      <c r="C183" s="50"/>
      <c r="D183" s="28"/>
      <c r="E183" s="7"/>
      <c r="F183" s="36"/>
      <c r="G183" s="7"/>
      <c r="H183" s="6"/>
      <c r="I183" s="7"/>
      <c r="J183" s="36"/>
      <c r="K183" s="7"/>
      <c r="L183" s="53"/>
    </row>
    <row r="184" spans="1:12" ht="4.9000000000000004" customHeight="1" x14ac:dyDescent="0.25">
      <c r="A184" s="2"/>
      <c r="B184" s="80"/>
      <c r="C184" s="50"/>
      <c r="D184" s="51"/>
      <c r="E184" s="12"/>
      <c r="F184" s="35"/>
      <c r="G184" s="12"/>
      <c r="H184" s="9"/>
      <c r="I184" s="12"/>
      <c r="J184" s="35"/>
      <c r="K184" s="12"/>
      <c r="L184" s="10"/>
    </row>
    <row r="185" spans="1:12" ht="15.75" customHeight="1" x14ac:dyDescent="0.2">
      <c r="A185" s="2"/>
      <c r="B185" s="80"/>
      <c r="C185" s="50"/>
      <c r="D185" s="29" t="s">
        <v>317</v>
      </c>
      <c r="E185" s="12"/>
      <c r="F185" s="37">
        <v>10000</v>
      </c>
      <c r="G185" s="12"/>
      <c r="H185" s="54" t="s">
        <v>261</v>
      </c>
      <c r="I185" s="12"/>
      <c r="J185" s="46" t="s">
        <v>262</v>
      </c>
      <c r="K185" s="12"/>
      <c r="L185" s="13" t="s">
        <v>273</v>
      </c>
    </row>
    <row r="186" spans="1:12" ht="4.9000000000000004" customHeight="1" x14ac:dyDescent="0.25">
      <c r="A186" s="2"/>
      <c r="B186" s="80"/>
      <c r="C186" s="50"/>
      <c r="D186" s="28"/>
      <c r="E186" s="7"/>
      <c r="F186" s="36"/>
      <c r="G186" s="7"/>
      <c r="H186" s="6"/>
      <c r="I186" s="7"/>
      <c r="J186" s="36"/>
      <c r="K186" s="7"/>
      <c r="L186" s="53"/>
    </row>
    <row r="187" spans="1:12" ht="21.95" customHeight="1" x14ac:dyDescent="0.25">
      <c r="A187" s="2"/>
      <c r="B187" s="80"/>
      <c r="C187" s="50"/>
      <c r="D187" s="2"/>
      <c r="E187" s="2"/>
      <c r="F187" s="33"/>
      <c r="G187" s="2"/>
      <c r="H187" s="9"/>
      <c r="I187" s="2"/>
      <c r="J187" s="33"/>
      <c r="K187" s="2"/>
      <c r="L187" s="10"/>
    </row>
    <row r="188" spans="1:12" ht="5.0999999999999996" customHeight="1" thickBot="1" x14ac:dyDescent="0.3">
      <c r="A188" s="2"/>
      <c r="B188" s="81"/>
      <c r="C188" s="75"/>
      <c r="D188" s="70"/>
      <c r="E188" s="70"/>
      <c r="F188" s="78"/>
      <c r="G188" s="70"/>
      <c r="H188" s="73"/>
      <c r="I188" s="70"/>
      <c r="J188" s="78"/>
      <c r="K188" s="70"/>
      <c r="L188" s="74"/>
    </row>
    <row r="189" spans="1:12" ht="24.6" customHeight="1" x14ac:dyDescent="0.25">
      <c r="A189" s="2"/>
      <c r="B189" s="2"/>
      <c r="C189" s="2"/>
      <c r="D189" s="2"/>
      <c r="E189" s="2"/>
      <c r="F189" s="33"/>
      <c r="G189" s="2"/>
      <c r="H189" s="2"/>
      <c r="I189" s="2"/>
      <c r="J189" s="33"/>
      <c r="K189" s="2"/>
      <c r="L189" s="2"/>
    </row>
    <row r="190" spans="1:12" ht="15.75" thickBot="1" x14ac:dyDescent="0.3">
      <c r="A190" s="2"/>
      <c r="B190" s="2"/>
      <c r="C190" s="2"/>
      <c r="D190" s="2"/>
      <c r="E190" s="2"/>
      <c r="F190" s="33"/>
      <c r="G190" s="2"/>
      <c r="H190" s="2"/>
      <c r="I190" s="2"/>
      <c r="J190" s="33"/>
      <c r="K190" s="2"/>
      <c r="L190" s="2"/>
    </row>
    <row r="191" spans="1:12" ht="28.35" customHeight="1" x14ac:dyDescent="0.2">
      <c r="A191" s="2"/>
      <c r="B191" s="89" t="s">
        <v>318</v>
      </c>
      <c r="C191" s="90"/>
      <c r="D191" s="90"/>
      <c r="E191" s="90"/>
      <c r="F191" s="90"/>
      <c r="G191" s="90"/>
      <c r="H191" s="90"/>
      <c r="I191" s="90"/>
      <c r="J191" s="90"/>
      <c r="K191" s="90"/>
      <c r="L191" s="91"/>
    </row>
    <row r="192" spans="1:12" ht="28.35" customHeight="1" x14ac:dyDescent="0.2">
      <c r="A192" s="2"/>
      <c r="B192" s="92"/>
      <c r="C192" s="93"/>
      <c r="D192" s="93"/>
      <c r="E192" s="93"/>
      <c r="F192" s="93"/>
      <c r="G192" s="93"/>
      <c r="H192" s="93"/>
      <c r="I192" s="93"/>
      <c r="J192" s="93"/>
      <c r="K192" s="93"/>
      <c r="L192" s="94"/>
    </row>
    <row r="193" spans="1:12" ht="21.75" customHeight="1" x14ac:dyDescent="0.25">
      <c r="A193" s="2"/>
      <c r="B193" s="79" t="s">
        <v>264</v>
      </c>
      <c r="C193" s="2"/>
      <c r="D193" s="2"/>
      <c r="E193" s="2"/>
      <c r="F193" s="33"/>
      <c r="G193" s="2"/>
      <c r="H193" s="2"/>
      <c r="I193" s="2"/>
      <c r="J193" s="33"/>
      <c r="K193" s="2"/>
      <c r="L193" s="10"/>
    </row>
    <row r="194" spans="1:12" ht="18" customHeight="1" x14ac:dyDescent="0.2">
      <c r="A194" s="2"/>
      <c r="B194" s="80"/>
      <c r="C194" s="5"/>
      <c r="D194" s="6"/>
      <c r="E194" s="82" t="s">
        <v>257</v>
      </c>
      <c r="F194" s="83"/>
      <c r="G194" s="84"/>
      <c r="H194" s="4" t="s">
        <v>258</v>
      </c>
      <c r="I194" s="82" t="s">
        <v>259</v>
      </c>
      <c r="J194" s="83"/>
      <c r="K194" s="84"/>
      <c r="L194" s="11" t="s">
        <v>258</v>
      </c>
    </row>
    <row r="195" spans="1:12" ht="5.0999999999999996" customHeight="1" x14ac:dyDescent="0.25">
      <c r="A195" s="2"/>
      <c r="B195" s="80"/>
      <c r="C195" s="85"/>
      <c r="D195" s="2"/>
      <c r="E195" s="12"/>
      <c r="F195" s="35"/>
      <c r="G195" s="12"/>
      <c r="H195" s="8"/>
      <c r="I195" s="12"/>
      <c r="J195" s="35"/>
      <c r="K195" s="12"/>
      <c r="L195" s="10"/>
    </row>
    <row r="196" spans="1:12" ht="15.75" customHeight="1" x14ac:dyDescent="0.2">
      <c r="A196" s="2"/>
      <c r="B196" s="80"/>
      <c r="C196" s="86"/>
      <c r="D196" s="51" t="s">
        <v>319</v>
      </c>
      <c r="E196" s="12"/>
      <c r="F196" s="37">
        <v>10000</v>
      </c>
      <c r="G196" s="12"/>
      <c r="H196" s="54" t="s">
        <v>263</v>
      </c>
      <c r="I196" s="12"/>
      <c r="J196" s="38" t="s">
        <v>262</v>
      </c>
      <c r="K196" s="12"/>
      <c r="L196" s="13" t="s">
        <v>263</v>
      </c>
    </row>
    <row r="197" spans="1:12" ht="5.0999999999999996" customHeight="1" x14ac:dyDescent="0.25">
      <c r="A197" s="2"/>
      <c r="B197" s="80"/>
      <c r="C197" s="87"/>
      <c r="D197" s="52"/>
      <c r="E197" s="7"/>
      <c r="F197" s="36"/>
      <c r="G197" s="7"/>
      <c r="H197" s="6"/>
      <c r="I197" s="7"/>
      <c r="J197" s="36"/>
      <c r="K197" s="7"/>
      <c r="L197" s="53"/>
    </row>
    <row r="198" spans="1:12" ht="5.0999999999999996" customHeight="1" x14ac:dyDescent="0.25">
      <c r="A198" s="2"/>
      <c r="B198" s="80"/>
      <c r="C198" s="86"/>
      <c r="D198" s="2"/>
      <c r="E198" s="12"/>
      <c r="F198" s="35"/>
      <c r="G198" s="12"/>
      <c r="H198" s="9"/>
      <c r="I198" s="12"/>
      <c r="J198" s="35"/>
      <c r="K198" s="12"/>
      <c r="L198" s="10"/>
    </row>
    <row r="199" spans="1:12" ht="15.75" customHeight="1" x14ac:dyDescent="0.2">
      <c r="A199" s="2"/>
      <c r="B199" s="80"/>
      <c r="C199" s="86"/>
      <c r="D199" s="51" t="s">
        <v>320</v>
      </c>
      <c r="E199" s="12"/>
      <c r="F199" s="37">
        <v>10000</v>
      </c>
      <c r="G199" s="12"/>
      <c r="H199" s="54" t="s">
        <v>263</v>
      </c>
      <c r="I199" s="12"/>
      <c r="J199" s="38" t="s">
        <v>262</v>
      </c>
      <c r="K199" s="12"/>
      <c r="L199" s="13" t="s">
        <v>263</v>
      </c>
    </row>
    <row r="200" spans="1:12" ht="5.0999999999999996" customHeight="1" x14ac:dyDescent="0.25">
      <c r="A200" s="2"/>
      <c r="B200" s="95"/>
      <c r="C200" s="87"/>
      <c r="D200" s="52"/>
      <c r="E200" s="7"/>
      <c r="F200" s="36"/>
      <c r="G200" s="7"/>
      <c r="H200" s="6"/>
      <c r="I200" s="7"/>
      <c r="J200" s="36"/>
      <c r="K200" s="7"/>
      <c r="L200" s="53"/>
    </row>
    <row r="201" spans="1:12" ht="21.75" customHeight="1" x14ac:dyDescent="0.25">
      <c r="A201" s="2"/>
      <c r="B201" s="79" t="s">
        <v>255</v>
      </c>
      <c r="C201" s="2"/>
      <c r="D201" s="2"/>
      <c r="E201" s="2"/>
      <c r="F201" s="33"/>
      <c r="G201" s="2"/>
      <c r="H201" s="2"/>
      <c r="I201" s="2"/>
      <c r="J201" s="33"/>
      <c r="K201" s="2"/>
      <c r="L201" s="10"/>
    </row>
    <row r="202" spans="1:12" ht="18" customHeight="1" x14ac:dyDescent="0.2">
      <c r="A202" s="2"/>
      <c r="B202" s="80"/>
      <c r="C202" s="5"/>
      <c r="D202" s="6"/>
      <c r="E202" s="82" t="s">
        <v>257</v>
      </c>
      <c r="F202" s="83"/>
      <c r="G202" s="84"/>
      <c r="H202" s="4" t="s">
        <v>258</v>
      </c>
      <c r="I202" s="82" t="s">
        <v>259</v>
      </c>
      <c r="J202" s="83"/>
      <c r="K202" s="84"/>
      <c r="L202" s="11" t="s">
        <v>258</v>
      </c>
    </row>
    <row r="203" spans="1:12" ht="5.0999999999999996" customHeight="1" x14ac:dyDescent="0.25">
      <c r="A203" s="2"/>
      <c r="B203" s="80"/>
      <c r="C203" s="85"/>
      <c r="D203" s="2"/>
      <c r="E203" s="12"/>
      <c r="F203" s="35"/>
      <c r="G203" s="12"/>
      <c r="H203" s="8"/>
      <c r="I203" s="12"/>
      <c r="J203" s="35"/>
      <c r="K203" s="12"/>
      <c r="L203" s="10"/>
    </row>
    <row r="204" spans="1:12" ht="15.75" customHeight="1" x14ac:dyDescent="0.2">
      <c r="A204" s="2"/>
      <c r="B204" s="80"/>
      <c r="C204" s="86"/>
      <c r="D204" s="51" t="s">
        <v>319</v>
      </c>
      <c r="E204" s="12"/>
      <c r="F204" s="37">
        <v>10000</v>
      </c>
      <c r="G204" s="12"/>
      <c r="H204" s="54" t="s">
        <v>263</v>
      </c>
      <c r="I204" s="12"/>
      <c r="J204" s="38" t="s">
        <v>262</v>
      </c>
      <c r="K204" s="12"/>
      <c r="L204" s="13" t="s">
        <v>263</v>
      </c>
    </row>
    <row r="205" spans="1:12" ht="5.0999999999999996" customHeight="1" x14ac:dyDescent="0.25">
      <c r="A205" s="2"/>
      <c r="B205" s="80"/>
      <c r="C205" s="87"/>
      <c r="D205" s="52"/>
      <c r="E205" s="7"/>
      <c r="F205" s="36"/>
      <c r="G205" s="7"/>
      <c r="H205" s="6"/>
      <c r="I205" s="7"/>
      <c r="J205" s="36"/>
      <c r="K205" s="7"/>
      <c r="L205" s="53"/>
    </row>
    <row r="206" spans="1:12" ht="5.0999999999999996" customHeight="1" x14ac:dyDescent="0.25">
      <c r="A206" s="2"/>
      <c r="B206" s="80"/>
      <c r="C206" s="86"/>
      <c r="D206" s="2"/>
      <c r="E206" s="12"/>
      <c r="F206" s="35"/>
      <c r="G206" s="12"/>
      <c r="H206" s="9"/>
      <c r="I206" s="12"/>
      <c r="J206" s="35"/>
      <c r="K206" s="12"/>
      <c r="L206" s="10"/>
    </row>
    <row r="207" spans="1:12" ht="15.75" customHeight="1" x14ac:dyDescent="0.2">
      <c r="A207" s="2"/>
      <c r="B207" s="80"/>
      <c r="C207" s="86"/>
      <c r="D207" s="51" t="s">
        <v>320</v>
      </c>
      <c r="E207" s="12"/>
      <c r="F207" s="37">
        <v>10000</v>
      </c>
      <c r="G207" s="12"/>
      <c r="H207" s="54" t="s">
        <v>263</v>
      </c>
      <c r="I207" s="12"/>
      <c r="J207" s="38" t="s">
        <v>262</v>
      </c>
      <c r="K207" s="12"/>
      <c r="L207" s="13" t="s">
        <v>263</v>
      </c>
    </row>
    <row r="208" spans="1:12" ht="5.0999999999999996" customHeight="1" thickBot="1" x14ac:dyDescent="0.3">
      <c r="A208" s="2"/>
      <c r="B208" s="81"/>
      <c r="C208" s="88"/>
      <c r="D208" s="70"/>
      <c r="E208" s="71"/>
      <c r="F208" s="72"/>
      <c r="G208" s="71"/>
      <c r="H208" s="73"/>
      <c r="I208" s="71"/>
      <c r="J208" s="72"/>
      <c r="K208" s="71"/>
      <c r="L208" s="74"/>
    </row>
    <row r="209" spans="1:12" ht="15" customHeight="1" x14ac:dyDescent="0.25">
      <c r="A209" s="2"/>
      <c r="B209" s="2"/>
      <c r="C209" s="2"/>
      <c r="D209" s="2"/>
      <c r="E209" s="2"/>
      <c r="F209" s="33"/>
      <c r="G209" s="2"/>
      <c r="H209" s="2"/>
      <c r="I209" s="2"/>
      <c r="J209" s="33"/>
      <c r="K209" s="2"/>
      <c r="L209" s="2"/>
    </row>
  </sheetData>
  <sheetProtection algorithmName="SHA-512" hashValue="QhtEGtjA10MLnJ7Gv2mEQVecCvcxw1GbUJk9yZ2o9Gq1EHdcLmUu7vMLzaOl/q2CpveTmb4zVx4qDqu0RNOskw==" saltValue="ern4mbMBXZjt26f2fcMlMg==" spinCount="100000" sheet="1" objects="1" scenarios="1" formatCells="0"/>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149"/>
    <mergeCell ref="E25:G25"/>
    <mergeCell ref="I25:K25"/>
    <mergeCell ref="C26:C28"/>
    <mergeCell ref="C29:C31"/>
    <mergeCell ref="C32:C34"/>
    <mergeCell ref="C35:C37"/>
    <mergeCell ref="C38:C39"/>
    <mergeCell ref="B150:B188"/>
    <mergeCell ref="E151:G151"/>
    <mergeCell ref="I151:K151"/>
    <mergeCell ref="C152:C154"/>
    <mergeCell ref="C155:C157"/>
    <mergeCell ref="C158:C160"/>
    <mergeCell ref="C161:C163"/>
    <mergeCell ref="C164:C165"/>
    <mergeCell ref="B191:L191"/>
    <mergeCell ref="B192:L192"/>
    <mergeCell ref="B193:B200"/>
    <mergeCell ref="E194:G194"/>
    <mergeCell ref="I194:K194"/>
    <mergeCell ref="C195:C197"/>
    <mergeCell ref="C198:C200"/>
    <mergeCell ref="B201:B208"/>
    <mergeCell ref="E202:G202"/>
    <mergeCell ref="I202:K202"/>
    <mergeCell ref="C203:C205"/>
    <mergeCell ref="C206:C208"/>
  </mergeCells>
  <pageMargins left="0.7" right="0.7" top="0.75" bottom="0.75" header="0.3" footer="0.3"/>
  <pageSetup orientation="portrait" horizontalDpi="300" verticalDpi="200" r:id="rId1"/>
  <customProperties>
    <customPr name="_pios_id" r:id="rId2"/>
  </customProperties>
  <drawing r:id="rId3"/>
  <legacyDrawing r:id="rId4"/>
  <controls>
    <mc:AlternateContent xmlns:mc="http://schemas.openxmlformats.org/markup-compatibility/2006">
      <mc:Choice Requires="x14">
        <control shapeId="18477" r:id="rId5" name="cbApplyOddEvenFormatting">
          <controlPr defaultSize="0" autoFill="0" autoLine="0" r:id="rId6">
            <anchor moveWithCells="1">
              <from>
                <xdr:col>7</xdr:col>
                <xdr:colOff>1676400</xdr:colOff>
                <xdr:row>190</xdr:row>
                <xdr:rowOff>66675</xdr:rowOff>
              </from>
              <to>
                <xdr:col>7</xdr:col>
                <xdr:colOff>1800225</xdr:colOff>
                <xdr:row>190</xdr:row>
                <xdr:rowOff>342900</xdr:rowOff>
              </to>
            </anchor>
          </controlPr>
        </control>
      </mc:Choice>
      <mc:Fallback>
        <control shapeId="18477" r:id="rId5" name="cbApplyOddEvenFormatting"/>
      </mc:Fallback>
    </mc:AlternateContent>
    <mc:AlternateContent xmlns:mc="http://schemas.openxmlformats.org/markup-compatibility/2006">
      <mc:Choice Requires="x14">
        <control shapeId="18459" r:id="rId7" name="cbApplyMemberFormatting">
          <controlPr defaultSize="0" autoFill="0" autoLine="0" r:id="rId8">
            <anchor moveWithCells="1">
              <from>
                <xdr:col>9</xdr:col>
                <xdr:colOff>476250</xdr:colOff>
                <xdr:row>21</xdr:row>
                <xdr:rowOff>66675</xdr:rowOff>
              </from>
              <to>
                <xdr:col>9</xdr:col>
                <xdr:colOff>600075</xdr:colOff>
                <xdr:row>21</xdr:row>
                <xdr:rowOff>342900</xdr:rowOff>
              </to>
            </anchor>
          </controlPr>
        </control>
      </mc:Choice>
      <mc:Fallback>
        <control shapeId="18459" r:id="rId7" name="cbApplyMemberFormatting"/>
      </mc:Fallback>
    </mc:AlternateContent>
    <mc:AlternateContent xmlns:mc="http://schemas.openxmlformats.org/markup-compatibility/2006">
      <mc:Choice Requires="x14">
        <control shapeId="18433" r:id="rId9" name="cbApplyLevelFormatting">
          <controlPr defaultSize="0" autoFill="0" autoLine="0" r:id="rId10">
            <anchor moveWithCells="1">
              <from>
                <xdr:col>7</xdr:col>
                <xdr:colOff>1485900</xdr:colOff>
                <xdr:row>4</xdr:row>
                <xdr:rowOff>66675</xdr:rowOff>
              </from>
              <to>
                <xdr:col>7</xdr:col>
                <xdr:colOff>1609725</xdr:colOff>
                <xdr:row>4</xdr:row>
                <xdr:rowOff>342900</xdr:rowOff>
              </to>
            </anchor>
          </controlPr>
        </control>
      </mc:Choice>
      <mc:Fallback>
        <control shapeId="18433" r:id="rId9" name="cbApplyLevelFormatting"/>
      </mc:Fallback>
    </mc:AlternateContent>
    <mc:AlternateContent xmlns:mc="http://schemas.openxmlformats.org/markup-compatibility/2006">
      <mc:Choice Requires="x14">
        <control shapeId="18434" r:id="rId11"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18435" r:id="rId12"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2619375</xdr:colOff>
                <xdr:row>5</xdr:row>
                <xdr:rowOff>276225</xdr:rowOff>
              </to>
            </anchor>
          </controlPr>
        </control>
      </mc:Choice>
    </mc:AlternateContent>
    <mc:AlternateContent xmlns:mc="http://schemas.openxmlformats.org/markup-compatibility/2006">
      <mc:Choice Requires="x14">
        <control shapeId="18436" r:id="rId13"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18437" r:id="rId14" name="Group Box 5">
          <controlPr defaultSize="0" autoPict="0">
            <anchor moveWithCells="1">
              <from>
                <xdr:col>3</xdr:col>
                <xdr:colOff>2752725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18442" r:id="rId15" name="Group Box 10">
          <controlPr defaultSize="0" autoPict="0">
            <anchor moveWithCells="1">
              <from>
                <xdr:col>10</xdr:col>
                <xdr:colOff>209550</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18445" r:id="rId16"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18451" r:id="rId17" name="Group Box 19">
          <controlPr defaultSize="0" autoPict="0">
            <anchor moveWithCells="1">
              <from>
                <xdr:col>10</xdr:col>
                <xdr:colOff>209550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4" r:id="rId18"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18460" r:id="rId19" name="Group Box 28">
          <controlPr defaultSize="0" autoPict="0">
            <anchor moveWithCells="1">
              <from>
                <xdr:col>1</xdr:col>
                <xdr:colOff>0</xdr:colOff>
                <xdr:row>22</xdr:row>
                <xdr:rowOff>0</xdr:rowOff>
              </from>
              <to>
                <xdr:col>11</xdr:col>
                <xdr:colOff>1276350</xdr:colOff>
                <xdr:row>23</xdr:row>
                <xdr:rowOff>0</xdr:rowOff>
              </to>
            </anchor>
          </controlPr>
        </control>
      </mc:Choice>
    </mc:AlternateContent>
    <mc:AlternateContent xmlns:mc="http://schemas.openxmlformats.org/markup-compatibility/2006">
      <mc:Choice Requires="x14">
        <control shapeId="18461" r:id="rId20" name="obMemberRowFirst">
          <controlPr defaultSize="0" autoFill="0" autoLine="0" autoPict="0" macro="_xll.IBPXLClient.TechnicalCategory.ButtonActionInIBPClientFormattingSheet">
            <anchor moveWithCells="1">
              <from>
                <xdr:col>3</xdr:col>
                <xdr:colOff>485775</xdr:colOff>
                <xdr:row>22</xdr:row>
                <xdr:rowOff>57150</xdr:rowOff>
              </from>
              <to>
                <xdr:col>3</xdr:col>
                <xdr:colOff>2619375</xdr:colOff>
                <xdr:row>22</xdr:row>
                <xdr:rowOff>276225</xdr:rowOff>
              </to>
            </anchor>
          </controlPr>
        </control>
      </mc:Choice>
    </mc:AlternateContent>
    <mc:AlternateContent xmlns:mc="http://schemas.openxmlformats.org/markup-compatibility/2006">
      <mc:Choice Requires="x14">
        <control shapeId="18462" r:id="rId21" name="obMemberColumnFirst">
          <controlPr defaultSize="0" autoFill="0" autoLine="0" autoPict="0" macro="_xll.IBPXLClient.TechnicalCategory.ButtonActionInIBPClientFormattingSheet">
            <anchor moveWithCells="1">
              <from>
                <xdr:col>1</xdr:col>
                <xdr:colOff>209550</xdr:colOff>
                <xdr:row>22</xdr:row>
                <xdr:rowOff>57150</xdr:rowOff>
              </from>
              <to>
                <xdr:col>3</xdr:col>
                <xdr:colOff>447675</xdr:colOff>
                <xdr:row>22</xdr:row>
                <xdr:rowOff>276225</xdr:rowOff>
              </to>
            </anchor>
          </controlPr>
        </control>
      </mc:Choice>
    </mc:AlternateContent>
    <mc:AlternateContent xmlns:mc="http://schemas.openxmlformats.org/markup-compatibility/2006">
      <mc:Choice Requires="x14">
        <control shapeId="18464" r:id="rId22" name="cbApplyCalculatedMemberFirst">
          <controlPr defaultSize="0" autoFill="0" autoLine="0" autoPict="0">
            <anchor moveWithCells="1">
              <from>
                <xdr:col>2</xdr:col>
                <xdr:colOff>123825</xdr:colOff>
                <xdr:row>25</xdr:row>
                <xdr:rowOff>0</xdr:rowOff>
              </from>
              <to>
                <xdr:col>2</xdr:col>
                <xdr:colOff>1019175</xdr:colOff>
                <xdr:row>28</xdr:row>
                <xdr:rowOff>0</xdr:rowOff>
              </to>
            </anchor>
          </controlPr>
        </control>
      </mc:Choice>
    </mc:AlternateContent>
    <mc:AlternateContent xmlns:mc="http://schemas.openxmlformats.org/markup-compatibility/2006">
      <mc:Choice Requires="x14">
        <control shapeId="18465" r:id="rId23" name="cbApplyImputableMemberFirst">
          <controlPr defaultSize="0" autoFill="0" autoLine="0" autoPict="0">
            <anchor moveWithCells="1">
              <from>
                <xdr:col>2</xdr:col>
                <xdr:colOff>123825</xdr:colOff>
                <xdr:row>28</xdr:row>
                <xdr:rowOff>0</xdr:rowOff>
              </from>
              <to>
                <xdr:col>2</xdr:col>
                <xdr:colOff>1019175</xdr:colOff>
                <xdr:row>30</xdr:row>
                <xdr:rowOff>38100</xdr:rowOff>
              </to>
            </anchor>
          </controlPr>
        </control>
      </mc:Choice>
    </mc:AlternateContent>
    <mc:AlternateContent xmlns:mc="http://schemas.openxmlformats.org/markup-compatibility/2006">
      <mc:Choice Requires="x14">
        <control shapeId="18466" r:id="rId24" name="cbApplyLocalMemberFirst">
          <controlPr defaultSize="0" autoFill="0" autoLine="0" autoPict="0">
            <anchor moveWithCells="1">
              <from>
                <xdr:col>2</xdr:col>
                <xdr:colOff>123825</xdr:colOff>
                <xdr:row>31</xdr:row>
                <xdr:rowOff>0</xdr:rowOff>
              </from>
              <to>
                <xdr:col>2</xdr:col>
                <xdr:colOff>1019175</xdr:colOff>
                <xdr:row>33</xdr:row>
                <xdr:rowOff>38100</xdr:rowOff>
              </to>
            </anchor>
          </controlPr>
        </control>
      </mc:Choice>
    </mc:AlternateContent>
    <mc:AlternateContent xmlns:mc="http://schemas.openxmlformats.org/markup-compatibility/2006">
      <mc:Choice Requires="x14">
        <control shapeId="18467" r:id="rId25" name="cbApplyChangedMemberFirst">
          <controlPr defaultSize="0" autoFill="0" autoLine="0" autoPict="0">
            <anchor moveWithCells="1">
              <from>
                <xdr:col>2</xdr:col>
                <xdr:colOff>123825</xdr:colOff>
                <xdr:row>34</xdr:row>
                <xdr:rowOff>0</xdr:rowOff>
              </from>
              <to>
                <xdr:col>2</xdr:col>
                <xdr:colOff>1019175</xdr:colOff>
                <xdr:row>36</xdr:row>
                <xdr:rowOff>38100</xdr:rowOff>
              </to>
            </anchor>
          </controlPr>
        </control>
      </mc:Choice>
    </mc:AlternateContent>
    <mc:AlternateContent xmlns:mc="http://schemas.openxmlformats.org/markup-compatibility/2006">
      <mc:Choice Requires="x14">
        <control shapeId="18468" r:id="rId26" name="cbApplySpecificMemberFirst">
          <controlPr defaultSize="0" autoFill="0" autoLine="0" autoPict="0">
            <anchor moveWithCells="1">
              <from>
                <xdr:col>2</xdr:col>
                <xdr:colOff>123825</xdr:colOff>
                <xdr:row>37</xdr:row>
                <xdr:rowOff>47625</xdr:rowOff>
              </from>
              <to>
                <xdr:col>2</xdr:col>
                <xdr:colOff>1019175</xdr:colOff>
                <xdr:row>39</xdr:row>
                <xdr:rowOff>0</xdr:rowOff>
              </to>
            </anchor>
          </controlPr>
        </control>
      </mc:Choice>
    </mc:AlternateContent>
    <mc:AlternateContent xmlns:mc="http://schemas.openxmlformats.org/markup-compatibility/2006">
      <mc:Choice Requires="x14">
        <control shapeId="18469" r:id="rId27" name="AddMemberFirst">
          <controlPr defaultSize="0" print="0" autoFill="0" autoPict="0" macro="_xll.IBPXLClient.TechnicalCategory.ButtonActionInIBPClientFormattingSheet">
            <anchor moveWithCells="1" sizeWithCells="1">
              <from>
                <xdr:col>3</xdr:col>
                <xdr:colOff>57150</xdr:colOff>
                <xdr:row>147</xdr:row>
                <xdr:rowOff>19050</xdr:rowOff>
              </from>
              <to>
                <xdr:col>3</xdr:col>
                <xdr:colOff>4286250</xdr:colOff>
                <xdr:row>147</xdr:row>
                <xdr:rowOff>266700</xdr:rowOff>
              </to>
            </anchor>
          </controlPr>
        </control>
      </mc:Choice>
    </mc:AlternateContent>
    <mc:AlternateContent xmlns:mc="http://schemas.openxmlformats.org/markup-compatibility/2006">
      <mc:Choice Requires="x14">
        <control shapeId="18471" r:id="rId28" name="cbApplyCalculatedMemberSecond">
          <controlPr defaultSize="0" autoFill="0" autoLine="0" autoPict="0">
            <anchor moveWithCells="1">
              <from>
                <xdr:col>2</xdr:col>
                <xdr:colOff>123825</xdr:colOff>
                <xdr:row>151</xdr:row>
                <xdr:rowOff>0</xdr:rowOff>
              </from>
              <to>
                <xdr:col>2</xdr:col>
                <xdr:colOff>1019175</xdr:colOff>
                <xdr:row>153</xdr:row>
                <xdr:rowOff>47625</xdr:rowOff>
              </to>
            </anchor>
          </controlPr>
        </control>
      </mc:Choice>
    </mc:AlternateContent>
    <mc:AlternateContent xmlns:mc="http://schemas.openxmlformats.org/markup-compatibility/2006">
      <mc:Choice Requires="x14">
        <control shapeId="18472" r:id="rId29" name="cbApplyImputableMemberSecond">
          <controlPr defaultSize="0" autoFill="0" autoLine="0" autoPict="0">
            <anchor moveWithCells="1">
              <from>
                <xdr:col>2</xdr:col>
                <xdr:colOff>123825</xdr:colOff>
                <xdr:row>154</xdr:row>
                <xdr:rowOff>0</xdr:rowOff>
              </from>
              <to>
                <xdr:col>2</xdr:col>
                <xdr:colOff>1019175</xdr:colOff>
                <xdr:row>156</xdr:row>
                <xdr:rowOff>38100</xdr:rowOff>
              </to>
            </anchor>
          </controlPr>
        </control>
      </mc:Choice>
    </mc:AlternateContent>
    <mc:AlternateContent xmlns:mc="http://schemas.openxmlformats.org/markup-compatibility/2006">
      <mc:Choice Requires="x14">
        <control shapeId="18473" r:id="rId30" name="cbApplyLocalMemberSecond">
          <controlPr defaultSize="0" autoFill="0" autoLine="0" autoPict="0">
            <anchor moveWithCells="1">
              <from>
                <xdr:col>2</xdr:col>
                <xdr:colOff>123825</xdr:colOff>
                <xdr:row>157</xdr:row>
                <xdr:rowOff>0</xdr:rowOff>
              </from>
              <to>
                <xdr:col>2</xdr:col>
                <xdr:colOff>1019175</xdr:colOff>
                <xdr:row>159</xdr:row>
                <xdr:rowOff>38100</xdr:rowOff>
              </to>
            </anchor>
          </controlPr>
        </control>
      </mc:Choice>
    </mc:AlternateContent>
    <mc:AlternateContent xmlns:mc="http://schemas.openxmlformats.org/markup-compatibility/2006">
      <mc:Choice Requires="x14">
        <control shapeId="18474" r:id="rId31" name="cbApplyChangedMemberSecond">
          <controlPr defaultSize="0" autoFill="0" autoLine="0" autoPict="0">
            <anchor moveWithCells="1">
              <from>
                <xdr:col>2</xdr:col>
                <xdr:colOff>123825</xdr:colOff>
                <xdr:row>160</xdr:row>
                <xdr:rowOff>0</xdr:rowOff>
              </from>
              <to>
                <xdr:col>2</xdr:col>
                <xdr:colOff>1019175</xdr:colOff>
                <xdr:row>162</xdr:row>
                <xdr:rowOff>38100</xdr:rowOff>
              </to>
            </anchor>
          </controlPr>
        </control>
      </mc:Choice>
    </mc:AlternateContent>
    <mc:AlternateContent xmlns:mc="http://schemas.openxmlformats.org/markup-compatibility/2006">
      <mc:Choice Requires="x14">
        <control shapeId="18475" r:id="rId32" name="cbApplySpecificMemberSecond">
          <controlPr defaultSize="0" autoFill="0" autoLine="0" autoPict="0">
            <anchor moveWithCells="1">
              <from>
                <xdr:col>2</xdr:col>
                <xdr:colOff>123825</xdr:colOff>
                <xdr:row>163</xdr:row>
                <xdr:rowOff>47625</xdr:rowOff>
              </from>
              <to>
                <xdr:col>2</xdr:col>
                <xdr:colOff>1019175</xdr:colOff>
                <xdr:row>165</xdr:row>
                <xdr:rowOff>0</xdr:rowOff>
              </to>
            </anchor>
          </controlPr>
        </control>
      </mc:Choice>
    </mc:AlternateContent>
    <mc:AlternateContent xmlns:mc="http://schemas.openxmlformats.org/markup-compatibility/2006">
      <mc:Choice Requires="x14">
        <control shapeId="18476" r:id="rId33" name="AddMemberSecond">
          <controlPr defaultSize="0" print="0" autoFill="0" autoPict="0" macro="_xll.IBPXLClient.TechnicalCategory.ButtonActionInIBPClientFormattingSheet">
            <anchor moveWithCells="1" sizeWithCells="1">
              <from>
                <xdr:col>3</xdr:col>
                <xdr:colOff>57150</xdr:colOff>
                <xdr:row>186</xdr:row>
                <xdr:rowOff>19050</xdr:rowOff>
              </from>
              <to>
                <xdr:col>3</xdr:col>
                <xdr:colOff>4286250</xdr:colOff>
                <xdr:row>186</xdr:row>
                <xdr:rowOff>266700</xdr:rowOff>
              </to>
            </anchor>
          </controlPr>
        </control>
      </mc:Choice>
    </mc:AlternateContent>
    <mc:AlternateContent xmlns:mc="http://schemas.openxmlformats.org/markup-compatibility/2006">
      <mc:Choice Requires="x14">
        <control shapeId="18478" r:id="rId34" name="Group Box 46">
          <controlPr defaultSize="0" autoPict="0">
            <anchor moveWithCells="1">
              <from>
                <xdr:col>1</xdr:col>
                <xdr:colOff>0</xdr:colOff>
                <xdr:row>191</xdr:row>
                <xdr:rowOff>0</xdr:rowOff>
              </from>
              <to>
                <xdr:col>11</xdr:col>
                <xdr:colOff>1276350</xdr:colOff>
                <xdr:row>192</xdr:row>
                <xdr:rowOff>0</xdr:rowOff>
              </to>
            </anchor>
          </controlPr>
        </control>
      </mc:Choice>
    </mc:AlternateContent>
    <mc:AlternateContent xmlns:mc="http://schemas.openxmlformats.org/markup-compatibility/2006">
      <mc:Choice Requires="x14">
        <control shapeId="18479" r:id="rId35" name="obOddEvenRowFirst">
          <controlPr defaultSize="0" autoFill="0" autoLine="0" autoPict="0" macro="_xll.IBPXLClient.TechnicalCategory.ButtonActionInIBPClientFormattingSheet">
            <anchor moveWithCells="1">
              <from>
                <xdr:col>3</xdr:col>
                <xdr:colOff>485775</xdr:colOff>
                <xdr:row>191</xdr:row>
                <xdr:rowOff>66675</xdr:rowOff>
              </from>
              <to>
                <xdr:col>3</xdr:col>
                <xdr:colOff>2619375</xdr:colOff>
                <xdr:row>191</xdr:row>
                <xdr:rowOff>276225</xdr:rowOff>
              </to>
            </anchor>
          </controlPr>
        </control>
      </mc:Choice>
    </mc:AlternateContent>
    <mc:AlternateContent xmlns:mc="http://schemas.openxmlformats.org/markup-compatibility/2006">
      <mc:Choice Requires="x14">
        <control shapeId="18480" r:id="rId36" name="obOddEvenColumnFirst">
          <controlPr defaultSize="0" autoFill="0" autoLine="0" autoPict="0" macro="_xll.IBPXLClient.TechnicalCategory.ButtonActionInIBPClientFormattingSheet">
            <anchor moveWithCells="1">
              <from>
                <xdr:col>1</xdr:col>
                <xdr:colOff>209550</xdr:colOff>
                <xdr:row>191</xdr:row>
                <xdr:rowOff>66675</xdr:rowOff>
              </from>
              <to>
                <xdr:col>3</xdr:col>
                <xdr:colOff>447675</xdr:colOff>
                <xdr:row>191</xdr:row>
                <xdr:rowOff>276225</xdr:rowOff>
              </to>
            </anchor>
          </controlPr>
        </control>
      </mc:Choice>
    </mc:AlternateContent>
    <mc:AlternateContent xmlns:mc="http://schemas.openxmlformats.org/markup-compatibility/2006">
      <mc:Choice Requires="x14">
        <control shapeId="18481" r:id="rId37" name="cbUseOddFirst">
          <controlPr defaultSize="0" autoFill="0" autoLine="0" autoPict="0">
            <anchor moveWithCells="1">
              <from>
                <xdr:col>2</xdr:col>
                <xdr:colOff>123825</xdr:colOff>
                <xdr:row>194</xdr:row>
                <xdr:rowOff>0</xdr:rowOff>
              </from>
              <to>
                <xdr:col>2</xdr:col>
                <xdr:colOff>1019175</xdr:colOff>
                <xdr:row>196</xdr:row>
                <xdr:rowOff>38100</xdr:rowOff>
              </to>
            </anchor>
          </controlPr>
        </control>
      </mc:Choice>
    </mc:AlternateContent>
    <mc:AlternateContent xmlns:mc="http://schemas.openxmlformats.org/markup-compatibility/2006">
      <mc:Choice Requires="x14">
        <control shapeId="18482" r:id="rId38" name="cbUseEvenFirst">
          <controlPr defaultSize="0" autoFill="0" autoLine="0" autoPict="0">
            <anchor moveWithCells="1">
              <from>
                <xdr:col>2</xdr:col>
                <xdr:colOff>123825</xdr:colOff>
                <xdr:row>197</xdr:row>
                <xdr:rowOff>0</xdr:rowOff>
              </from>
              <to>
                <xdr:col>2</xdr:col>
                <xdr:colOff>1019175</xdr:colOff>
                <xdr:row>199</xdr:row>
                <xdr:rowOff>38100</xdr:rowOff>
              </to>
            </anchor>
          </controlPr>
        </control>
      </mc:Choice>
    </mc:AlternateContent>
    <mc:AlternateContent xmlns:mc="http://schemas.openxmlformats.org/markup-compatibility/2006">
      <mc:Choice Requires="x14">
        <control shapeId="18483" r:id="rId39" name="cbUseOddSecond">
          <controlPr defaultSize="0" autoFill="0" autoLine="0" autoPict="0">
            <anchor moveWithCells="1">
              <from>
                <xdr:col>2</xdr:col>
                <xdr:colOff>123825</xdr:colOff>
                <xdr:row>202</xdr:row>
                <xdr:rowOff>0</xdr:rowOff>
              </from>
              <to>
                <xdr:col>2</xdr:col>
                <xdr:colOff>1019175</xdr:colOff>
                <xdr:row>204</xdr:row>
                <xdr:rowOff>38100</xdr:rowOff>
              </to>
            </anchor>
          </controlPr>
        </control>
      </mc:Choice>
    </mc:AlternateContent>
    <mc:AlternateContent xmlns:mc="http://schemas.openxmlformats.org/markup-compatibility/2006">
      <mc:Choice Requires="x14">
        <control shapeId="18484" r:id="rId40" name="cbUseEvenSecond">
          <controlPr defaultSize="0" autoFill="0" autoLine="0" autoPict="0">
            <anchor moveWithCells="1">
              <from>
                <xdr:col>2</xdr:col>
                <xdr:colOff>123825</xdr:colOff>
                <xdr:row>204</xdr:row>
                <xdr:rowOff>47625</xdr:rowOff>
              </from>
              <to>
                <xdr:col>2</xdr:col>
                <xdr:colOff>1019175</xdr:colOff>
                <xdr:row>207</xdr:row>
                <xdr:rowOff>38100</xdr:rowOff>
              </to>
            </anchor>
          </controlPr>
        </control>
      </mc:Choice>
    </mc:AlternateContent>
    <mc:AlternateContent xmlns:mc="http://schemas.openxmlformats.org/markup-compatibility/2006">
      <mc:Choice Requires="x14">
        <control shapeId="18489" r:id="rId41" name="AddedMember1_1">
          <controlPr defaultSize="0" print="0" autoFill="0" autoPict="0" macro="_xll.IBPXLClient.TechnicalCategory.ButtonActionInIBPClientFormattingSheet">
            <anchor moveWithCells="1" sizeWithCells="1">
              <from>
                <xdr:col>11</xdr:col>
                <xdr:colOff>2438400</xdr:colOff>
                <xdr:row>39</xdr:row>
                <xdr:rowOff>47625</xdr:rowOff>
              </from>
              <to>
                <xdr:col>12</xdr:col>
                <xdr:colOff>676275</xdr:colOff>
                <xdr:row>40</xdr:row>
                <xdr:rowOff>190500</xdr:rowOff>
              </to>
            </anchor>
          </controlPr>
        </control>
      </mc:Choice>
    </mc:AlternateContent>
    <mc:AlternateContent xmlns:mc="http://schemas.openxmlformats.org/markup-compatibility/2006">
      <mc:Choice Requires="x14">
        <control shapeId="18490" r:id="rId42" name="ChangeMember1_1">
          <controlPr defaultSize="0" print="0" autoFill="0" autoPict="0" macro="_xll.IBPXLClient.TechnicalCategory.ButtonActionInIBPClientFormattingSheet">
            <anchor moveWithCells="1" sizeWithCells="1">
              <from>
                <xdr:col>13</xdr:col>
                <xdr:colOff>0</xdr:colOff>
                <xdr:row>39</xdr:row>
                <xdr:rowOff>47625</xdr:rowOff>
              </from>
              <to>
                <xdr:col>13</xdr:col>
                <xdr:colOff>685800</xdr:colOff>
                <xdr:row>40</xdr:row>
                <xdr:rowOff>190500</xdr:rowOff>
              </to>
            </anchor>
          </controlPr>
        </control>
      </mc:Choice>
    </mc:AlternateContent>
    <mc:AlternateContent xmlns:mc="http://schemas.openxmlformats.org/markup-compatibility/2006">
      <mc:Choice Requires="x14">
        <control shapeId="18491" r:id="rId43" name="UpMember1_1">
          <controlPr defaultSize="0" print="0" autoFill="0" autoPict="0" macro="_xll.IBPXLClient.TechnicalCategory.ButtonActionInIBPClientFormattingSheet">
            <anchor moveWithCells="1" sizeWithCells="1">
              <from>
                <xdr:col>14</xdr:col>
                <xdr:colOff>0</xdr:colOff>
                <xdr:row>39</xdr:row>
                <xdr:rowOff>47625</xdr:rowOff>
              </from>
              <to>
                <xdr:col>14</xdr:col>
                <xdr:colOff>685800</xdr:colOff>
                <xdr:row>40</xdr:row>
                <xdr:rowOff>190500</xdr:rowOff>
              </to>
            </anchor>
          </controlPr>
        </control>
      </mc:Choice>
    </mc:AlternateContent>
    <mc:AlternateContent xmlns:mc="http://schemas.openxmlformats.org/markup-compatibility/2006">
      <mc:Choice Requires="x14">
        <control shapeId="18492" r:id="rId44" name="DownMember1_1">
          <controlPr defaultSize="0" print="0" autoFill="0" autoPict="0" macro="_xll.IBPXLClient.TechnicalCategory.ButtonActionInIBPClientFormattingSheet">
            <anchor moveWithCells="1" sizeWithCells="1">
              <from>
                <xdr:col>14</xdr:col>
                <xdr:colOff>704850</xdr:colOff>
                <xdr:row>39</xdr:row>
                <xdr:rowOff>47625</xdr:rowOff>
              </from>
              <to>
                <xdr:col>15</xdr:col>
                <xdr:colOff>676275</xdr:colOff>
                <xdr:row>40</xdr:row>
                <xdr:rowOff>190500</xdr:rowOff>
              </to>
            </anchor>
          </controlPr>
        </control>
      </mc:Choice>
    </mc:AlternateContent>
    <mc:AlternateContent xmlns:mc="http://schemas.openxmlformats.org/markup-compatibility/2006">
      <mc:Choice Requires="x14">
        <control shapeId="18493" r:id="rId45" name="AddedMember1_2">
          <controlPr defaultSize="0" print="0" autoFill="0" autoPict="0" macro="_xll.IBPXLClient.TechnicalCategory.ButtonActionInIBPClientFormattingSheet">
            <anchor moveWithCells="1" sizeWithCells="1">
              <from>
                <xdr:col>11</xdr:col>
                <xdr:colOff>2438400</xdr:colOff>
                <xdr:row>42</xdr:row>
                <xdr:rowOff>47625</xdr:rowOff>
              </from>
              <to>
                <xdr:col>12</xdr:col>
                <xdr:colOff>676275</xdr:colOff>
                <xdr:row>44</xdr:row>
                <xdr:rowOff>0</xdr:rowOff>
              </to>
            </anchor>
          </controlPr>
        </control>
      </mc:Choice>
    </mc:AlternateContent>
    <mc:AlternateContent xmlns:mc="http://schemas.openxmlformats.org/markup-compatibility/2006">
      <mc:Choice Requires="x14">
        <control shapeId="18494" r:id="rId46" name="ChangeMember1_2">
          <controlPr defaultSize="0" print="0" autoFill="0" autoPict="0" macro="_xll.IBPXLClient.TechnicalCategory.ButtonActionInIBPClientFormattingSheet">
            <anchor moveWithCells="1" sizeWithCells="1">
              <from>
                <xdr:col>13</xdr:col>
                <xdr:colOff>0</xdr:colOff>
                <xdr:row>42</xdr:row>
                <xdr:rowOff>47625</xdr:rowOff>
              </from>
              <to>
                <xdr:col>13</xdr:col>
                <xdr:colOff>685800</xdr:colOff>
                <xdr:row>44</xdr:row>
                <xdr:rowOff>0</xdr:rowOff>
              </to>
            </anchor>
          </controlPr>
        </control>
      </mc:Choice>
    </mc:AlternateContent>
    <mc:AlternateContent xmlns:mc="http://schemas.openxmlformats.org/markup-compatibility/2006">
      <mc:Choice Requires="x14">
        <control shapeId="18495" r:id="rId47" name="UpMember1_2">
          <controlPr defaultSize="0" print="0" autoFill="0" autoPict="0" macro="_xll.IBPXLClient.TechnicalCategory.ButtonActionInIBPClientFormattingSheet">
            <anchor moveWithCells="1" sizeWithCells="1">
              <from>
                <xdr:col>14</xdr:col>
                <xdr:colOff>0</xdr:colOff>
                <xdr:row>42</xdr:row>
                <xdr:rowOff>47625</xdr:rowOff>
              </from>
              <to>
                <xdr:col>14</xdr:col>
                <xdr:colOff>685800</xdr:colOff>
                <xdr:row>44</xdr:row>
                <xdr:rowOff>0</xdr:rowOff>
              </to>
            </anchor>
          </controlPr>
        </control>
      </mc:Choice>
    </mc:AlternateContent>
    <mc:AlternateContent xmlns:mc="http://schemas.openxmlformats.org/markup-compatibility/2006">
      <mc:Choice Requires="x14">
        <control shapeId="18496" r:id="rId48" name="DownMember1_2">
          <controlPr defaultSize="0" print="0" autoFill="0" autoPict="0" macro="_xll.IBPXLClient.TechnicalCategory.ButtonActionInIBPClientFormattingSheet">
            <anchor moveWithCells="1" sizeWithCells="1">
              <from>
                <xdr:col>14</xdr:col>
                <xdr:colOff>704850</xdr:colOff>
                <xdr:row>42</xdr:row>
                <xdr:rowOff>47625</xdr:rowOff>
              </from>
              <to>
                <xdr:col>15</xdr:col>
                <xdr:colOff>676275</xdr:colOff>
                <xdr:row>44</xdr:row>
                <xdr:rowOff>0</xdr:rowOff>
              </to>
            </anchor>
          </controlPr>
        </control>
      </mc:Choice>
    </mc:AlternateContent>
    <mc:AlternateContent xmlns:mc="http://schemas.openxmlformats.org/markup-compatibility/2006">
      <mc:Choice Requires="x14">
        <control shapeId="18497" r:id="rId49" name="AddedMember1_3">
          <controlPr defaultSize="0" print="0" autoFill="0" autoPict="0" macro="_xll.IBPXLClient.TechnicalCategory.ButtonActionInIBPClientFormattingSheet">
            <anchor moveWithCells="1" sizeWithCells="1">
              <from>
                <xdr:col>11</xdr:col>
                <xdr:colOff>2438400</xdr:colOff>
                <xdr:row>46</xdr:row>
                <xdr:rowOff>0</xdr:rowOff>
              </from>
              <to>
                <xdr:col>12</xdr:col>
                <xdr:colOff>676275</xdr:colOff>
                <xdr:row>47</xdr:row>
                <xdr:rowOff>0</xdr:rowOff>
              </to>
            </anchor>
          </controlPr>
        </control>
      </mc:Choice>
    </mc:AlternateContent>
    <mc:AlternateContent xmlns:mc="http://schemas.openxmlformats.org/markup-compatibility/2006">
      <mc:Choice Requires="x14">
        <control shapeId="18498" r:id="rId50" name="ChangeMember1_3">
          <controlPr defaultSize="0" print="0" autoFill="0" autoPict="0" macro="_xll.IBPXLClient.TechnicalCategory.ButtonActionInIBPClientFormattingSheet">
            <anchor moveWithCells="1" sizeWithCells="1">
              <from>
                <xdr:col>13</xdr:col>
                <xdr:colOff>0</xdr:colOff>
                <xdr:row>46</xdr:row>
                <xdr:rowOff>0</xdr:rowOff>
              </from>
              <to>
                <xdr:col>13</xdr:col>
                <xdr:colOff>685800</xdr:colOff>
                <xdr:row>47</xdr:row>
                <xdr:rowOff>0</xdr:rowOff>
              </to>
            </anchor>
          </controlPr>
        </control>
      </mc:Choice>
    </mc:AlternateContent>
    <mc:AlternateContent xmlns:mc="http://schemas.openxmlformats.org/markup-compatibility/2006">
      <mc:Choice Requires="x14">
        <control shapeId="18499" r:id="rId51" name="UpMember1_3">
          <controlPr defaultSize="0" print="0" autoFill="0" autoPict="0" macro="_xll.IBPXLClient.TechnicalCategory.ButtonActionInIBPClientFormattingSheet">
            <anchor moveWithCells="1" sizeWithCells="1">
              <from>
                <xdr:col>14</xdr:col>
                <xdr:colOff>0</xdr:colOff>
                <xdr:row>46</xdr:row>
                <xdr:rowOff>0</xdr:rowOff>
              </from>
              <to>
                <xdr:col>14</xdr:col>
                <xdr:colOff>685800</xdr:colOff>
                <xdr:row>47</xdr:row>
                <xdr:rowOff>0</xdr:rowOff>
              </to>
            </anchor>
          </controlPr>
        </control>
      </mc:Choice>
    </mc:AlternateContent>
    <mc:AlternateContent xmlns:mc="http://schemas.openxmlformats.org/markup-compatibility/2006">
      <mc:Choice Requires="x14">
        <control shapeId="18500" r:id="rId52" name="DownMember1_3">
          <controlPr defaultSize="0" print="0" autoFill="0" autoPict="0" macro="_xll.IBPXLClient.TechnicalCategory.ButtonActionInIBPClientFormattingSheet">
            <anchor moveWithCells="1" sizeWithCells="1">
              <from>
                <xdr:col>14</xdr:col>
                <xdr:colOff>704850</xdr:colOff>
                <xdr:row>46</xdr:row>
                <xdr:rowOff>0</xdr:rowOff>
              </from>
              <to>
                <xdr:col>15</xdr:col>
                <xdr:colOff>676275</xdr:colOff>
                <xdr:row>47</xdr:row>
                <xdr:rowOff>0</xdr:rowOff>
              </to>
            </anchor>
          </controlPr>
        </control>
      </mc:Choice>
    </mc:AlternateContent>
    <mc:AlternateContent xmlns:mc="http://schemas.openxmlformats.org/markup-compatibility/2006">
      <mc:Choice Requires="x14">
        <control shapeId="18501" r:id="rId53" name="AddedMember1_4">
          <controlPr defaultSize="0" print="0" autoFill="0" autoPict="0" macro="_xll.IBPXLClient.TechnicalCategory.ButtonActionInIBPClientFormattingSheet">
            <anchor moveWithCells="1" sizeWithCells="1">
              <from>
                <xdr:col>11</xdr:col>
                <xdr:colOff>2438400</xdr:colOff>
                <xdr:row>49</xdr:row>
                <xdr:rowOff>0</xdr:rowOff>
              </from>
              <to>
                <xdr:col>12</xdr:col>
                <xdr:colOff>676275</xdr:colOff>
                <xdr:row>50</xdr:row>
                <xdr:rowOff>0</xdr:rowOff>
              </to>
            </anchor>
          </controlPr>
        </control>
      </mc:Choice>
    </mc:AlternateContent>
    <mc:AlternateContent xmlns:mc="http://schemas.openxmlformats.org/markup-compatibility/2006">
      <mc:Choice Requires="x14">
        <control shapeId="18502" r:id="rId54" name="ChangeMember1_4">
          <controlPr defaultSize="0" print="0" autoFill="0" autoPict="0" macro="_xll.IBPXLClient.TechnicalCategory.ButtonActionInIBPClientFormattingSheet">
            <anchor moveWithCells="1" sizeWithCells="1">
              <from>
                <xdr:col>13</xdr:col>
                <xdr:colOff>0</xdr:colOff>
                <xdr:row>49</xdr:row>
                <xdr:rowOff>0</xdr:rowOff>
              </from>
              <to>
                <xdr:col>13</xdr:col>
                <xdr:colOff>685800</xdr:colOff>
                <xdr:row>50</xdr:row>
                <xdr:rowOff>0</xdr:rowOff>
              </to>
            </anchor>
          </controlPr>
        </control>
      </mc:Choice>
    </mc:AlternateContent>
    <mc:AlternateContent xmlns:mc="http://schemas.openxmlformats.org/markup-compatibility/2006">
      <mc:Choice Requires="x14">
        <control shapeId="18503" r:id="rId55" name="UpMember1_4">
          <controlPr defaultSize="0" print="0" autoFill="0" autoPict="0" macro="_xll.IBPXLClient.TechnicalCategory.ButtonActionInIBPClientFormattingSheet">
            <anchor moveWithCells="1" sizeWithCells="1">
              <from>
                <xdr:col>14</xdr:col>
                <xdr:colOff>0</xdr:colOff>
                <xdr:row>49</xdr:row>
                <xdr:rowOff>0</xdr:rowOff>
              </from>
              <to>
                <xdr:col>14</xdr:col>
                <xdr:colOff>685800</xdr:colOff>
                <xdr:row>50</xdr:row>
                <xdr:rowOff>0</xdr:rowOff>
              </to>
            </anchor>
          </controlPr>
        </control>
      </mc:Choice>
    </mc:AlternateContent>
    <mc:AlternateContent xmlns:mc="http://schemas.openxmlformats.org/markup-compatibility/2006">
      <mc:Choice Requires="x14">
        <control shapeId="18504" r:id="rId56" name="DownMember1_4">
          <controlPr defaultSize="0" print="0" autoFill="0" autoPict="0" macro="_xll.IBPXLClient.TechnicalCategory.ButtonActionInIBPClientFormattingSheet">
            <anchor moveWithCells="1" sizeWithCells="1">
              <from>
                <xdr:col>14</xdr:col>
                <xdr:colOff>704850</xdr:colOff>
                <xdr:row>49</xdr:row>
                <xdr:rowOff>0</xdr:rowOff>
              </from>
              <to>
                <xdr:col>15</xdr:col>
                <xdr:colOff>676275</xdr:colOff>
                <xdr:row>50</xdr:row>
                <xdr:rowOff>0</xdr:rowOff>
              </to>
            </anchor>
          </controlPr>
        </control>
      </mc:Choice>
    </mc:AlternateContent>
    <mc:AlternateContent xmlns:mc="http://schemas.openxmlformats.org/markup-compatibility/2006">
      <mc:Choice Requires="x14">
        <control shapeId="18505" r:id="rId57" name="AddedMember1_5">
          <controlPr defaultSize="0" print="0" autoFill="0" autoPict="0" macro="_xll.IBPXLClient.TechnicalCategory.ButtonActionInIBPClientFormattingSheet">
            <anchor moveWithCells="1" sizeWithCells="1">
              <from>
                <xdr:col>11</xdr:col>
                <xdr:colOff>2438400</xdr:colOff>
                <xdr:row>52</xdr:row>
                <xdr:rowOff>0</xdr:rowOff>
              </from>
              <to>
                <xdr:col>12</xdr:col>
                <xdr:colOff>676275</xdr:colOff>
                <xdr:row>53</xdr:row>
                <xdr:rowOff>9525</xdr:rowOff>
              </to>
            </anchor>
          </controlPr>
        </control>
      </mc:Choice>
    </mc:AlternateContent>
    <mc:AlternateContent xmlns:mc="http://schemas.openxmlformats.org/markup-compatibility/2006">
      <mc:Choice Requires="x14">
        <control shapeId="18506" r:id="rId58" name="ChangeMember1_5">
          <controlPr defaultSize="0" print="0" autoFill="0" autoPict="0" macro="_xll.IBPXLClient.TechnicalCategory.ButtonActionInIBPClientFormattingSheet">
            <anchor moveWithCells="1" sizeWithCells="1">
              <from>
                <xdr:col>13</xdr:col>
                <xdr:colOff>0</xdr:colOff>
                <xdr:row>52</xdr:row>
                <xdr:rowOff>0</xdr:rowOff>
              </from>
              <to>
                <xdr:col>13</xdr:col>
                <xdr:colOff>685800</xdr:colOff>
                <xdr:row>53</xdr:row>
                <xdr:rowOff>9525</xdr:rowOff>
              </to>
            </anchor>
          </controlPr>
        </control>
      </mc:Choice>
    </mc:AlternateContent>
    <mc:AlternateContent xmlns:mc="http://schemas.openxmlformats.org/markup-compatibility/2006">
      <mc:Choice Requires="x14">
        <control shapeId="18507" r:id="rId59" name="UpMember1_5">
          <controlPr defaultSize="0" print="0" autoFill="0" autoPict="0" macro="_xll.IBPXLClient.TechnicalCategory.ButtonActionInIBPClientFormattingSheet">
            <anchor moveWithCells="1" sizeWithCells="1">
              <from>
                <xdr:col>14</xdr:col>
                <xdr:colOff>0</xdr:colOff>
                <xdr:row>52</xdr:row>
                <xdr:rowOff>0</xdr:rowOff>
              </from>
              <to>
                <xdr:col>14</xdr:col>
                <xdr:colOff>685800</xdr:colOff>
                <xdr:row>53</xdr:row>
                <xdr:rowOff>9525</xdr:rowOff>
              </to>
            </anchor>
          </controlPr>
        </control>
      </mc:Choice>
    </mc:AlternateContent>
    <mc:AlternateContent xmlns:mc="http://schemas.openxmlformats.org/markup-compatibility/2006">
      <mc:Choice Requires="x14">
        <control shapeId="18508" r:id="rId60" name="DownMember1_5">
          <controlPr defaultSize="0" print="0" autoFill="0" autoPict="0" macro="_xll.IBPXLClient.TechnicalCategory.ButtonActionInIBPClientFormattingSheet">
            <anchor moveWithCells="1" sizeWithCells="1">
              <from>
                <xdr:col>14</xdr:col>
                <xdr:colOff>704850</xdr:colOff>
                <xdr:row>52</xdr:row>
                <xdr:rowOff>0</xdr:rowOff>
              </from>
              <to>
                <xdr:col>15</xdr:col>
                <xdr:colOff>676275</xdr:colOff>
                <xdr:row>53</xdr:row>
                <xdr:rowOff>9525</xdr:rowOff>
              </to>
            </anchor>
          </controlPr>
        </control>
      </mc:Choice>
    </mc:AlternateContent>
    <mc:AlternateContent xmlns:mc="http://schemas.openxmlformats.org/markup-compatibility/2006">
      <mc:Choice Requires="x14">
        <control shapeId="18509" r:id="rId61" name="AddedMember1_6">
          <controlPr defaultSize="0" print="0" autoFill="0" autoPict="0" macro="_xll.IBPXLClient.TechnicalCategory.ButtonActionInIBPClientFormattingSheet">
            <anchor moveWithCells="1" sizeWithCells="1">
              <from>
                <xdr:col>11</xdr:col>
                <xdr:colOff>2438400</xdr:colOff>
                <xdr:row>54</xdr:row>
                <xdr:rowOff>47625</xdr:rowOff>
              </from>
              <to>
                <xdr:col>12</xdr:col>
                <xdr:colOff>676275</xdr:colOff>
                <xdr:row>56</xdr:row>
                <xdr:rowOff>0</xdr:rowOff>
              </to>
            </anchor>
          </controlPr>
        </control>
      </mc:Choice>
    </mc:AlternateContent>
    <mc:AlternateContent xmlns:mc="http://schemas.openxmlformats.org/markup-compatibility/2006">
      <mc:Choice Requires="x14">
        <control shapeId="18510" r:id="rId62" name="ChangeMember1_6">
          <controlPr defaultSize="0" print="0" autoFill="0" autoPict="0" macro="_xll.IBPXLClient.TechnicalCategory.ButtonActionInIBPClientFormattingSheet">
            <anchor moveWithCells="1" sizeWithCells="1">
              <from>
                <xdr:col>13</xdr:col>
                <xdr:colOff>0</xdr:colOff>
                <xdr:row>54</xdr:row>
                <xdr:rowOff>47625</xdr:rowOff>
              </from>
              <to>
                <xdr:col>13</xdr:col>
                <xdr:colOff>685800</xdr:colOff>
                <xdr:row>56</xdr:row>
                <xdr:rowOff>0</xdr:rowOff>
              </to>
            </anchor>
          </controlPr>
        </control>
      </mc:Choice>
    </mc:AlternateContent>
    <mc:AlternateContent xmlns:mc="http://schemas.openxmlformats.org/markup-compatibility/2006">
      <mc:Choice Requires="x14">
        <control shapeId="18511" r:id="rId63" name="UpMember1_6">
          <controlPr defaultSize="0" print="0" autoFill="0" autoPict="0" macro="_xll.IBPXLClient.TechnicalCategory.ButtonActionInIBPClientFormattingSheet">
            <anchor moveWithCells="1" sizeWithCells="1">
              <from>
                <xdr:col>14</xdr:col>
                <xdr:colOff>0</xdr:colOff>
                <xdr:row>54</xdr:row>
                <xdr:rowOff>47625</xdr:rowOff>
              </from>
              <to>
                <xdr:col>14</xdr:col>
                <xdr:colOff>685800</xdr:colOff>
                <xdr:row>56</xdr:row>
                <xdr:rowOff>0</xdr:rowOff>
              </to>
            </anchor>
          </controlPr>
        </control>
      </mc:Choice>
    </mc:AlternateContent>
    <mc:AlternateContent xmlns:mc="http://schemas.openxmlformats.org/markup-compatibility/2006">
      <mc:Choice Requires="x14">
        <control shapeId="18512" r:id="rId64" name="DownMember1_6">
          <controlPr defaultSize="0" print="0" autoFill="0" autoPict="0" macro="_xll.IBPXLClient.TechnicalCategory.ButtonActionInIBPClientFormattingSheet">
            <anchor moveWithCells="1" sizeWithCells="1">
              <from>
                <xdr:col>14</xdr:col>
                <xdr:colOff>704850</xdr:colOff>
                <xdr:row>54</xdr:row>
                <xdr:rowOff>47625</xdr:rowOff>
              </from>
              <to>
                <xdr:col>15</xdr:col>
                <xdr:colOff>676275</xdr:colOff>
                <xdr:row>56</xdr:row>
                <xdr:rowOff>0</xdr:rowOff>
              </to>
            </anchor>
          </controlPr>
        </control>
      </mc:Choice>
    </mc:AlternateContent>
    <mc:AlternateContent xmlns:mc="http://schemas.openxmlformats.org/markup-compatibility/2006">
      <mc:Choice Requires="x14">
        <control shapeId="18513" r:id="rId65" name="AddedMember1_7">
          <controlPr defaultSize="0" print="0" autoFill="0" autoPict="0" macro="_xll.IBPXLClient.TechnicalCategory.ButtonActionInIBPClientFormattingSheet">
            <anchor moveWithCells="1" sizeWithCells="1">
              <from>
                <xdr:col>11</xdr:col>
                <xdr:colOff>2438400</xdr:colOff>
                <xdr:row>58</xdr:row>
                <xdr:rowOff>0</xdr:rowOff>
              </from>
              <to>
                <xdr:col>12</xdr:col>
                <xdr:colOff>676275</xdr:colOff>
                <xdr:row>59</xdr:row>
                <xdr:rowOff>0</xdr:rowOff>
              </to>
            </anchor>
          </controlPr>
        </control>
      </mc:Choice>
    </mc:AlternateContent>
    <mc:AlternateContent xmlns:mc="http://schemas.openxmlformats.org/markup-compatibility/2006">
      <mc:Choice Requires="x14">
        <control shapeId="18514" r:id="rId66" name="ChangeMember1_7">
          <controlPr defaultSize="0" print="0" autoFill="0" autoPict="0" macro="_xll.IBPXLClient.TechnicalCategory.ButtonActionInIBPClientFormattingSheet">
            <anchor moveWithCells="1" sizeWithCells="1">
              <from>
                <xdr:col>13</xdr:col>
                <xdr:colOff>0</xdr:colOff>
                <xdr:row>58</xdr:row>
                <xdr:rowOff>0</xdr:rowOff>
              </from>
              <to>
                <xdr:col>13</xdr:col>
                <xdr:colOff>685800</xdr:colOff>
                <xdr:row>59</xdr:row>
                <xdr:rowOff>0</xdr:rowOff>
              </to>
            </anchor>
          </controlPr>
        </control>
      </mc:Choice>
    </mc:AlternateContent>
    <mc:AlternateContent xmlns:mc="http://schemas.openxmlformats.org/markup-compatibility/2006">
      <mc:Choice Requires="x14">
        <control shapeId="18515" r:id="rId67" name="UpMember1_7">
          <controlPr defaultSize="0" print="0" autoFill="0" autoPict="0" macro="_xll.IBPXLClient.TechnicalCategory.ButtonActionInIBPClientFormattingSheet">
            <anchor moveWithCells="1" sizeWithCells="1">
              <from>
                <xdr:col>14</xdr:col>
                <xdr:colOff>0</xdr:colOff>
                <xdr:row>58</xdr:row>
                <xdr:rowOff>0</xdr:rowOff>
              </from>
              <to>
                <xdr:col>14</xdr:col>
                <xdr:colOff>685800</xdr:colOff>
                <xdr:row>59</xdr:row>
                <xdr:rowOff>0</xdr:rowOff>
              </to>
            </anchor>
          </controlPr>
        </control>
      </mc:Choice>
    </mc:AlternateContent>
    <mc:AlternateContent xmlns:mc="http://schemas.openxmlformats.org/markup-compatibility/2006">
      <mc:Choice Requires="x14">
        <control shapeId="18516" r:id="rId68" name="DownMember1_7">
          <controlPr defaultSize="0" print="0" autoFill="0" autoPict="0" macro="_xll.IBPXLClient.TechnicalCategory.ButtonActionInIBPClientFormattingSheet">
            <anchor moveWithCells="1" sizeWithCells="1">
              <from>
                <xdr:col>14</xdr:col>
                <xdr:colOff>704850</xdr:colOff>
                <xdr:row>58</xdr:row>
                <xdr:rowOff>0</xdr:rowOff>
              </from>
              <to>
                <xdr:col>15</xdr:col>
                <xdr:colOff>676275</xdr:colOff>
                <xdr:row>59</xdr:row>
                <xdr:rowOff>0</xdr:rowOff>
              </to>
            </anchor>
          </controlPr>
        </control>
      </mc:Choice>
    </mc:AlternateContent>
    <mc:AlternateContent xmlns:mc="http://schemas.openxmlformats.org/markup-compatibility/2006">
      <mc:Choice Requires="x14">
        <control shapeId="18517" r:id="rId69" name="AddedMember1_8">
          <controlPr defaultSize="0" print="0" autoFill="0" autoPict="0" macro="_xll.IBPXLClient.TechnicalCategory.ButtonActionInIBPClientFormattingSheet">
            <anchor moveWithCells="1" sizeWithCells="1">
              <from>
                <xdr:col>11</xdr:col>
                <xdr:colOff>2438400</xdr:colOff>
                <xdr:row>61</xdr:row>
                <xdr:rowOff>0</xdr:rowOff>
              </from>
              <to>
                <xdr:col>12</xdr:col>
                <xdr:colOff>676275</xdr:colOff>
                <xdr:row>62</xdr:row>
                <xdr:rowOff>0</xdr:rowOff>
              </to>
            </anchor>
          </controlPr>
        </control>
      </mc:Choice>
    </mc:AlternateContent>
    <mc:AlternateContent xmlns:mc="http://schemas.openxmlformats.org/markup-compatibility/2006">
      <mc:Choice Requires="x14">
        <control shapeId="18518" r:id="rId70" name="ChangeMember1_8">
          <controlPr defaultSize="0" print="0" autoFill="0" autoPict="0" macro="_xll.IBPXLClient.TechnicalCategory.ButtonActionInIBPClientFormattingSheet">
            <anchor moveWithCells="1" sizeWithCells="1">
              <from>
                <xdr:col>13</xdr:col>
                <xdr:colOff>0</xdr:colOff>
                <xdr:row>61</xdr:row>
                <xdr:rowOff>0</xdr:rowOff>
              </from>
              <to>
                <xdr:col>13</xdr:col>
                <xdr:colOff>685800</xdr:colOff>
                <xdr:row>62</xdr:row>
                <xdr:rowOff>0</xdr:rowOff>
              </to>
            </anchor>
          </controlPr>
        </control>
      </mc:Choice>
    </mc:AlternateContent>
    <mc:AlternateContent xmlns:mc="http://schemas.openxmlformats.org/markup-compatibility/2006">
      <mc:Choice Requires="x14">
        <control shapeId="18519" r:id="rId71" name="UpMember1_8">
          <controlPr defaultSize="0" print="0" autoFill="0" autoPict="0" macro="_xll.IBPXLClient.TechnicalCategory.ButtonActionInIBPClientFormattingSheet">
            <anchor moveWithCells="1" sizeWithCells="1">
              <from>
                <xdr:col>14</xdr:col>
                <xdr:colOff>0</xdr:colOff>
                <xdr:row>61</xdr:row>
                <xdr:rowOff>0</xdr:rowOff>
              </from>
              <to>
                <xdr:col>14</xdr:col>
                <xdr:colOff>685800</xdr:colOff>
                <xdr:row>62</xdr:row>
                <xdr:rowOff>0</xdr:rowOff>
              </to>
            </anchor>
          </controlPr>
        </control>
      </mc:Choice>
    </mc:AlternateContent>
    <mc:AlternateContent xmlns:mc="http://schemas.openxmlformats.org/markup-compatibility/2006">
      <mc:Choice Requires="x14">
        <control shapeId="18520" r:id="rId72" name="DownMember1_8">
          <controlPr defaultSize="0" print="0" autoFill="0" autoPict="0" macro="_xll.IBPXLClient.TechnicalCategory.ButtonActionInIBPClientFormattingSheet">
            <anchor moveWithCells="1" sizeWithCells="1">
              <from>
                <xdr:col>14</xdr:col>
                <xdr:colOff>704850</xdr:colOff>
                <xdr:row>61</xdr:row>
                <xdr:rowOff>0</xdr:rowOff>
              </from>
              <to>
                <xdr:col>15</xdr:col>
                <xdr:colOff>676275</xdr:colOff>
                <xdr:row>62</xdr:row>
                <xdr:rowOff>0</xdr:rowOff>
              </to>
            </anchor>
          </controlPr>
        </control>
      </mc:Choice>
    </mc:AlternateContent>
    <mc:AlternateContent xmlns:mc="http://schemas.openxmlformats.org/markup-compatibility/2006">
      <mc:Choice Requires="x14">
        <control shapeId="18521" r:id="rId73" name="AddedMember1_9">
          <controlPr defaultSize="0" print="0" autoFill="0" autoPict="0" macro="_xll.IBPXLClient.TechnicalCategory.ButtonActionInIBPClientFormattingSheet">
            <anchor moveWithCells="1" sizeWithCells="1">
              <from>
                <xdr:col>11</xdr:col>
                <xdr:colOff>2438400</xdr:colOff>
                <xdr:row>63</xdr:row>
                <xdr:rowOff>47625</xdr:rowOff>
              </from>
              <to>
                <xdr:col>12</xdr:col>
                <xdr:colOff>676275</xdr:colOff>
                <xdr:row>64</xdr:row>
                <xdr:rowOff>190500</xdr:rowOff>
              </to>
            </anchor>
          </controlPr>
        </control>
      </mc:Choice>
    </mc:AlternateContent>
    <mc:AlternateContent xmlns:mc="http://schemas.openxmlformats.org/markup-compatibility/2006">
      <mc:Choice Requires="x14">
        <control shapeId="18522" r:id="rId74" name="ChangeMember1_9">
          <controlPr defaultSize="0" print="0" autoFill="0" autoPict="0" macro="_xll.IBPXLClient.TechnicalCategory.ButtonActionInIBPClientFormattingSheet">
            <anchor moveWithCells="1" sizeWithCells="1">
              <from>
                <xdr:col>13</xdr:col>
                <xdr:colOff>0</xdr:colOff>
                <xdr:row>63</xdr:row>
                <xdr:rowOff>47625</xdr:rowOff>
              </from>
              <to>
                <xdr:col>13</xdr:col>
                <xdr:colOff>685800</xdr:colOff>
                <xdr:row>64</xdr:row>
                <xdr:rowOff>190500</xdr:rowOff>
              </to>
            </anchor>
          </controlPr>
        </control>
      </mc:Choice>
    </mc:AlternateContent>
    <mc:AlternateContent xmlns:mc="http://schemas.openxmlformats.org/markup-compatibility/2006">
      <mc:Choice Requires="x14">
        <control shapeId="18523" r:id="rId75" name="UpMember1_9">
          <controlPr defaultSize="0" print="0" autoFill="0" autoPict="0" macro="_xll.IBPXLClient.TechnicalCategory.ButtonActionInIBPClientFormattingSheet">
            <anchor moveWithCells="1" sizeWithCells="1">
              <from>
                <xdr:col>14</xdr:col>
                <xdr:colOff>0</xdr:colOff>
                <xdr:row>63</xdr:row>
                <xdr:rowOff>47625</xdr:rowOff>
              </from>
              <to>
                <xdr:col>14</xdr:col>
                <xdr:colOff>685800</xdr:colOff>
                <xdr:row>64</xdr:row>
                <xdr:rowOff>190500</xdr:rowOff>
              </to>
            </anchor>
          </controlPr>
        </control>
      </mc:Choice>
    </mc:AlternateContent>
    <mc:AlternateContent xmlns:mc="http://schemas.openxmlformats.org/markup-compatibility/2006">
      <mc:Choice Requires="x14">
        <control shapeId="18524" r:id="rId76" name="DownMember1_9">
          <controlPr defaultSize="0" print="0" autoFill="0" autoPict="0" macro="_xll.IBPXLClient.TechnicalCategory.ButtonActionInIBPClientFormattingSheet">
            <anchor moveWithCells="1" sizeWithCells="1">
              <from>
                <xdr:col>14</xdr:col>
                <xdr:colOff>704850</xdr:colOff>
                <xdr:row>63</xdr:row>
                <xdr:rowOff>47625</xdr:rowOff>
              </from>
              <to>
                <xdr:col>15</xdr:col>
                <xdr:colOff>676275</xdr:colOff>
                <xdr:row>64</xdr:row>
                <xdr:rowOff>190500</xdr:rowOff>
              </to>
            </anchor>
          </controlPr>
        </control>
      </mc:Choice>
    </mc:AlternateContent>
    <mc:AlternateContent xmlns:mc="http://schemas.openxmlformats.org/markup-compatibility/2006">
      <mc:Choice Requires="x14">
        <control shapeId="18525" r:id="rId77" name="AddedMember1_10">
          <controlPr defaultSize="0" print="0" autoFill="0" autoPict="0" macro="_xll.IBPXLClient.TechnicalCategory.ButtonActionInIBPClientFormattingSheet">
            <anchor moveWithCells="1" sizeWithCells="1">
              <from>
                <xdr:col>11</xdr:col>
                <xdr:colOff>2438400</xdr:colOff>
                <xdr:row>66</xdr:row>
                <xdr:rowOff>47625</xdr:rowOff>
              </from>
              <to>
                <xdr:col>12</xdr:col>
                <xdr:colOff>676275</xdr:colOff>
                <xdr:row>68</xdr:row>
                <xdr:rowOff>0</xdr:rowOff>
              </to>
            </anchor>
          </controlPr>
        </control>
      </mc:Choice>
    </mc:AlternateContent>
    <mc:AlternateContent xmlns:mc="http://schemas.openxmlformats.org/markup-compatibility/2006">
      <mc:Choice Requires="x14">
        <control shapeId="18526" r:id="rId78" name="ChangeMember1_10">
          <controlPr defaultSize="0" print="0" autoFill="0" autoPict="0" macro="_xll.IBPXLClient.TechnicalCategory.ButtonActionInIBPClientFormattingSheet">
            <anchor moveWithCells="1" sizeWithCells="1">
              <from>
                <xdr:col>13</xdr:col>
                <xdr:colOff>0</xdr:colOff>
                <xdr:row>66</xdr:row>
                <xdr:rowOff>47625</xdr:rowOff>
              </from>
              <to>
                <xdr:col>13</xdr:col>
                <xdr:colOff>685800</xdr:colOff>
                <xdr:row>68</xdr:row>
                <xdr:rowOff>0</xdr:rowOff>
              </to>
            </anchor>
          </controlPr>
        </control>
      </mc:Choice>
    </mc:AlternateContent>
    <mc:AlternateContent xmlns:mc="http://schemas.openxmlformats.org/markup-compatibility/2006">
      <mc:Choice Requires="x14">
        <control shapeId="18527" r:id="rId79" name="UpMember1_10">
          <controlPr defaultSize="0" print="0" autoFill="0" autoPict="0" macro="_xll.IBPXLClient.TechnicalCategory.ButtonActionInIBPClientFormattingSheet">
            <anchor moveWithCells="1" sizeWithCells="1">
              <from>
                <xdr:col>14</xdr:col>
                <xdr:colOff>0</xdr:colOff>
                <xdr:row>66</xdr:row>
                <xdr:rowOff>47625</xdr:rowOff>
              </from>
              <to>
                <xdr:col>14</xdr:col>
                <xdr:colOff>685800</xdr:colOff>
                <xdr:row>68</xdr:row>
                <xdr:rowOff>0</xdr:rowOff>
              </to>
            </anchor>
          </controlPr>
        </control>
      </mc:Choice>
    </mc:AlternateContent>
    <mc:AlternateContent xmlns:mc="http://schemas.openxmlformats.org/markup-compatibility/2006">
      <mc:Choice Requires="x14">
        <control shapeId="18528" r:id="rId80" name="DownMember1_10">
          <controlPr defaultSize="0" print="0" autoFill="0" autoPict="0" macro="_xll.IBPXLClient.TechnicalCategory.ButtonActionInIBPClientFormattingSheet">
            <anchor moveWithCells="1" sizeWithCells="1">
              <from>
                <xdr:col>14</xdr:col>
                <xdr:colOff>704850</xdr:colOff>
                <xdr:row>66</xdr:row>
                <xdr:rowOff>47625</xdr:rowOff>
              </from>
              <to>
                <xdr:col>15</xdr:col>
                <xdr:colOff>676275</xdr:colOff>
                <xdr:row>68</xdr:row>
                <xdr:rowOff>0</xdr:rowOff>
              </to>
            </anchor>
          </controlPr>
        </control>
      </mc:Choice>
    </mc:AlternateContent>
    <mc:AlternateContent xmlns:mc="http://schemas.openxmlformats.org/markup-compatibility/2006">
      <mc:Choice Requires="x14">
        <control shapeId="18529" r:id="rId81" name="AddedMember1_11">
          <controlPr defaultSize="0" print="0" autoFill="0" autoPict="0" macro="_xll.IBPXLClient.TechnicalCategory.ButtonActionInIBPClientFormattingSheet">
            <anchor moveWithCells="1" sizeWithCells="1">
              <from>
                <xdr:col>11</xdr:col>
                <xdr:colOff>2438400</xdr:colOff>
                <xdr:row>70</xdr:row>
                <xdr:rowOff>0</xdr:rowOff>
              </from>
              <to>
                <xdr:col>12</xdr:col>
                <xdr:colOff>676275</xdr:colOff>
                <xdr:row>71</xdr:row>
                <xdr:rowOff>0</xdr:rowOff>
              </to>
            </anchor>
          </controlPr>
        </control>
      </mc:Choice>
    </mc:AlternateContent>
    <mc:AlternateContent xmlns:mc="http://schemas.openxmlformats.org/markup-compatibility/2006">
      <mc:Choice Requires="x14">
        <control shapeId="18530" r:id="rId82" name="ChangeMember1_11">
          <controlPr defaultSize="0" print="0" autoFill="0" autoPict="0" macro="_xll.IBPXLClient.TechnicalCategory.ButtonActionInIBPClientFormattingSheet">
            <anchor moveWithCells="1" sizeWithCells="1">
              <from>
                <xdr:col>13</xdr:col>
                <xdr:colOff>0</xdr:colOff>
                <xdr:row>70</xdr:row>
                <xdr:rowOff>0</xdr:rowOff>
              </from>
              <to>
                <xdr:col>13</xdr:col>
                <xdr:colOff>685800</xdr:colOff>
                <xdr:row>71</xdr:row>
                <xdr:rowOff>0</xdr:rowOff>
              </to>
            </anchor>
          </controlPr>
        </control>
      </mc:Choice>
    </mc:AlternateContent>
    <mc:AlternateContent xmlns:mc="http://schemas.openxmlformats.org/markup-compatibility/2006">
      <mc:Choice Requires="x14">
        <control shapeId="18531" r:id="rId83" name="UpMember1_11">
          <controlPr defaultSize="0" print="0" autoFill="0" autoPict="0" macro="_xll.IBPXLClient.TechnicalCategory.ButtonActionInIBPClientFormattingSheet">
            <anchor moveWithCells="1" sizeWithCells="1">
              <from>
                <xdr:col>14</xdr:col>
                <xdr:colOff>0</xdr:colOff>
                <xdr:row>70</xdr:row>
                <xdr:rowOff>0</xdr:rowOff>
              </from>
              <to>
                <xdr:col>14</xdr:col>
                <xdr:colOff>685800</xdr:colOff>
                <xdr:row>71</xdr:row>
                <xdr:rowOff>0</xdr:rowOff>
              </to>
            </anchor>
          </controlPr>
        </control>
      </mc:Choice>
    </mc:AlternateContent>
    <mc:AlternateContent xmlns:mc="http://schemas.openxmlformats.org/markup-compatibility/2006">
      <mc:Choice Requires="x14">
        <control shapeId="18532" r:id="rId84" name="DownMember1_11">
          <controlPr defaultSize="0" print="0" autoFill="0" autoPict="0" macro="_xll.IBPXLClient.TechnicalCategory.ButtonActionInIBPClientFormattingSheet">
            <anchor moveWithCells="1" sizeWithCells="1">
              <from>
                <xdr:col>14</xdr:col>
                <xdr:colOff>704850</xdr:colOff>
                <xdr:row>70</xdr:row>
                <xdr:rowOff>0</xdr:rowOff>
              </from>
              <to>
                <xdr:col>15</xdr:col>
                <xdr:colOff>676275</xdr:colOff>
                <xdr:row>71</xdr:row>
                <xdr:rowOff>0</xdr:rowOff>
              </to>
            </anchor>
          </controlPr>
        </control>
      </mc:Choice>
    </mc:AlternateContent>
    <mc:AlternateContent xmlns:mc="http://schemas.openxmlformats.org/markup-compatibility/2006">
      <mc:Choice Requires="x14">
        <control shapeId="18533" r:id="rId85" name="AddedMember1_12">
          <controlPr defaultSize="0" print="0" autoFill="0" autoPict="0" macro="_xll.IBPXLClient.TechnicalCategory.ButtonActionInIBPClientFormattingSheet">
            <anchor moveWithCells="1" sizeWithCells="1">
              <from>
                <xdr:col>11</xdr:col>
                <xdr:colOff>2438400</xdr:colOff>
                <xdr:row>73</xdr:row>
                <xdr:rowOff>0</xdr:rowOff>
              </from>
              <to>
                <xdr:col>12</xdr:col>
                <xdr:colOff>676275</xdr:colOff>
                <xdr:row>74</xdr:row>
                <xdr:rowOff>0</xdr:rowOff>
              </to>
            </anchor>
          </controlPr>
        </control>
      </mc:Choice>
    </mc:AlternateContent>
    <mc:AlternateContent xmlns:mc="http://schemas.openxmlformats.org/markup-compatibility/2006">
      <mc:Choice Requires="x14">
        <control shapeId="18534" r:id="rId86" name="ChangeMember1_12">
          <controlPr defaultSize="0" print="0" autoFill="0" autoPict="0" macro="_xll.IBPXLClient.TechnicalCategory.ButtonActionInIBPClientFormattingSheet">
            <anchor moveWithCells="1" sizeWithCells="1">
              <from>
                <xdr:col>13</xdr:col>
                <xdr:colOff>0</xdr:colOff>
                <xdr:row>73</xdr:row>
                <xdr:rowOff>0</xdr:rowOff>
              </from>
              <to>
                <xdr:col>13</xdr:col>
                <xdr:colOff>685800</xdr:colOff>
                <xdr:row>74</xdr:row>
                <xdr:rowOff>0</xdr:rowOff>
              </to>
            </anchor>
          </controlPr>
        </control>
      </mc:Choice>
    </mc:AlternateContent>
    <mc:AlternateContent xmlns:mc="http://schemas.openxmlformats.org/markup-compatibility/2006">
      <mc:Choice Requires="x14">
        <control shapeId="18535" r:id="rId87" name="UpMember1_12">
          <controlPr defaultSize="0" print="0" autoFill="0" autoPict="0" macro="_xll.IBPXLClient.TechnicalCategory.ButtonActionInIBPClientFormattingSheet">
            <anchor moveWithCells="1" sizeWithCells="1">
              <from>
                <xdr:col>14</xdr:col>
                <xdr:colOff>0</xdr:colOff>
                <xdr:row>73</xdr:row>
                <xdr:rowOff>0</xdr:rowOff>
              </from>
              <to>
                <xdr:col>14</xdr:col>
                <xdr:colOff>685800</xdr:colOff>
                <xdr:row>74</xdr:row>
                <xdr:rowOff>0</xdr:rowOff>
              </to>
            </anchor>
          </controlPr>
        </control>
      </mc:Choice>
    </mc:AlternateContent>
    <mc:AlternateContent xmlns:mc="http://schemas.openxmlformats.org/markup-compatibility/2006">
      <mc:Choice Requires="x14">
        <control shapeId="18536" r:id="rId88" name="DownMember1_12">
          <controlPr defaultSize="0" print="0" autoFill="0" autoPict="0" macro="_xll.IBPXLClient.TechnicalCategory.ButtonActionInIBPClientFormattingSheet">
            <anchor moveWithCells="1" sizeWithCells="1">
              <from>
                <xdr:col>14</xdr:col>
                <xdr:colOff>704850</xdr:colOff>
                <xdr:row>73</xdr:row>
                <xdr:rowOff>0</xdr:rowOff>
              </from>
              <to>
                <xdr:col>15</xdr:col>
                <xdr:colOff>676275</xdr:colOff>
                <xdr:row>74</xdr:row>
                <xdr:rowOff>0</xdr:rowOff>
              </to>
            </anchor>
          </controlPr>
        </control>
      </mc:Choice>
    </mc:AlternateContent>
    <mc:AlternateContent xmlns:mc="http://schemas.openxmlformats.org/markup-compatibility/2006">
      <mc:Choice Requires="x14">
        <control shapeId="18537" r:id="rId89" name="AddedMember1_13">
          <controlPr defaultSize="0" print="0" autoFill="0" autoPict="0" macro="_xll.IBPXLClient.TechnicalCategory.ButtonActionInIBPClientFormattingSheet">
            <anchor moveWithCells="1" sizeWithCells="1">
              <from>
                <xdr:col>11</xdr:col>
                <xdr:colOff>2438400</xdr:colOff>
                <xdr:row>76</xdr:row>
                <xdr:rowOff>0</xdr:rowOff>
              </from>
              <to>
                <xdr:col>12</xdr:col>
                <xdr:colOff>676275</xdr:colOff>
                <xdr:row>77</xdr:row>
                <xdr:rowOff>9525</xdr:rowOff>
              </to>
            </anchor>
          </controlPr>
        </control>
      </mc:Choice>
    </mc:AlternateContent>
    <mc:AlternateContent xmlns:mc="http://schemas.openxmlformats.org/markup-compatibility/2006">
      <mc:Choice Requires="x14">
        <control shapeId="18538" r:id="rId90" name="ChangeMember1_13">
          <controlPr defaultSize="0" print="0" autoFill="0" autoPict="0" macro="_xll.IBPXLClient.TechnicalCategory.ButtonActionInIBPClientFormattingSheet">
            <anchor moveWithCells="1" sizeWithCells="1">
              <from>
                <xdr:col>13</xdr:col>
                <xdr:colOff>0</xdr:colOff>
                <xdr:row>76</xdr:row>
                <xdr:rowOff>0</xdr:rowOff>
              </from>
              <to>
                <xdr:col>13</xdr:col>
                <xdr:colOff>685800</xdr:colOff>
                <xdr:row>77</xdr:row>
                <xdr:rowOff>9525</xdr:rowOff>
              </to>
            </anchor>
          </controlPr>
        </control>
      </mc:Choice>
    </mc:AlternateContent>
    <mc:AlternateContent xmlns:mc="http://schemas.openxmlformats.org/markup-compatibility/2006">
      <mc:Choice Requires="x14">
        <control shapeId="18539" r:id="rId91" name="UpMember1_13">
          <controlPr defaultSize="0" print="0" autoFill="0" autoPict="0" macro="_xll.IBPXLClient.TechnicalCategory.ButtonActionInIBPClientFormattingSheet">
            <anchor moveWithCells="1" sizeWithCells="1">
              <from>
                <xdr:col>14</xdr:col>
                <xdr:colOff>0</xdr:colOff>
                <xdr:row>76</xdr:row>
                <xdr:rowOff>0</xdr:rowOff>
              </from>
              <to>
                <xdr:col>14</xdr:col>
                <xdr:colOff>685800</xdr:colOff>
                <xdr:row>77</xdr:row>
                <xdr:rowOff>9525</xdr:rowOff>
              </to>
            </anchor>
          </controlPr>
        </control>
      </mc:Choice>
    </mc:AlternateContent>
    <mc:AlternateContent xmlns:mc="http://schemas.openxmlformats.org/markup-compatibility/2006">
      <mc:Choice Requires="x14">
        <control shapeId="18540" r:id="rId92" name="DownMember1_13">
          <controlPr defaultSize="0" print="0" autoFill="0" autoPict="0" macro="_xll.IBPXLClient.TechnicalCategory.ButtonActionInIBPClientFormattingSheet">
            <anchor moveWithCells="1" sizeWithCells="1">
              <from>
                <xdr:col>14</xdr:col>
                <xdr:colOff>704850</xdr:colOff>
                <xdr:row>76</xdr:row>
                <xdr:rowOff>0</xdr:rowOff>
              </from>
              <to>
                <xdr:col>15</xdr:col>
                <xdr:colOff>676275</xdr:colOff>
                <xdr:row>77</xdr:row>
                <xdr:rowOff>9525</xdr:rowOff>
              </to>
            </anchor>
          </controlPr>
        </control>
      </mc:Choice>
    </mc:AlternateContent>
    <mc:AlternateContent xmlns:mc="http://schemas.openxmlformats.org/markup-compatibility/2006">
      <mc:Choice Requires="x14">
        <control shapeId="18541" r:id="rId93" name="AddedMember1_14">
          <controlPr defaultSize="0" print="0" autoFill="0" autoPict="0" macro="_xll.IBPXLClient.TechnicalCategory.ButtonActionInIBPClientFormattingSheet">
            <anchor moveWithCells="1">
              <from>
                <xdr:col>12</xdr:col>
                <xdr:colOff>0</xdr:colOff>
                <xdr:row>79</xdr:row>
                <xdr:rowOff>0</xdr:rowOff>
              </from>
              <to>
                <xdr:col>12</xdr:col>
                <xdr:colOff>704850</xdr:colOff>
                <xdr:row>80</xdr:row>
                <xdr:rowOff>9525</xdr:rowOff>
              </to>
            </anchor>
          </controlPr>
        </control>
      </mc:Choice>
    </mc:AlternateContent>
    <mc:AlternateContent xmlns:mc="http://schemas.openxmlformats.org/markup-compatibility/2006">
      <mc:Choice Requires="x14">
        <control shapeId="18542" r:id="rId94" name="ChangeMember1_14">
          <controlPr defaultSize="0" print="0" autoFill="0" autoPict="0" macro="_xll.IBPXLClient.TechnicalCategory.ButtonActionInIBPClientFormattingSheet">
            <anchor moveWithCells="1">
              <from>
                <xdr:col>12</xdr:col>
                <xdr:colOff>723900</xdr:colOff>
                <xdr:row>79</xdr:row>
                <xdr:rowOff>0</xdr:rowOff>
              </from>
              <to>
                <xdr:col>13</xdr:col>
                <xdr:colOff>704850</xdr:colOff>
                <xdr:row>80</xdr:row>
                <xdr:rowOff>9525</xdr:rowOff>
              </to>
            </anchor>
          </controlPr>
        </control>
      </mc:Choice>
    </mc:AlternateContent>
    <mc:AlternateContent xmlns:mc="http://schemas.openxmlformats.org/markup-compatibility/2006">
      <mc:Choice Requires="x14">
        <control shapeId="18543" r:id="rId95" name="UpMember1_14">
          <controlPr defaultSize="0" print="0" autoFill="0" autoPict="0" macro="_xll.IBPXLClient.TechnicalCategory.ButtonActionInIBPClientFormattingSheet">
            <anchor moveWithCells="1">
              <from>
                <xdr:col>14</xdr:col>
                <xdr:colOff>0</xdr:colOff>
                <xdr:row>79</xdr:row>
                <xdr:rowOff>0</xdr:rowOff>
              </from>
              <to>
                <xdr:col>14</xdr:col>
                <xdr:colOff>704850</xdr:colOff>
                <xdr:row>80</xdr:row>
                <xdr:rowOff>9525</xdr:rowOff>
              </to>
            </anchor>
          </controlPr>
        </control>
      </mc:Choice>
    </mc:AlternateContent>
    <mc:AlternateContent xmlns:mc="http://schemas.openxmlformats.org/markup-compatibility/2006">
      <mc:Choice Requires="x14">
        <control shapeId="18544" r:id="rId96" name="DownMember1_14">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9525</xdr:rowOff>
              </to>
            </anchor>
          </controlPr>
        </control>
      </mc:Choice>
    </mc:AlternateContent>
    <mc:AlternateContent xmlns:mc="http://schemas.openxmlformats.org/markup-compatibility/2006">
      <mc:Choice Requires="x14">
        <control shapeId="18545" r:id="rId97" name="AddedMember1_15">
          <controlPr defaultSize="0" print="0" autoFill="0" autoPict="0" macro="_xll.IBPXLClient.TechnicalCategory.ButtonActionInIBPClientFormattingSheet">
            <anchor moveWithCells="1">
              <from>
                <xdr:col>12</xdr:col>
                <xdr:colOff>0</xdr:colOff>
                <xdr:row>82</xdr:row>
                <xdr:rowOff>0</xdr:rowOff>
              </from>
              <to>
                <xdr:col>12</xdr:col>
                <xdr:colOff>704850</xdr:colOff>
                <xdr:row>83</xdr:row>
                <xdr:rowOff>0</xdr:rowOff>
              </to>
            </anchor>
          </controlPr>
        </control>
      </mc:Choice>
    </mc:AlternateContent>
    <mc:AlternateContent xmlns:mc="http://schemas.openxmlformats.org/markup-compatibility/2006">
      <mc:Choice Requires="x14">
        <control shapeId="18546" r:id="rId98" name="ChangeMember1_15">
          <controlPr defaultSize="0" print="0" autoFill="0" autoPict="0" macro="_xll.IBPXLClient.TechnicalCategory.ButtonActionInIBPClientFormattingSheet">
            <anchor moveWithCells="1">
              <from>
                <xdr:col>12</xdr:col>
                <xdr:colOff>723900</xdr:colOff>
                <xdr:row>82</xdr:row>
                <xdr:rowOff>0</xdr:rowOff>
              </from>
              <to>
                <xdr:col>13</xdr:col>
                <xdr:colOff>704850</xdr:colOff>
                <xdr:row>83</xdr:row>
                <xdr:rowOff>0</xdr:rowOff>
              </to>
            </anchor>
          </controlPr>
        </control>
      </mc:Choice>
    </mc:AlternateContent>
    <mc:AlternateContent xmlns:mc="http://schemas.openxmlformats.org/markup-compatibility/2006">
      <mc:Choice Requires="x14">
        <control shapeId="18547" r:id="rId99" name="UpMember1_15">
          <controlPr defaultSize="0" print="0" autoFill="0" autoPict="0" macro="_xll.IBPXLClient.TechnicalCategory.ButtonActionInIBPClientFormattingSheet">
            <anchor moveWithCells="1">
              <from>
                <xdr:col>14</xdr:col>
                <xdr:colOff>0</xdr:colOff>
                <xdr:row>82</xdr:row>
                <xdr:rowOff>0</xdr:rowOff>
              </from>
              <to>
                <xdr:col>14</xdr:col>
                <xdr:colOff>704850</xdr:colOff>
                <xdr:row>83</xdr:row>
                <xdr:rowOff>0</xdr:rowOff>
              </to>
            </anchor>
          </controlPr>
        </control>
      </mc:Choice>
    </mc:AlternateContent>
    <mc:AlternateContent xmlns:mc="http://schemas.openxmlformats.org/markup-compatibility/2006">
      <mc:Choice Requires="x14">
        <control shapeId="18548" r:id="rId100" name="DownMember1_15">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8549" r:id="rId101" name="AddedMember1_16">
          <controlPr defaultSize="0" print="0" autoFill="0" autoPict="0" macro="_xll.IBPXLClient.TechnicalCategory.ButtonActionInIBPClientFormattingSheet">
            <anchor moveWithCells="1">
              <from>
                <xdr:col>12</xdr:col>
                <xdr:colOff>0</xdr:colOff>
                <xdr:row>84</xdr:row>
                <xdr:rowOff>57150</xdr:rowOff>
              </from>
              <to>
                <xdr:col>12</xdr:col>
                <xdr:colOff>704850</xdr:colOff>
                <xdr:row>86</xdr:row>
                <xdr:rowOff>0</xdr:rowOff>
              </to>
            </anchor>
          </controlPr>
        </control>
      </mc:Choice>
    </mc:AlternateContent>
    <mc:AlternateContent xmlns:mc="http://schemas.openxmlformats.org/markup-compatibility/2006">
      <mc:Choice Requires="x14">
        <control shapeId="18550" r:id="rId102" name="ChangeMember1_16">
          <controlPr defaultSize="0" print="0" autoFill="0" autoPict="0" macro="_xll.IBPXLClient.TechnicalCategory.ButtonActionInIBPClientFormattingSheet">
            <anchor moveWithCells="1">
              <from>
                <xdr:col>12</xdr:col>
                <xdr:colOff>723900</xdr:colOff>
                <xdr:row>84</xdr:row>
                <xdr:rowOff>57150</xdr:rowOff>
              </from>
              <to>
                <xdr:col>13</xdr:col>
                <xdr:colOff>704850</xdr:colOff>
                <xdr:row>86</xdr:row>
                <xdr:rowOff>0</xdr:rowOff>
              </to>
            </anchor>
          </controlPr>
        </control>
      </mc:Choice>
    </mc:AlternateContent>
    <mc:AlternateContent xmlns:mc="http://schemas.openxmlformats.org/markup-compatibility/2006">
      <mc:Choice Requires="x14">
        <control shapeId="18551" r:id="rId103" name="UpMember1_16">
          <controlPr defaultSize="0" print="0" autoFill="0" autoPict="0" macro="_xll.IBPXLClient.TechnicalCategory.ButtonActionInIBPClientFormattingSheet">
            <anchor moveWithCells="1">
              <from>
                <xdr:col>14</xdr:col>
                <xdr:colOff>0</xdr:colOff>
                <xdr:row>84</xdr:row>
                <xdr:rowOff>57150</xdr:rowOff>
              </from>
              <to>
                <xdr:col>14</xdr:col>
                <xdr:colOff>704850</xdr:colOff>
                <xdr:row>86</xdr:row>
                <xdr:rowOff>0</xdr:rowOff>
              </to>
            </anchor>
          </controlPr>
        </control>
      </mc:Choice>
    </mc:AlternateContent>
    <mc:AlternateContent xmlns:mc="http://schemas.openxmlformats.org/markup-compatibility/2006">
      <mc:Choice Requires="x14">
        <control shapeId="18552" r:id="rId104" name="DownMember1_16">
          <controlPr defaultSize="0" print="0" autoFill="0" autoPict="0" macro="_xll.IBPXLClient.TechnicalCategory.ButtonActionInIBPClientFormattingSheet">
            <anchor moveWithCells="1">
              <from>
                <xdr:col>15</xdr:col>
                <xdr:colOff>0</xdr:colOff>
                <xdr:row>84</xdr:row>
                <xdr:rowOff>57150</xdr:rowOff>
              </from>
              <to>
                <xdr:col>16</xdr:col>
                <xdr:colOff>0</xdr:colOff>
                <xdr:row>86</xdr:row>
                <xdr:rowOff>0</xdr:rowOff>
              </to>
            </anchor>
          </controlPr>
        </control>
      </mc:Choice>
    </mc:AlternateContent>
    <mc:AlternateContent xmlns:mc="http://schemas.openxmlformats.org/markup-compatibility/2006">
      <mc:Choice Requires="x14">
        <control shapeId="18553" r:id="rId105" name="AddedMember1_17">
          <controlPr defaultSize="0" print="0" autoFill="0" autoPict="0" macro="_xll.IBPXLClient.TechnicalCategory.ButtonActionInIBPClientFormattingSheet">
            <anchor moveWithCells="1">
              <from>
                <xdr:col>12</xdr:col>
                <xdr:colOff>0</xdr:colOff>
                <xdr:row>87</xdr:row>
                <xdr:rowOff>57150</xdr:rowOff>
              </from>
              <to>
                <xdr:col>12</xdr:col>
                <xdr:colOff>704850</xdr:colOff>
                <xdr:row>89</xdr:row>
                <xdr:rowOff>0</xdr:rowOff>
              </to>
            </anchor>
          </controlPr>
        </control>
      </mc:Choice>
    </mc:AlternateContent>
    <mc:AlternateContent xmlns:mc="http://schemas.openxmlformats.org/markup-compatibility/2006">
      <mc:Choice Requires="x14">
        <control shapeId="18554" r:id="rId106" name="ChangeMember1_17">
          <controlPr defaultSize="0" print="0" autoFill="0" autoPict="0" macro="_xll.IBPXLClient.TechnicalCategory.ButtonActionInIBPClientFormattingSheet">
            <anchor moveWithCells="1">
              <from>
                <xdr:col>12</xdr:col>
                <xdr:colOff>723900</xdr:colOff>
                <xdr:row>87</xdr:row>
                <xdr:rowOff>57150</xdr:rowOff>
              </from>
              <to>
                <xdr:col>13</xdr:col>
                <xdr:colOff>704850</xdr:colOff>
                <xdr:row>89</xdr:row>
                <xdr:rowOff>0</xdr:rowOff>
              </to>
            </anchor>
          </controlPr>
        </control>
      </mc:Choice>
    </mc:AlternateContent>
    <mc:AlternateContent xmlns:mc="http://schemas.openxmlformats.org/markup-compatibility/2006">
      <mc:Choice Requires="x14">
        <control shapeId="18555" r:id="rId107" name="UpMember1_17">
          <controlPr defaultSize="0" print="0" autoFill="0" autoPict="0" macro="_xll.IBPXLClient.TechnicalCategory.ButtonActionInIBPClientFormattingSheet">
            <anchor moveWithCells="1">
              <from>
                <xdr:col>14</xdr:col>
                <xdr:colOff>0</xdr:colOff>
                <xdr:row>87</xdr:row>
                <xdr:rowOff>57150</xdr:rowOff>
              </from>
              <to>
                <xdr:col>14</xdr:col>
                <xdr:colOff>704850</xdr:colOff>
                <xdr:row>89</xdr:row>
                <xdr:rowOff>0</xdr:rowOff>
              </to>
            </anchor>
          </controlPr>
        </control>
      </mc:Choice>
    </mc:AlternateContent>
    <mc:AlternateContent xmlns:mc="http://schemas.openxmlformats.org/markup-compatibility/2006">
      <mc:Choice Requires="x14">
        <control shapeId="18556" r:id="rId108" name="DownMember1_17">
          <controlPr defaultSize="0" print="0" autoFill="0" autoPict="0" macro="_xll.IBPXLClient.TechnicalCategory.ButtonActionInIBPClientFormattingSheet">
            <anchor moveWithCells="1">
              <from>
                <xdr:col>15</xdr:col>
                <xdr:colOff>0</xdr:colOff>
                <xdr:row>87</xdr:row>
                <xdr:rowOff>57150</xdr:rowOff>
              </from>
              <to>
                <xdr:col>16</xdr:col>
                <xdr:colOff>0</xdr:colOff>
                <xdr:row>89</xdr:row>
                <xdr:rowOff>0</xdr:rowOff>
              </to>
            </anchor>
          </controlPr>
        </control>
      </mc:Choice>
    </mc:AlternateContent>
    <mc:AlternateContent xmlns:mc="http://schemas.openxmlformats.org/markup-compatibility/2006">
      <mc:Choice Requires="x14">
        <control shapeId="18557" r:id="rId109" name="AddedMember1_18">
          <controlPr defaultSize="0" print="0" autoFill="0" autoPict="0" macro="_xll.IBPXLClient.TechnicalCategory.ButtonActionInIBPClientFormattingSheet">
            <anchor moveWithCells="1">
              <from>
                <xdr:col>12</xdr:col>
                <xdr:colOff>0</xdr:colOff>
                <xdr:row>91</xdr:row>
                <xdr:rowOff>0</xdr:rowOff>
              </from>
              <to>
                <xdr:col>12</xdr:col>
                <xdr:colOff>704850</xdr:colOff>
                <xdr:row>92</xdr:row>
                <xdr:rowOff>9525</xdr:rowOff>
              </to>
            </anchor>
          </controlPr>
        </control>
      </mc:Choice>
    </mc:AlternateContent>
    <mc:AlternateContent xmlns:mc="http://schemas.openxmlformats.org/markup-compatibility/2006">
      <mc:Choice Requires="x14">
        <control shapeId="18558" r:id="rId110" name="ChangeMember1_18">
          <controlPr defaultSize="0" print="0" autoFill="0" autoPict="0" macro="_xll.IBPXLClient.TechnicalCategory.ButtonActionInIBPClientFormattingSheet">
            <anchor moveWithCells="1">
              <from>
                <xdr:col>12</xdr:col>
                <xdr:colOff>723900</xdr:colOff>
                <xdr:row>91</xdr:row>
                <xdr:rowOff>0</xdr:rowOff>
              </from>
              <to>
                <xdr:col>13</xdr:col>
                <xdr:colOff>704850</xdr:colOff>
                <xdr:row>92</xdr:row>
                <xdr:rowOff>9525</xdr:rowOff>
              </to>
            </anchor>
          </controlPr>
        </control>
      </mc:Choice>
    </mc:AlternateContent>
    <mc:AlternateContent xmlns:mc="http://schemas.openxmlformats.org/markup-compatibility/2006">
      <mc:Choice Requires="x14">
        <control shapeId="18559" r:id="rId111" name="UpMember1_18">
          <controlPr defaultSize="0" print="0" autoFill="0" autoPict="0" macro="_xll.IBPXLClient.TechnicalCategory.ButtonActionInIBPClientFormattingSheet">
            <anchor moveWithCells="1">
              <from>
                <xdr:col>14</xdr:col>
                <xdr:colOff>0</xdr:colOff>
                <xdr:row>91</xdr:row>
                <xdr:rowOff>0</xdr:rowOff>
              </from>
              <to>
                <xdr:col>14</xdr:col>
                <xdr:colOff>704850</xdr:colOff>
                <xdr:row>92</xdr:row>
                <xdr:rowOff>9525</xdr:rowOff>
              </to>
            </anchor>
          </controlPr>
        </control>
      </mc:Choice>
    </mc:AlternateContent>
    <mc:AlternateContent xmlns:mc="http://schemas.openxmlformats.org/markup-compatibility/2006">
      <mc:Choice Requires="x14">
        <control shapeId="18560" r:id="rId112" name="DownMember1_18">
          <controlPr defaultSize="0" print="0" autoFill="0" autoPict="0" macro="_xll.IBPXLClient.TechnicalCategory.ButtonActionInIBPClientFormattingSheet">
            <anchor moveWithCells="1">
              <from>
                <xdr:col>15</xdr:col>
                <xdr:colOff>0</xdr:colOff>
                <xdr:row>91</xdr:row>
                <xdr:rowOff>0</xdr:rowOff>
              </from>
              <to>
                <xdr:col>16</xdr:col>
                <xdr:colOff>0</xdr:colOff>
                <xdr:row>92</xdr:row>
                <xdr:rowOff>9525</xdr:rowOff>
              </to>
            </anchor>
          </controlPr>
        </control>
      </mc:Choice>
    </mc:AlternateContent>
    <mc:AlternateContent xmlns:mc="http://schemas.openxmlformats.org/markup-compatibility/2006">
      <mc:Choice Requires="x14">
        <control shapeId="18561" r:id="rId113" name="AddedMember2_1">
          <controlPr defaultSize="0" print="0" autoFill="0" autoPict="0" macro="_xll.IBPXLClient.TechnicalCategory.ButtonActionInIBPClientFormattingSheet">
            <anchor moveWithCells="1">
              <from>
                <xdr:col>11</xdr:col>
                <xdr:colOff>2438400</xdr:colOff>
                <xdr:row>165</xdr:row>
                <xdr:rowOff>47625</xdr:rowOff>
              </from>
              <to>
                <xdr:col>12</xdr:col>
                <xdr:colOff>676275</xdr:colOff>
                <xdr:row>166</xdr:row>
                <xdr:rowOff>190500</xdr:rowOff>
              </to>
            </anchor>
          </controlPr>
        </control>
      </mc:Choice>
    </mc:AlternateContent>
    <mc:AlternateContent xmlns:mc="http://schemas.openxmlformats.org/markup-compatibility/2006">
      <mc:Choice Requires="x14">
        <control shapeId="18562" r:id="rId114" name="ChangeMember2_1">
          <controlPr defaultSize="0" print="0" autoFill="0" autoPict="0" macro="_xll.IBPXLClient.TechnicalCategory.ButtonActionInIBPClientFormattingSheet">
            <anchor moveWithCells="1">
              <from>
                <xdr:col>13</xdr:col>
                <xdr:colOff>0</xdr:colOff>
                <xdr:row>165</xdr:row>
                <xdr:rowOff>47625</xdr:rowOff>
              </from>
              <to>
                <xdr:col>13</xdr:col>
                <xdr:colOff>695325</xdr:colOff>
                <xdr:row>166</xdr:row>
                <xdr:rowOff>190500</xdr:rowOff>
              </to>
            </anchor>
          </controlPr>
        </control>
      </mc:Choice>
    </mc:AlternateContent>
    <mc:AlternateContent xmlns:mc="http://schemas.openxmlformats.org/markup-compatibility/2006">
      <mc:Choice Requires="x14">
        <control shapeId="18563" r:id="rId115" name="UpMember2_1">
          <controlPr defaultSize="0" print="0" autoFill="0" autoPict="0" macro="_xll.IBPXLClient.TechnicalCategory.ButtonActionInIBPClientFormattingSheet">
            <anchor moveWithCells="1">
              <from>
                <xdr:col>14</xdr:col>
                <xdr:colOff>0</xdr:colOff>
                <xdr:row>165</xdr:row>
                <xdr:rowOff>47625</xdr:rowOff>
              </from>
              <to>
                <xdr:col>14</xdr:col>
                <xdr:colOff>695325</xdr:colOff>
                <xdr:row>166</xdr:row>
                <xdr:rowOff>190500</xdr:rowOff>
              </to>
            </anchor>
          </controlPr>
        </control>
      </mc:Choice>
    </mc:AlternateContent>
    <mc:AlternateContent xmlns:mc="http://schemas.openxmlformats.org/markup-compatibility/2006">
      <mc:Choice Requires="x14">
        <control shapeId="18564" r:id="rId116" name="DownMember2_1">
          <controlPr defaultSize="0" print="0" autoFill="0" autoPict="0" macro="_xll.IBPXLClient.TechnicalCategory.ButtonActionInIBPClientFormattingSheet">
            <anchor moveWithCells="1">
              <from>
                <xdr:col>14</xdr:col>
                <xdr:colOff>704850</xdr:colOff>
                <xdr:row>165</xdr:row>
                <xdr:rowOff>47625</xdr:rowOff>
              </from>
              <to>
                <xdr:col>15</xdr:col>
                <xdr:colOff>676275</xdr:colOff>
                <xdr:row>166</xdr:row>
                <xdr:rowOff>190500</xdr:rowOff>
              </to>
            </anchor>
          </controlPr>
        </control>
      </mc:Choice>
    </mc:AlternateContent>
    <mc:AlternateContent xmlns:mc="http://schemas.openxmlformats.org/markup-compatibility/2006">
      <mc:Choice Requires="x14">
        <control shapeId="18565" r:id="rId117" name="AddedMember2_2">
          <controlPr defaultSize="0" print="0" autoFill="0" autoPict="0" macro="_xll.IBPXLClient.TechnicalCategory.ButtonActionInIBPClientFormattingSheet">
            <anchor moveWithCells="1">
              <from>
                <xdr:col>12</xdr:col>
                <xdr:colOff>0</xdr:colOff>
                <xdr:row>169</xdr:row>
                <xdr:rowOff>0</xdr:rowOff>
              </from>
              <to>
                <xdr:col>12</xdr:col>
                <xdr:colOff>704850</xdr:colOff>
                <xdr:row>170</xdr:row>
                <xdr:rowOff>0</xdr:rowOff>
              </to>
            </anchor>
          </controlPr>
        </control>
      </mc:Choice>
    </mc:AlternateContent>
    <mc:AlternateContent xmlns:mc="http://schemas.openxmlformats.org/markup-compatibility/2006">
      <mc:Choice Requires="x14">
        <control shapeId="18566" r:id="rId118" name="ChangeMember2_2">
          <controlPr defaultSize="0" print="0" autoFill="0" autoPict="0" macro="_xll.IBPXLClient.TechnicalCategory.ButtonActionInIBPClientFormattingSheet">
            <anchor moveWithCells="1">
              <from>
                <xdr:col>12</xdr:col>
                <xdr:colOff>723900</xdr:colOff>
                <xdr:row>169</xdr:row>
                <xdr:rowOff>0</xdr:rowOff>
              </from>
              <to>
                <xdr:col>13</xdr:col>
                <xdr:colOff>704850</xdr:colOff>
                <xdr:row>170</xdr:row>
                <xdr:rowOff>0</xdr:rowOff>
              </to>
            </anchor>
          </controlPr>
        </control>
      </mc:Choice>
    </mc:AlternateContent>
    <mc:AlternateContent xmlns:mc="http://schemas.openxmlformats.org/markup-compatibility/2006">
      <mc:Choice Requires="x14">
        <control shapeId="18567" r:id="rId119" name="UpMember2_2">
          <controlPr defaultSize="0" print="0" autoFill="0" autoPict="0" macro="_xll.IBPXLClient.TechnicalCategory.ButtonActionInIBPClientFormattingSheet">
            <anchor moveWithCells="1">
              <from>
                <xdr:col>14</xdr:col>
                <xdr:colOff>0</xdr:colOff>
                <xdr:row>169</xdr:row>
                <xdr:rowOff>0</xdr:rowOff>
              </from>
              <to>
                <xdr:col>14</xdr:col>
                <xdr:colOff>704850</xdr:colOff>
                <xdr:row>170</xdr:row>
                <xdr:rowOff>0</xdr:rowOff>
              </to>
            </anchor>
          </controlPr>
        </control>
      </mc:Choice>
    </mc:AlternateContent>
    <mc:AlternateContent xmlns:mc="http://schemas.openxmlformats.org/markup-compatibility/2006">
      <mc:Choice Requires="x14">
        <control shapeId="18568" r:id="rId120" name="DownMember2_2">
          <controlPr defaultSize="0" print="0" autoFill="0" autoPict="0" macro="_xll.IBPXLClient.TechnicalCategory.ButtonActionInIBPClientFormattingSheet">
            <anchor moveWithCells="1">
              <from>
                <xdr:col>15</xdr:col>
                <xdr:colOff>0</xdr:colOff>
                <xdr:row>169</xdr:row>
                <xdr:rowOff>0</xdr:rowOff>
              </from>
              <to>
                <xdr:col>16</xdr:col>
                <xdr:colOff>0</xdr:colOff>
                <xdr:row>170</xdr:row>
                <xdr:rowOff>0</xdr:rowOff>
              </to>
            </anchor>
          </controlPr>
        </control>
      </mc:Choice>
    </mc:AlternateContent>
    <mc:AlternateContent xmlns:mc="http://schemas.openxmlformats.org/markup-compatibility/2006">
      <mc:Choice Requires="x14">
        <control shapeId="18569" r:id="rId121" name="AddedMember2_3">
          <controlPr defaultSize="0" print="0" autoFill="0" autoPict="0" macro="_xll.IBPXLClient.TechnicalCategory.ButtonActionInIBPClientFormattingSheet">
            <anchor moveWithCells="1">
              <from>
                <xdr:col>12</xdr:col>
                <xdr:colOff>0</xdr:colOff>
                <xdr:row>171</xdr:row>
                <xdr:rowOff>57150</xdr:rowOff>
              </from>
              <to>
                <xdr:col>12</xdr:col>
                <xdr:colOff>704850</xdr:colOff>
                <xdr:row>173</xdr:row>
                <xdr:rowOff>0</xdr:rowOff>
              </to>
            </anchor>
          </controlPr>
        </control>
      </mc:Choice>
    </mc:AlternateContent>
    <mc:AlternateContent xmlns:mc="http://schemas.openxmlformats.org/markup-compatibility/2006">
      <mc:Choice Requires="x14">
        <control shapeId="18570" r:id="rId122" name="ChangeMember2_3">
          <controlPr defaultSize="0" print="0" autoFill="0" autoPict="0" macro="_xll.IBPXLClient.TechnicalCategory.ButtonActionInIBPClientFormattingSheet">
            <anchor moveWithCells="1">
              <from>
                <xdr:col>12</xdr:col>
                <xdr:colOff>723900</xdr:colOff>
                <xdr:row>171</xdr:row>
                <xdr:rowOff>57150</xdr:rowOff>
              </from>
              <to>
                <xdr:col>13</xdr:col>
                <xdr:colOff>704850</xdr:colOff>
                <xdr:row>173</xdr:row>
                <xdr:rowOff>0</xdr:rowOff>
              </to>
            </anchor>
          </controlPr>
        </control>
      </mc:Choice>
    </mc:AlternateContent>
    <mc:AlternateContent xmlns:mc="http://schemas.openxmlformats.org/markup-compatibility/2006">
      <mc:Choice Requires="x14">
        <control shapeId="18571" r:id="rId123" name="UpMember2_3">
          <controlPr defaultSize="0" print="0" autoFill="0" autoPict="0" macro="_xll.IBPXLClient.TechnicalCategory.ButtonActionInIBPClientFormattingSheet">
            <anchor moveWithCells="1">
              <from>
                <xdr:col>14</xdr:col>
                <xdr:colOff>0</xdr:colOff>
                <xdr:row>171</xdr:row>
                <xdr:rowOff>57150</xdr:rowOff>
              </from>
              <to>
                <xdr:col>14</xdr:col>
                <xdr:colOff>704850</xdr:colOff>
                <xdr:row>173</xdr:row>
                <xdr:rowOff>0</xdr:rowOff>
              </to>
            </anchor>
          </controlPr>
        </control>
      </mc:Choice>
    </mc:AlternateContent>
    <mc:AlternateContent xmlns:mc="http://schemas.openxmlformats.org/markup-compatibility/2006">
      <mc:Choice Requires="x14">
        <control shapeId="18572" r:id="rId124" name="DownMember2_3">
          <controlPr defaultSize="0" print="0" autoFill="0" autoPict="0" macro="_xll.IBPXLClient.TechnicalCategory.ButtonActionInIBPClientFormattingSheet">
            <anchor moveWithCells="1">
              <from>
                <xdr:col>15</xdr:col>
                <xdr:colOff>0</xdr:colOff>
                <xdr:row>171</xdr:row>
                <xdr:rowOff>57150</xdr:rowOff>
              </from>
              <to>
                <xdr:col>16</xdr:col>
                <xdr:colOff>0</xdr:colOff>
                <xdr:row>173</xdr:row>
                <xdr:rowOff>0</xdr:rowOff>
              </to>
            </anchor>
          </controlPr>
        </control>
      </mc:Choice>
    </mc:AlternateContent>
    <mc:AlternateContent xmlns:mc="http://schemas.openxmlformats.org/markup-compatibility/2006">
      <mc:Choice Requires="x14">
        <control shapeId="18573" r:id="rId125" name="AddedMember2_4">
          <controlPr defaultSize="0" print="0" autoFill="0" autoPict="0" macro="_xll.IBPXLClient.TechnicalCategory.ButtonActionInIBPClientFormattingSheet">
            <anchor moveWithCells="1">
              <from>
                <xdr:col>12</xdr:col>
                <xdr:colOff>0</xdr:colOff>
                <xdr:row>174</xdr:row>
                <xdr:rowOff>57150</xdr:rowOff>
              </from>
              <to>
                <xdr:col>12</xdr:col>
                <xdr:colOff>704850</xdr:colOff>
                <xdr:row>176</xdr:row>
                <xdr:rowOff>0</xdr:rowOff>
              </to>
            </anchor>
          </controlPr>
        </control>
      </mc:Choice>
    </mc:AlternateContent>
    <mc:AlternateContent xmlns:mc="http://schemas.openxmlformats.org/markup-compatibility/2006">
      <mc:Choice Requires="x14">
        <control shapeId="18574" r:id="rId126" name="ChangeMember2_4">
          <controlPr defaultSize="0" print="0" autoFill="0" autoPict="0" macro="_xll.IBPXLClient.TechnicalCategory.ButtonActionInIBPClientFormattingSheet">
            <anchor moveWithCells="1">
              <from>
                <xdr:col>12</xdr:col>
                <xdr:colOff>723900</xdr:colOff>
                <xdr:row>174</xdr:row>
                <xdr:rowOff>57150</xdr:rowOff>
              </from>
              <to>
                <xdr:col>13</xdr:col>
                <xdr:colOff>704850</xdr:colOff>
                <xdr:row>176</xdr:row>
                <xdr:rowOff>0</xdr:rowOff>
              </to>
            </anchor>
          </controlPr>
        </control>
      </mc:Choice>
    </mc:AlternateContent>
    <mc:AlternateContent xmlns:mc="http://schemas.openxmlformats.org/markup-compatibility/2006">
      <mc:Choice Requires="x14">
        <control shapeId="18575" r:id="rId127" name="UpMember2_4">
          <controlPr defaultSize="0" print="0" autoFill="0" autoPict="0" macro="_xll.IBPXLClient.TechnicalCategory.ButtonActionInIBPClientFormattingSheet">
            <anchor moveWithCells="1">
              <from>
                <xdr:col>14</xdr:col>
                <xdr:colOff>0</xdr:colOff>
                <xdr:row>174</xdr:row>
                <xdr:rowOff>57150</xdr:rowOff>
              </from>
              <to>
                <xdr:col>14</xdr:col>
                <xdr:colOff>704850</xdr:colOff>
                <xdr:row>176</xdr:row>
                <xdr:rowOff>0</xdr:rowOff>
              </to>
            </anchor>
          </controlPr>
        </control>
      </mc:Choice>
    </mc:AlternateContent>
    <mc:AlternateContent xmlns:mc="http://schemas.openxmlformats.org/markup-compatibility/2006">
      <mc:Choice Requires="x14">
        <control shapeId="18576" r:id="rId128" name="DownMember2_4">
          <controlPr defaultSize="0" print="0" autoFill="0" autoPict="0" macro="_xll.IBPXLClient.TechnicalCategory.ButtonActionInIBPClientFormattingSheet">
            <anchor moveWithCells="1">
              <from>
                <xdr:col>15</xdr:col>
                <xdr:colOff>0</xdr:colOff>
                <xdr:row>174</xdr:row>
                <xdr:rowOff>57150</xdr:rowOff>
              </from>
              <to>
                <xdr:col>16</xdr:col>
                <xdr:colOff>0</xdr:colOff>
                <xdr:row>176</xdr:row>
                <xdr:rowOff>0</xdr:rowOff>
              </to>
            </anchor>
          </controlPr>
        </control>
      </mc:Choice>
    </mc:AlternateContent>
    <mc:AlternateContent xmlns:mc="http://schemas.openxmlformats.org/markup-compatibility/2006">
      <mc:Choice Requires="x14">
        <control shapeId="18577" r:id="rId129" name="AddedMember2_5">
          <controlPr defaultSize="0" print="0" autoFill="0" autoPict="0" macro="_xll.IBPXLClient.TechnicalCategory.ButtonActionInIBPClientFormattingSheet">
            <anchor moveWithCells="1">
              <from>
                <xdr:col>12</xdr:col>
                <xdr:colOff>0</xdr:colOff>
                <xdr:row>178</xdr:row>
                <xdr:rowOff>0</xdr:rowOff>
              </from>
              <to>
                <xdr:col>12</xdr:col>
                <xdr:colOff>704850</xdr:colOff>
                <xdr:row>179</xdr:row>
                <xdr:rowOff>9525</xdr:rowOff>
              </to>
            </anchor>
          </controlPr>
        </control>
      </mc:Choice>
    </mc:AlternateContent>
    <mc:AlternateContent xmlns:mc="http://schemas.openxmlformats.org/markup-compatibility/2006">
      <mc:Choice Requires="x14">
        <control shapeId="18578" r:id="rId130" name="ChangeMember2_5">
          <controlPr defaultSize="0" print="0" autoFill="0" autoPict="0" macro="_xll.IBPXLClient.TechnicalCategory.ButtonActionInIBPClientFormattingSheet">
            <anchor moveWithCells="1">
              <from>
                <xdr:col>12</xdr:col>
                <xdr:colOff>723900</xdr:colOff>
                <xdr:row>178</xdr:row>
                <xdr:rowOff>0</xdr:rowOff>
              </from>
              <to>
                <xdr:col>13</xdr:col>
                <xdr:colOff>704850</xdr:colOff>
                <xdr:row>179</xdr:row>
                <xdr:rowOff>9525</xdr:rowOff>
              </to>
            </anchor>
          </controlPr>
        </control>
      </mc:Choice>
    </mc:AlternateContent>
    <mc:AlternateContent xmlns:mc="http://schemas.openxmlformats.org/markup-compatibility/2006">
      <mc:Choice Requires="x14">
        <control shapeId="18579" r:id="rId131" name="UpMember2_5">
          <controlPr defaultSize="0" print="0" autoFill="0" autoPict="0" macro="_xll.IBPXLClient.TechnicalCategory.ButtonActionInIBPClientFormattingSheet">
            <anchor moveWithCells="1">
              <from>
                <xdr:col>14</xdr:col>
                <xdr:colOff>0</xdr:colOff>
                <xdr:row>178</xdr:row>
                <xdr:rowOff>0</xdr:rowOff>
              </from>
              <to>
                <xdr:col>14</xdr:col>
                <xdr:colOff>704850</xdr:colOff>
                <xdr:row>179</xdr:row>
                <xdr:rowOff>9525</xdr:rowOff>
              </to>
            </anchor>
          </controlPr>
        </control>
      </mc:Choice>
    </mc:AlternateContent>
    <mc:AlternateContent xmlns:mc="http://schemas.openxmlformats.org/markup-compatibility/2006">
      <mc:Choice Requires="x14">
        <control shapeId="18580" r:id="rId132" name="DownMember2_5">
          <controlPr defaultSize="0" print="0" autoFill="0" autoPict="0" macro="_xll.IBPXLClient.TechnicalCategory.ButtonActionInIBPClientFormattingSheet">
            <anchor moveWithCells="1">
              <from>
                <xdr:col>15</xdr:col>
                <xdr:colOff>0</xdr:colOff>
                <xdr:row>178</xdr:row>
                <xdr:rowOff>0</xdr:rowOff>
              </from>
              <to>
                <xdr:col>16</xdr:col>
                <xdr:colOff>0</xdr:colOff>
                <xdr:row>179</xdr:row>
                <xdr:rowOff>9525</xdr:rowOff>
              </to>
            </anchor>
          </controlPr>
        </control>
      </mc:Choice>
    </mc:AlternateContent>
    <mc:AlternateContent xmlns:mc="http://schemas.openxmlformats.org/markup-compatibility/2006">
      <mc:Choice Requires="x14">
        <control shapeId="18581" r:id="rId133" name="AddedMember2_6">
          <controlPr defaultSize="0" print="0" autoFill="0" autoPict="0" macro="_xll.IBPXLClient.TechnicalCategory.ButtonActionInIBPClientFormattingSheet">
            <anchor moveWithCells="1">
              <from>
                <xdr:col>12</xdr:col>
                <xdr:colOff>0</xdr:colOff>
                <xdr:row>181</xdr:row>
                <xdr:rowOff>0</xdr:rowOff>
              </from>
              <to>
                <xdr:col>12</xdr:col>
                <xdr:colOff>704850</xdr:colOff>
                <xdr:row>182</xdr:row>
                <xdr:rowOff>9525</xdr:rowOff>
              </to>
            </anchor>
          </controlPr>
        </control>
      </mc:Choice>
    </mc:AlternateContent>
    <mc:AlternateContent xmlns:mc="http://schemas.openxmlformats.org/markup-compatibility/2006">
      <mc:Choice Requires="x14">
        <control shapeId="18582" r:id="rId134" name="ChangeMember2_6">
          <controlPr defaultSize="0" print="0" autoFill="0" autoPict="0" macro="_xll.IBPXLClient.TechnicalCategory.ButtonActionInIBPClientFormattingSheet">
            <anchor moveWithCells="1">
              <from>
                <xdr:col>12</xdr:col>
                <xdr:colOff>723900</xdr:colOff>
                <xdr:row>181</xdr:row>
                <xdr:rowOff>0</xdr:rowOff>
              </from>
              <to>
                <xdr:col>13</xdr:col>
                <xdr:colOff>704850</xdr:colOff>
                <xdr:row>182</xdr:row>
                <xdr:rowOff>9525</xdr:rowOff>
              </to>
            </anchor>
          </controlPr>
        </control>
      </mc:Choice>
    </mc:AlternateContent>
    <mc:AlternateContent xmlns:mc="http://schemas.openxmlformats.org/markup-compatibility/2006">
      <mc:Choice Requires="x14">
        <control shapeId="18583" r:id="rId135" name="UpMember2_6">
          <controlPr defaultSize="0" print="0" autoFill="0" autoPict="0" macro="_xll.IBPXLClient.TechnicalCategory.ButtonActionInIBPClientFormattingSheet">
            <anchor moveWithCells="1">
              <from>
                <xdr:col>14</xdr:col>
                <xdr:colOff>0</xdr:colOff>
                <xdr:row>181</xdr:row>
                <xdr:rowOff>0</xdr:rowOff>
              </from>
              <to>
                <xdr:col>14</xdr:col>
                <xdr:colOff>704850</xdr:colOff>
                <xdr:row>182</xdr:row>
                <xdr:rowOff>9525</xdr:rowOff>
              </to>
            </anchor>
          </controlPr>
        </control>
      </mc:Choice>
    </mc:AlternateContent>
    <mc:AlternateContent xmlns:mc="http://schemas.openxmlformats.org/markup-compatibility/2006">
      <mc:Choice Requires="x14">
        <control shapeId="18584" r:id="rId136" name="DownMember2_6">
          <controlPr defaultSize="0" print="0" autoFill="0" autoPict="0" macro="_xll.IBPXLClient.TechnicalCategory.ButtonActionInIBPClientFormattingSheet">
            <anchor moveWithCells="1">
              <from>
                <xdr:col>15</xdr:col>
                <xdr:colOff>0</xdr:colOff>
                <xdr:row>181</xdr:row>
                <xdr:rowOff>0</xdr:rowOff>
              </from>
              <to>
                <xdr:col>16</xdr:col>
                <xdr:colOff>0</xdr:colOff>
                <xdr:row>182</xdr:row>
                <xdr:rowOff>9525</xdr:rowOff>
              </to>
            </anchor>
          </controlPr>
        </control>
      </mc:Choice>
    </mc:AlternateContent>
    <mc:AlternateContent xmlns:mc="http://schemas.openxmlformats.org/markup-compatibility/2006">
      <mc:Choice Requires="x14">
        <control shapeId="18585" r:id="rId137" name="AddedMember2_7">
          <controlPr defaultSize="0" print="0" autoFill="0" autoPict="0" macro="_xll.IBPXLClient.TechnicalCategory.ButtonActionInIBPClientFormattingSheet">
            <anchor moveWithCells="1">
              <from>
                <xdr:col>12</xdr:col>
                <xdr:colOff>0</xdr:colOff>
                <xdr:row>184</xdr:row>
                <xdr:rowOff>0</xdr:rowOff>
              </from>
              <to>
                <xdr:col>12</xdr:col>
                <xdr:colOff>704850</xdr:colOff>
                <xdr:row>185</xdr:row>
                <xdr:rowOff>0</xdr:rowOff>
              </to>
            </anchor>
          </controlPr>
        </control>
      </mc:Choice>
    </mc:AlternateContent>
    <mc:AlternateContent xmlns:mc="http://schemas.openxmlformats.org/markup-compatibility/2006">
      <mc:Choice Requires="x14">
        <control shapeId="18586" r:id="rId138" name="ChangeMember2_7">
          <controlPr defaultSize="0" print="0" autoFill="0" autoPict="0" macro="_xll.IBPXLClient.TechnicalCategory.ButtonActionInIBPClientFormattingSheet">
            <anchor moveWithCells="1">
              <from>
                <xdr:col>12</xdr:col>
                <xdr:colOff>723900</xdr:colOff>
                <xdr:row>184</xdr:row>
                <xdr:rowOff>0</xdr:rowOff>
              </from>
              <to>
                <xdr:col>13</xdr:col>
                <xdr:colOff>704850</xdr:colOff>
                <xdr:row>185</xdr:row>
                <xdr:rowOff>0</xdr:rowOff>
              </to>
            </anchor>
          </controlPr>
        </control>
      </mc:Choice>
    </mc:AlternateContent>
    <mc:AlternateContent xmlns:mc="http://schemas.openxmlformats.org/markup-compatibility/2006">
      <mc:Choice Requires="x14">
        <control shapeId="18587" r:id="rId139" name="UpMember2_7">
          <controlPr defaultSize="0" print="0" autoFill="0" autoPict="0" macro="_xll.IBPXLClient.TechnicalCategory.ButtonActionInIBPClientFormattingSheet">
            <anchor moveWithCells="1">
              <from>
                <xdr:col>14</xdr:col>
                <xdr:colOff>0</xdr:colOff>
                <xdr:row>184</xdr:row>
                <xdr:rowOff>0</xdr:rowOff>
              </from>
              <to>
                <xdr:col>14</xdr:col>
                <xdr:colOff>704850</xdr:colOff>
                <xdr:row>185</xdr:row>
                <xdr:rowOff>0</xdr:rowOff>
              </to>
            </anchor>
          </controlPr>
        </control>
      </mc:Choice>
    </mc:AlternateContent>
    <mc:AlternateContent xmlns:mc="http://schemas.openxmlformats.org/markup-compatibility/2006">
      <mc:Choice Requires="x14">
        <control shapeId="18588" r:id="rId140" name="DownMember2_7">
          <controlPr defaultSize="0" print="0" autoFill="0" autoPict="0" macro="_xll.IBPXLClient.TechnicalCategory.ButtonActionInIBPClientFormattingSheet">
            <anchor moveWithCells="1">
              <from>
                <xdr:col>15</xdr:col>
                <xdr:colOff>0</xdr:colOff>
                <xdr:row>184</xdr:row>
                <xdr:rowOff>0</xdr:rowOff>
              </from>
              <to>
                <xdr:col>16</xdr:col>
                <xdr:colOff>0</xdr:colOff>
                <xdr:row>185</xdr:row>
                <xdr:rowOff>0</xdr:rowOff>
              </to>
            </anchor>
          </controlPr>
        </control>
      </mc:Choice>
    </mc:AlternateContent>
    <mc:AlternateContent xmlns:mc="http://schemas.openxmlformats.org/markup-compatibility/2006">
      <mc:Choice Requires="x14">
        <control shapeId="18589" r:id="rId141" name="AddedMember1_19">
          <controlPr defaultSize="0" print="0" autoFill="0" autoPict="0" macro="_xll.IBPXLClient.TechnicalCategory.ButtonActionInIBPClientFormattingSheet">
            <anchor moveWithCells="1">
              <from>
                <xdr:col>12</xdr:col>
                <xdr:colOff>0</xdr:colOff>
                <xdr:row>93</xdr:row>
                <xdr:rowOff>57150</xdr:rowOff>
              </from>
              <to>
                <xdr:col>12</xdr:col>
                <xdr:colOff>704850</xdr:colOff>
                <xdr:row>95</xdr:row>
                <xdr:rowOff>0</xdr:rowOff>
              </to>
            </anchor>
          </controlPr>
        </control>
      </mc:Choice>
    </mc:AlternateContent>
    <mc:AlternateContent xmlns:mc="http://schemas.openxmlformats.org/markup-compatibility/2006">
      <mc:Choice Requires="x14">
        <control shapeId="18590" r:id="rId142" name="ChangeMember1_19">
          <controlPr defaultSize="0" print="0" autoFill="0" autoPict="0" macro="_xll.IBPXLClient.TechnicalCategory.ButtonActionInIBPClientFormattingSheet">
            <anchor moveWithCells="1">
              <from>
                <xdr:col>12</xdr:col>
                <xdr:colOff>723900</xdr:colOff>
                <xdr:row>93</xdr:row>
                <xdr:rowOff>57150</xdr:rowOff>
              </from>
              <to>
                <xdr:col>13</xdr:col>
                <xdr:colOff>704850</xdr:colOff>
                <xdr:row>95</xdr:row>
                <xdr:rowOff>0</xdr:rowOff>
              </to>
            </anchor>
          </controlPr>
        </control>
      </mc:Choice>
    </mc:AlternateContent>
    <mc:AlternateContent xmlns:mc="http://schemas.openxmlformats.org/markup-compatibility/2006">
      <mc:Choice Requires="x14">
        <control shapeId="18591" r:id="rId143" name="UpMember1_19">
          <controlPr defaultSize="0" print="0" autoFill="0" autoPict="0" macro="_xll.IBPXLClient.TechnicalCategory.ButtonActionInIBPClientFormattingSheet">
            <anchor moveWithCells="1">
              <from>
                <xdr:col>14</xdr:col>
                <xdr:colOff>0</xdr:colOff>
                <xdr:row>93</xdr:row>
                <xdr:rowOff>57150</xdr:rowOff>
              </from>
              <to>
                <xdr:col>14</xdr:col>
                <xdr:colOff>704850</xdr:colOff>
                <xdr:row>95</xdr:row>
                <xdr:rowOff>0</xdr:rowOff>
              </to>
            </anchor>
          </controlPr>
        </control>
      </mc:Choice>
    </mc:AlternateContent>
    <mc:AlternateContent xmlns:mc="http://schemas.openxmlformats.org/markup-compatibility/2006">
      <mc:Choice Requires="x14">
        <control shapeId="18592" r:id="rId144" name="DownMember1_19">
          <controlPr defaultSize="0" print="0" autoFill="0" autoPict="0" macro="_xll.IBPXLClient.TechnicalCategory.ButtonActionInIBPClientFormattingSheet">
            <anchor moveWithCells="1">
              <from>
                <xdr:col>15</xdr:col>
                <xdr:colOff>0</xdr:colOff>
                <xdr:row>93</xdr:row>
                <xdr:rowOff>57150</xdr:rowOff>
              </from>
              <to>
                <xdr:col>16</xdr:col>
                <xdr:colOff>0</xdr:colOff>
                <xdr:row>95</xdr:row>
                <xdr:rowOff>0</xdr:rowOff>
              </to>
            </anchor>
          </controlPr>
        </control>
      </mc:Choice>
    </mc:AlternateContent>
    <mc:AlternateContent xmlns:mc="http://schemas.openxmlformats.org/markup-compatibility/2006">
      <mc:Choice Requires="x14">
        <control shapeId="18593" r:id="rId145" name="AddedMember1_20">
          <controlPr defaultSize="0" print="0" autoFill="0" autoPict="0" macro="_xll.IBPXLClient.TechnicalCategory.ButtonActionInIBPClientFormattingSheet">
            <anchor moveWithCells="1">
              <from>
                <xdr:col>12</xdr:col>
                <xdr:colOff>0</xdr:colOff>
                <xdr:row>97</xdr:row>
                <xdr:rowOff>0</xdr:rowOff>
              </from>
              <to>
                <xdr:col>12</xdr:col>
                <xdr:colOff>704850</xdr:colOff>
                <xdr:row>98</xdr:row>
                <xdr:rowOff>9525</xdr:rowOff>
              </to>
            </anchor>
          </controlPr>
        </control>
      </mc:Choice>
    </mc:AlternateContent>
    <mc:AlternateContent xmlns:mc="http://schemas.openxmlformats.org/markup-compatibility/2006">
      <mc:Choice Requires="x14">
        <control shapeId="18594" r:id="rId146" name="ChangeMember1_20">
          <controlPr defaultSize="0" print="0" autoFill="0" autoPict="0" macro="_xll.IBPXLClient.TechnicalCategory.ButtonActionInIBPClientFormattingSheet">
            <anchor moveWithCells="1">
              <from>
                <xdr:col>12</xdr:col>
                <xdr:colOff>723900</xdr:colOff>
                <xdr:row>97</xdr:row>
                <xdr:rowOff>0</xdr:rowOff>
              </from>
              <to>
                <xdr:col>13</xdr:col>
                <xdr:colOff>704850</xdr:colOff>
                <xdr:row>98</xdr:row>
                <xdr:rowOff>9525</xdr:rowOff>
              </to>
            </anchor>
          </controlPr>
        </control>
      </mc:Choice>
    </mc:AlternateContent>
    <mc:AlternateContent xmlns:mc="http://schemas.openxmlformats.org/markup-compatibility/2006">
      <mc:Choice Requires="x14">
        <control shapeId="18595" r:id="rId147" name="UpMember1_20">
          <controlPr defaultSize="0" print="0" autoFill="0" autoPict="0" macro="_xll.IBPXLClient.TechnicalCategory.ButtonActionInIBPClientFormattingSheet">
            <anchor moveWithCells="1">
              <from>
                <xdr:col>14</xdr:col>
                <xdr:colOff>0</xdr:colOff>
                <xdr:row>97</xdr:row>
                <xdr:rowOff>0</xdr:rowOff>
              </from>
              <to>
                <xdr:col>14</xdr:col>
                <xdr:colOff>704850</xdr:colOff>
                <xdr:row>98</xdr:row>
                <xdr:rowOff>9525</xdr:rowOff>
              </to>
            </anchor>
          </controlPr>
        </control>
      </mc:Choice>
    </mc:AlternateContent>
    <mc:AlternateContent xmlns:mc="http://schemas.openxmlformats.org/markup-compatibility/2006">
      <mc:Choice Requires="x14">
        <control shapeId="18596" r:id="rId148" name="DownMember1_20">
          <controlPr defaultSize="0" print="0" autoFill="0" autoPict="0" macro="_xll.IBPXLClient.TechnicalCategory.ButtonActionInIBPClientFormattingSheet">
            <anchor moveWithCells="1">
              <from>
                <xdr:col>15</xdr:col>
                <xdr:colOff>0</xdr:colOff>
                <xdr:row>97</xdr:row>
                <xdr:rowOff>0</xdr:rowOff>
              </from>
              <to>
                <xdr:col>16</xdr:col>
                <xdr:colOff>0</xdr:colOff>
                <xdr:row>98</xdr:row>
                <xdr:rowOff>9525</xdr:rowOff>
              </to>
            </anchor>
          </controlPr>
        </control>
      </mc:Choice>
    </mc:AlternateContent>
    <mc:AlternateContent xmlns:mc="http://schemas.openxmlformats.org/markup-compatibility/2006">
      <mc:Choice Requires="x14">
        <control shapeId="18597" r:id="rId149" name="AddedMember1_21">
          <controlPr defaultSize="0" print="0" autoFill="0" autoPict="0" macro="_xll.IBPXLClient.TechnicalCategory.ButtonActionInIBPClientFormattingSheet">
            <anchor moveWithCells="1">
              <from>
                <xdr:col>12</xdr:col>
                <xdr:colOff>0</xdr:colOff>
                <xdr:row>100</xdr:row>
                <xdr:rowOff>0</xdr:rowOff>
              </from>
              <to>
                <xdr:col>12</xdr:col>
                <xdr:colOff>704850</xdr:colOff>
                <xdr:row>101</xdr:row>
                <xdr:rowOff>9525</xdr:rowOff>
              </to>
            </anchor>
          </controlPr>
        </control>
      </mc:Choice>
    </mc:AlternateContent>
    <mc:AlternateContent xmlns:mc="http://schemas.openxmlformats.org/markup-compatibility/2006">
      <mc:Choice Requires="x14">
        <control shapeId="18598" r:id="rId150" name="ChangeMember1_21">
          <controlPr defaultSize="0" print="0" autoFill="0" autoPict="0" macro="_xll.IBPXLClient.TechnicalCategory.ButtonActionInIBPClientFormattingSheet">
            <anchor moveWithCells="1">
              <from>
                <xdr:col>12</xdr:col>
                <xdr:colOff>723900</xdr:colOff>
                <xdr:row>100</xdr:row>
                <xdr:rowOff>0</xdr:rowOff>
              </from>
              <to>
                <xdr:col>13</xdr:col>
                <xdr:colOff>704850</xdr:colOff>
                <xdr:row>101</xdr:row>
                <xdr:rowOff>9525</xdr:rowOff>
              </to>
            </anchor>
          </controlPr>
        </control>
      </mc:Choice>
    </mc:AlternateContent>
    <mc:AlternateContent xmlns:mc="http://schemas.openxmlformats.org/markup-compatibility/2006">
      <mc:Choice Requires="x14">
        <control shapeId="18599" r:id="rId151" name="UpMember1_21">
          <controlPr defaultSize="0" print="0" autoFill="0" autoPict="0" macro="_xll.IBPXLClient.TechnicalCategory.ButtonActionInIBPClientFormattingSheet">
            <anchor moveWithCells="1">
              <from>
                <xdr:col>14</xdr:col>
                <xdr:colOff>0</xdr:colOff>
                <xdr:row>100</xdr:row>
                <xdr:rowOff>0</xdr:rowOff>
              </from>
              <to>
                <xdr:col>14</xdr:col>
                <xdr:colOff>704850</xdr:colOff>
                <xdr:row>101</xdr:row>
                <xdr:rowOff>9525</xdr:rowOff>
              </to>
            </anchor>
          </controlPr>
        </control>
      </mc:Choice>
    </mc:AlternateContent>
    <mc:AlternateContent xmlns:mc="http://schemas.openxmlformats.org/markup-compatibility/2006">
      <mc:Choice Requires="x14">
        <control shapeId="18600" r:id="rId152" name="DownMember1_21">
          <controlPr defaultSize="0" print="0" autoFill="0" autoPict="0" macro="_xll.IBPXLClient.TechnicalCategory.ButtonActionInIBPClientFormattingSheet">
            <anchor moveWithCells="1">
              <from>
                <xdr:col>15</xdr:col>
                <xdr:colOff>0</xdr:colOff>
                <xdr:row>100</xdr:row>
                <xdr:rowOff>0</xdr:rowOff>
              </from>
              <to>
                <xdr:col>16</xdr:col>
                <xdr:colOff>0</xdr:colOff>
                <xdr:row>101</xdr:row>
                <xdr:rowOff>9525</xdr:rowOff>
              </to>
            </anchor>
          </controlPr>
        </control>
      </mc:Choice>
    </mc:AlternateContent>
    <mc:AlternateContent xmlns:mc="http://schemas.openxmlformats.org/markup-compatibility/2006">
      <mc:Choice Requires="x14">
        <control shapeId="18601" r:id="rId153" name="AddedMember1_22">
          <controlPr defaultSize="0" print="0" autoFill="0" autoPict="0" macro="_xll.IBPXLClient.TechnicalCategory.ButtonActionInIBPClientFormattingSheet">
            <anchor moveWithCells="1">
              <from>
                <xdr:col>12</xdr:col>
                <xdr:colOff>0</xdr:colOff>
                <xdr:row>103</xdr:row>
                <xdr:rowOff>0</xdr:rowOff>
              </from>
              <to>
                <xdr:col>12</xdr:col>
                <xdr:colOff>704850</xdr:colOff>
                <xdr:row>104</xdr:row>
                <xdr:rowOff>0</xdr:rowOff>
              </to>
            </anchor>
          </controlPr>
        </control>
      </mc:Choice>
    </mc:AlternateContent>
    <mc:AlternateContent xmlns:mc="http://schemas.openxmlformats.org/markup-compatibility/2006">
      <mc:Choice Requires="x14">
        <control shapeId="18602" r:id="rId154" name="ChangeMember1_22">
          <controlPr defaultSize="0" print="0" autoFill="0" autoPict="0" macro="_xll.IBPXLClient.TechnicalCategory.ButtonActionInIBPClientFormattingSheet">
            <anchor moveWithCells="1">
              <from>
                <xdr:col>12</xdr:col>
                <xdr:colOff>723900</xdr:colOff>
                <xdr:row>103</xdr:row>
                <xdr:rowOff>0</xdr:rowOff>
              </from>
              <to>
                <xdr:col>13</xdr:col>
                <xdr:colOff>704850</xdr:colOff>
                <xdr:row>104</xdr:row>
                <xdr:rowOff>0</xdr:rowOff>
              </to>
            </anchor>
          </controlPr>
        </control>
      </mc:Choice>
    </mc:AlternateContent>
    <mc:AlternateContent xmlns:mc="http://schemas.openxmlformats.org/markup-compatibility/2006">
      <mc:Choice Requires="x14">
        <control shapeId="18603" r:id="rId155" name="UpMember1_22">
          <controlPr defaultSize="0" print="0" autoFill="0" autoPict="0" macro="_xll.IBPXLClient.TechnicalCategory.ButtonActionInIBPClientFormattingSheet">
            <anchor moveWithCells="1">
              <from>
                <xdr:col>14</xdr:col>
                <xdr:colOff>0</xdr:colOff>
                <xdr:row>103</xdr:row>
                <xdr:rowOff>0</xdr:rowOff>
              </from>
              <to>
                <xdr:col>14</xdr:col>
                <xdr:colOff>704850</xdr:colOff>
                <xdr:row>104</xdr:row>
                <xdr:rowOff>0</xdr:rowOff>
              </to>
            </anchor>
          </controlPr>
        </control>
      </mc:Choice>
    </mc:AlternateContent>
    <mc:AlternateContent xmlns:mc="http://schemas.openxmlformats.org/markup-compatibility/2006">
      <mc:Choice Requires="x14">
        <control shapeId="18604" r:id="rId156" name="DownMember1_22">
          <controlPr defaultSize="0" print="0" autoFill="0" autoPict="0" macro="_xll.IBPXLClient.TechnicalCategory.ButtonActionInIBPClientFormattingSheet">
            <anchor moveWithCells="1">
              <from>
                <xdr:col>15</xdr:col>
                <xdr:colOff>0</xdr:colOff>
                <xdr:row>103</xdr:row>
                <xdr:rowOff>0</xdr:rowOff>
              </from>
              <to>
                <xdr:col>16</xdr:col>
                <xdr:colOff>0</xdr:colOff>
                <xdr:row>104</xdr:row>
                <xdr:rowOff>0</xdr:rowOff>
              </to>
            </anchor>
          </controlPr>
        </control>
      </mc:Choice>
    </mc:AlternateContent>
    <mc:AlternateContent xmlns:mc="http://schemas.openxmlformats.org/markup-compatibility/2006">
      <mc:Choice Requires="x14">
        <control shapeId="18605" r:id="rId157" name="AddedMember1_23">
          <controlPr defaultSize="0" print="0" autoFill="0" autoPict="0" macro="_xll.IBPXLClient.TechnicalCategory.ButtonActionInIBPClientFormattingSheet">
            <anchor moveWithCells="1">
              <from>
                <xdr:col>12</xdr:col>
                <xdr:colOff>0</xdr:colOff>
                <xdr:row>105</xdr:row>
                <xdr:rowOff>57150</xdr:rowOff>
              </from>
              <to>
                <xdr:col>12</xdr:col>
                <xdr:colOff>704850</xdr:colOff>
                <xdr:row>107</xdr:row>
                <xdr:rowOff>0</xdr:rowOff>
              </to>
            </anchor>
          </controlPr>
        </control>
      </mc:Choice>
    </mc:AlternateContent>
    <mc:AlternateContent xmlns:mc="http://schemas.openxmlformats.org/markup-compatibility/2006">
      <mc:Choice Requires="x14">
        <control shapeId="18606" r:id="rId158" name="ChangeMember1_23">
          <controlPr defaultSize="0" print="0" autoFill="0" autoPict="0" macro="_xll.IBPXLClient.TechnicalCategory.ButtonActionInIBPClientFormattingSheet">
            <anchor moveWithCells="1">
              <from>
                <xdr:col>12</xdr:col>
                <xdr:colOff>723900</xdr:colOff>
                <xdr:row>105</xdr:row>
                <xdr:rowOff>57150</xdr:rowOff>
              </from>
              <to>
                <xdr:col>13</xdr:col>
                <xdr:colOff>704850</xdr:colOff>
                <xdr:row>107</xdr:row>
                <xdr:rowOff>0</xdr:rowOff>
              </to>
            </anchor>
          </controlPr>
        </control>
      </mc:Choice>
    </mc:AlternateContent>
    <mc:AlternateContent xmlns:mc="http://schemas.openxmlformats.org/markup-compatibility/2006">
      <mc:Choice Requires="x14">
        <control shapeId="18607" r:id="rId159" name="UpMember1_23">
          <controlPr defaultSize="0" print="0" autoFill="0" autoPict="0" macro="_xll.IBPXLClient.TechnicalCategory.ButtonActionInIBPClientFormattingSheet">
            <anchor moveWithCells="1">
              <from>
                <xdr:col>14</xdr:col>
                <xdr:colOff>0</xdr:colOff>
                <xdr:row>105</xdr:row>
                <xdr:rowOff>57150</xdr:rowOff>
              </from>
              <to>
                <xdr:col>14</xdr:col>
                <xdr:colOff>704850</xdr:colOff>
                <xdr:row>107</xdr:row>
                <xdr:rowOff>0</xdr:rowOff>
              </to>
            </anchor>
          </controlPr>
        </control>
      </mc:Choice>
    </mc:AlternateContent>
    <mc:AlternateContent xmlns:mc="http://schemas.openxmlformats.org/markup-compatibility/2006">
      <mc:Choice Requires="x14">
        <control shapeId="18608" r:id="rId160" name="DownMember1_23">
          <controlPr defaultSize="0" print="0" autoFill="0" autoPict="0" macro="_xll.IBPXLClient.TechnicalCategory.ButtonActionInIBPClientFormattingSheet">
            <anchor moveWithCells="1">
              <from>
                <xdr:col>15</xdr:col>
                <xdr:colOff>0</xdr:colOff>
                <xdr:row>105</xdr:row>
                <xdr:rowOff>57150</xdr:rowOff>
              </from>
              <to>
                <xdr:col>16</xdr:col>
                <xdr:colOff>0</xdr:colOff>
                <xdr:row>107</xdr:row>
                <xdr:rowOff>0</xdr:rowOff>
              </to>
            </anchor>
          </controlPr>
        </control>
      </mc:Choice>
    </mc:AlternateContent>
    <mc:AlternateContent xmlns:mc="http://schemas.openxmlformats.org/markup-compatibility/2006">
      <mc:Choice Requires="x14">
        <control shapeId="18609" r:id="rId161" name="AddedMember1_24">
          <controlPr defaultSize="0" print="0" autoFill="0" autoPict="0" macro="_xll.IBPXLClient.TechnicalCategory.ButtonActionInIBPClientFormattingSheet">
            <anchor moveWithCells="1">
              <from>
                <xdr:col>12</xdr:col>
                <xdr:colOff>0</xdr:colOff>
                <xdr:row>108</xdr:row>
                <xdr:rowOff>57150</xdr:rowOff>
              </from>
              <to>
                <xdr:col>12</xdr:col>
                <xdr:colOff>704850</xdr:colOff>
                <xdr:row>110</xdr:row>
                <xdr:rowOff>0</xdr:rowOff>
              </to>
            </anchor>
          </controlPr>
        </control>
      </mc:Choice>
    </mc:AlternateContent>
    <mc:AlternateContent xmlns:mc="http://schemas.openxmlformats.org/markup-compatibility/2006">
      <mc:Choice Requires="x14">
        <control shapeId="18610" r:id="rId162" name="ChangeMember1_24">
          <controlPr defaultSize="0" print="0" autoFill="0" autoPict="0" macro="_xll.IBPXLClient.TechnicalCategory.ButtonActionInIBPClientFormattingSheet">
            <anchor moveWithCells="1">
              <from>
                <xdr:col>12</xdr:col>
                <xdr:colOff>723900</xdr:colOff>
                <xdr:row>108</xdr:row>
                <xdr:rowOff>57150</xdr:rowOff>
              </from>
              <to>
                <xdr:col>13</xdr:col>
                <xdr:colOff>704850</xdr:colOff>
                <xdr:row>110</xdr:row>
                <xdr:rowOff>0</xdr:rowOff>
              </to>
            </anchor>
          </controlPr>
        </control>
      </mc:Choice>
    </mc:AlternateContent>
    <mc:AlternateContent xmlns:mc="http://schemas.openxmlformats.org/markup-compatibility/2006">
      <mc:Choice Requires="x14">
        <control shapeId="18611" r:id="rId163" name="UpMember1_24">
          <controlPr defaultSize="0" print="0" autoFill="0" autoPict="0" macro="_xll.IBPXLClient.TechnicalCategory.ButtonActionInIBPClientFormattingSheet">
            <anchor moveWithCells="1">
              <from>
                <xdr:col>14</xdr:col>
                <xdr:colOff>0</xdr:colOff>
                <xdr:row>108</xdr:row>
                <xdr:rowOff>57150</xdr:rowOff>
              </from>
              <to>
                <xdr:col>14</xdr:col>
                <xdr:colOff>704850</xdr:colOff>
                <xdr:row>110</xdr:row>
                <xdr:rowOff>0</xdr:rowOff>
              </to>
            </anchor>
          </controlPr>
        </control>
      </mc:Choice>
    </mc:AlternateContent>
    <mc:AlternateContent xmlns:mc="http://schemas.openxmlformats.org/markup-compatibility/2006">
      <mc:Choice Requires="x14">
        <control shapeId="18612" r:id="rId164" name="DownMember1_24">
          <controlPr defaultSize="0" print="0" autoFill="0" autoPict="0" macro="_xll.IBPXLClient.TechnicalCategory.ButtonActionInIBPClientFormattingSheet">
            <anchor moveWithCells="1">
              <from>
                <xdr:col>15</xdr:col>
                <xdr:colOff>0</xdr:colOff>
                <xdr:row>108</xdr:row>
                <xdr:rowOff>57150</xdr:rowOff>
              </from>
              <to>
                <xdr:col>16</xdr:col>
                <xdr:colOff>0</xdr:colOff>
                <xdr:row>110</xdr:row>
                <xdr:rowOff>0</xdr:rowOff>
              </to>
            </anchor>
          </controlPr>
        </control>
      </mc:Choice>
    </mc:AlternateContent>
    <mc:AlternateContent xmlns:mc="http://schemas.openxmlformats.org/markup-compatibility/2006">
      <mc:Choice Requires="x14">
        <control shapeId="18613" r:id="rId165" name="AddedMember1_25">
          <controlPr defaultSize="0" print="0" autoFill="0" autoPict="0" macro="_xll.IBPXLClient.TechnicalCategory.ButtonActionInIBPClientFormattingSheet">
            <anchor moveWithCells="1">
              <from>
                <xdr:col>12</xdr:col>
                <xdr:colOff>0</xdr:colOff>
                <xdr:row>112</xdr:row>
                <xdr:rowOff>0</xdr:rowOff>
              </from>
              <to>
                <xdr:col>12</xdr:col>
                <xdr:colOff>704850</xdr:colOff>
                <xdr:row>113</xdr:row>
                <xdr:rowOff>9525</xdr:rowOff>
              </to>
            </anchor>
          </controlPr>
        </control>
      </mc:Choice>
    </mc:AlternateContent>
    <mc:AlternateContent xmlns:mc="http://schemas.openxmlformats.org/markup-compatibility/2006">
      <mc:Choice Requires="x14">
        <control shapeId="18614" r:id="rId166" name="ChangeMember1_25">
          <controlPr defaultSize="0" print="0" autoFill="0" autoPict="0" macro="_xll.IBPXLClient.TechnicalCategory.ButtonActionInIBPClientFormattingSheet">
            <anchor moveWithCells="1">
              <from>
                <xdr:col>12</xdr:col>
                <xdr:colOff>723900</xdr:colOff>
                <xdr:row>112</xdr:row>
                <xdr:rowOff>0</xdr:rowOff>
              </from>
              <to>
                <xdr:col>13</xdr:col>
                <xdr:colOff>704850</xdr:colOff>
                <xdr:row>113</xdr:row>
                <xdr:rowOff>9525</xdr:rowOff>
              </to>
            </anchor>
          </controlPr>
        </control>
      </mc:Choice>
    </mc:AlternateContent>
    <mc:AlternateContent xmlns:mc="http://schemas.openxmlformats.org/markup-compatibility/2006">
      <mc:Choice Requires="x14">
        <control shapeId="18615" r:id="rId167" name="UpMember1_25">
          <controlPr defaultSize="0" print="0" autoFill="0" autoPict="0" macro="_xll.IBPXLClient.TechnicalCategory.ButtonActionInIBPClientFormattingSheet">
            <anchor moveWithCells="1">
              <from>
                <xdr:col>14</xdr:col>
                <xdr:colOff>0</xdr:colOff>
                <xdr:row>112</xdr:row>
                <xdr:rowOff>0</xdr:rowOff>
              </from>
              <to>
                <xdr:col>14</xdr:col>
                <xdr:colOff>704850</xdr:colOff>
                <xdr:row>113</xdr:row>
                <xdr:rowOff>9525</xdr:rowOff>
              </to>
            </anchor>
          </controlPr>
        </control>
      </mc:Choice>
    </mc:AlternateContent>
    <mc:AlternateContent xmlns:mc="http://schemas.openxmlformats.org/markup-compatibility/2006">
      <mc:Choice Requires="x14">
        <control shapeId="18616" r:id="rId168" name="DownMember1_25">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9525</xdr:rowOff>
              </to>
            </anchor>
          </controlPr>
        </control>
      </mc:Choice>
    </mc:AlternateContent>
    <mc:AlternateContent xmlns:mc="http://schemas.openxmlformats.org/markup-compatibility/2006">
      <mc:Choice Requires="x14">
        <control shapeId="18650" r:id="rId169" name="AddedMember1_26">
          <controlPr defaultSize="0" print="0" autoFill="0" autoPict="0" macro="_xll.IBPXLClient.TechnicalCategory.ButtonActionInIBPClientFormattingSheet">
            <anchor moveWithCells="1">
              <from>
                <xdr:col>11</xdr:col>
                <xdr:colOff>2438400</xdr:colOff>
                <xdr:row>115</xdr:row>
                <xdr:rowOff>0</xdr:rowOff>
              </from>
              <to>
                <xdr:col>12</xdr:col>
                <xdr:colOff>676275</xdr:colOff>
                <xdr:row>116</xdr:row>
                <xdr:rowOff>0</xdr:rowOff>
              </to>
            </anchor>
          </controlPr>
        </control>
      </mc:Choice>
    </mc:AlternateContent>
    <mc:AlternateContent xmlns:mc="http://schemas.openxmlformats.org/markup-compatibility/2006">
      <mc:Choice Requires="x14">
        <control shapeId="18651" r:id="rId170" name="ChangeMember1_26">
          <controlPr defaultSize="0" print="0" autoFill="0" autoPict="0" macro="_xll.IBPXLClient.TechnicalCategory.ButtonActionInIBPClientFormattingSheet">
            <anchor moveWithCells="1">
              <from>
                <xdr:col>13</xdr:col>
                <xdr:colOff>0</xdr:colOff>
                <xdr:row>115</xdr:row>
                <xdr:rowOff>0</xdr:rowOff>
              </from>
              <to>
                <xdr:col>13</xdr:col>
                <xdr:colOff>685800</xdr:colOff>
                <xdr:row>116</xdr:row>
                <xdr:rowOff>0</xdr:rowOff>
              </to>
            </anchor>
          </controlPr>
        </control>
      </mc:Choice>
    </mc:AlternateContent>
    <mc:AlternateContent xmlns:mc="http://schemas.openxmlformats.org/markup-compatibility/2006">
      <mc:Choice Requires="x14">
        <control shapeId="18652" r:id="rId171" name="UpMember1_26">
          <controlPr defaultSize="0" print="0" autoFill="0" autoPict="0" macro="_xll.IBPXLClient.TechnicalCategory.ButtonActionInIBPClientFormattingSheet">
            <anchor moveWithCells="1">
              <from>
                <xdr:col>14</xdr:col>
                <xdr:colOff>0</xdr:colOff>
                <xdr:row>115</xdr:row>
                <xdr:rowOff>0</xdr:rowOff>
              </from>
              <to>
                <xdr:col>14</xdr:col>
                <xdr:colOff>685800</xdr:colOff>
                <xdr:row>116</xdr:row>
                <xdr:rowOff>0</xdr:rowOff>
              </to>
            </anchor>
          </controlPr>
        </control>
      </mc:Choice>
    </mc:AlternateContent>
    <mc:AlternateContent xmlns:mc="http://schemas.openxmlformats.org/markup-compatibility/2006">
      <mc:Choice Requires="x14">
        <control shapeId="18653" r:id="rId172" name="DownMember1_26">
          <controlPr defaultSize="0" print="0" autoFill="0" autoPict="0" macro="_xll.IBPXLClient.TechnicalCategory.ButtonActionInIBPClientFormattingSheet">
            <anchor moveWithCells="1">
              <from>
                <xdr:col>14</xdr:col>
                <xdr:colOff>704850</xdr:colOff>
                <xdr:row>115</xdr:row>
                <xdr:rowOff>0</xdr:rowOff>
              </from>
              <to>
                <xdr:col>15</xdr:col>
                <xdr:colOff>676275</xdr:colOff>
                <xdr:row>116</xdr:row>
                <xdr:rowOff>0</xdr:rowOff>
              </to>
            </anchor>
          </controlPr>
        </control>
      </mc:Choice>
    </mc:AlternateContent>
    <mc:AlternateContent xmlns:mc="http://schemas.openxmlformats.org/markup-compatibility/2006">
      <mc:Choice Requires="x14">
        <control shapeId="18661" r:id="rId173" name="AddedMember1_27">
          <controlPr defaultSize="0" print="0" autoFill="0" autoPict="0" macro="_xll.IBPXLClient.TechnicalCategory.ButtonActionInIBPClientFormattingSheet">
            <anchor moveWithCells="1">
              <from>
                <xdr:col>11</xdr:col>
                <xdr:colOff>2438400</xdr:colOff>
                <xdr:row>117</xdr:row>
                <xdr:rowOff>47625</xdr:rowOff>
              </from>
              <to>
                <xdr:col>12</xdr:col>
                <xdr:colOff>676275</xdr:colOff>
                <xdr:row>119</xdr:row>
                <xdr:rowOff>0</xdr:rowOff>
              </to>
            </anchor>
          </controlPr>
        </control>
      </mc:Choice>
    </mc:AlternateContent>
    <mc:AlternateContent xmlns:mc="http://schemas.openxmlformats.org/markup-compatibility/2006">
      <mc:Choice Requires="x14">
        <control shapeId="18662" r:id="rId174" name="ChangeMember1_27">
          <controlPr defaultSize="0" print="0" autoFill="0" autoPict="0" macro="_xll.IBPXLClient.TechnicalCategory.ButtonActionInIBPClientFormattingSheet">
            <anchor moveWithCells="1">
              <from>
                <xdr:col>13</xdr:col>
                <xdr:colOff>0</xdr:colOff>
                <xdr:row>117</xdr:row>
                <xdr:rowOff>47625</xdr:rowOff>
              </from>
              <to>
                <xdr:col>13</xdr:col>
                <xdr:colOff>685800</xdr:colOff>
                <xdr:row>119</xdr:row>
                <xdr:rowOff>0</xdr:rowOff>
              </to>
            </anchor>
          </controlPr>
        </control>
      </mc:Choice>
    </mc:AlternateContent>
    <mc:AlternateContent xmlns:mc="http://schemas.openxmlformats.org/markup-compatibility/2006">
      <mc:Choice Requires="x14">
        <control shapeId="18663" r:id="rId175" name="UpMember1_27">
          <controlPr defaultSize="0" print="0" autoFill="0" autoPict="0" macro="_xll.IBPXLClient.TechnicalCategory.ButtonActionInIBPClientFormattingSheet">
            <anchor moveWithCells="1">
              <from>
                <xdr:col>14</xdr:col>
                <xdr:colOff>0</xdr:colOff>
                <xdr:row>117</xdr:row>
                <xdr:rowOff>47625</xdr:rowOff>
              </from>
              <to>
                <xdr:col>14</xdr:col>
                <xdr:colOff>685800</xdr:colOff>
                <xdr:row>119</xdr:row>
                <xdr:rowOff>0</xdr:rowOff>
              </to>
            </anchor>
          </controlPr>
        </control>
      </mc:Choice>
    </mc:AlternateContent>
    <mc:AlternateContent xmlns:mc="http://schemas.openxmlformats.org/markup-compatibility/2006">
      <mc:Choice Requires="x14">
        <control shapeId="18664" r:id="rId176" name="DownMember1_27">
          <controlPr defaultSize="0" print="0" autoFill="0" autoPict="0" macro="_xll.IBPXLClient.TechnicalCategory.ButtonActionInIBPClientFormattingSheet">
            <anchor moveWithCells="1">
              <from>
                <xdr:col>14</xdr:col>
                <xdr:colOff>704850</xdr:colOff>
                <xdr:row>117</xdr:row>
                <xdr:rowOff>47625</xdr:rowOff>
              </from>
              <to>
                <xdr:col>15</xdr:col>
                <xdr:colOff>676275</xdr:colOff>
                <xdr:row>119</xdr:row>
                <xdr:rowOff>0</xdr:rowOff>
              </to>
            </anchor>
          </controlPr>
        </control>
      </mc:Choice>
    </mc:AlternateContent>
    <mc:AlternateContent xmlns:mc="http://schemas.openxmlformats.org/markup-compatibility/2006">
      <mc:Choice Requires="x14">
        <control shapeId="18677" r:id="rId177" name="AddedMember1_28">
          <controlPr defaultSize="0" print="0" autoFill="0" autoPict="0" macro="_xll.IBPXLClient.TechnicalCategory.ButtonActionInIBPClientFormattingSheet">
            <anchor moveWithCells="1">
              <from>
                <xdr:col>11</xdr:col>
                <xdr:colOff>2438400</xdr:colOff>
                <xdr:row>120</xdr:row>
                <xdr:rowOff>47625</xdr:rowOff>
              </from>
              <to>
                <xdr:col>12</xdr:col>
                <xdr:colOff>676275</xdr:colOff>
                <xdr:row>122</xdr:row>
                <xdr:rowOff>0</xdr:rowOff>
              </to>
            </anchor>
          </controlPr>
        </control>
      </mc:Choice>
    </mc:AlternateContent>
    <mc:AlternateContent xmlns:mc="http://schemas.openxmlformats.org/markup-compatibility/2006">
      <mc:Choice Requires="x14">
        <control shapeId="18678" r:id="rId178" name="ChangeMember1_28">
          <controlPr defaultSize="0" print="0" autoFill="0" autoPict="0" macro="_xll.IBPXLClient.TechnicalCategory.ButtonActionInIBPClientFormattingSheet">
            <anchor moveWithCells="1">
              <from>
                <xdr:col>13</xdr:col>
                <xdr:colOff>0</xdr:colOff>
                <xdr:row>120</xdr:row>
                <xdr:rowOff>47625</xdr:rowOff>
              </from>
              <to>
                <xdr:col>13</xdr:col>
                <xdr:colOff>685800</xdr:colOff>
                <xdr:row>122</xdr:row>
                <xdr:rowOff>0</xdr:rowOff>
              </to>
            </anchor>
          </controlPr>
        </control>
      </mc:Choice>
    </mc:AlternateContent>
    <mc:AlternateContent xmlns:mc="http://schemas.openxmlformats.org/markup-compatibility/2006">
      <mc:Choice Requires="x14">
        <control shapeId="18679" r:id="rId179" name="UpMember1_28">
          <controlPr defaultSize="0" print="0" autoFill="0" autoPict="0" macro="_xll.IBPXLClient.TechnicalCategory.ButtonActionInIBPClientFormattingSheet">
            <anchor moveWithCells="1">
              <from>
                <xdr:col>14</xdr:col>
                <xdr:colOff>0</xdr:colOff>
                <xdr:row>120</xdr:row>
                <xdr:rowOff>47625</xdr:rowOff>
              </from>
              <to>
                <xdr:col>14</xdr:col>
                <xdr:colOff>685800</xdr:colOff>
                <xdr:row>122</xdr:row>
                <xdr:rowOff>0</xdr:rowOff>
              </to>
            </anchor>
          </controlPr>
        </control>
      </mc:Choice>
    </mc:AlternateContent>
    <mc:AlternateContent xmlns:mc="http://schemas.openxmlformats.org/markup-compatibility/2006">
      <mc:Choice Requires="x14">
        <control shapeId="18680" r:id="rId180" name="DownMember1_28">
          <controlPr defaultSize="0" print="0" autoFill="0" autoPict="0" macro="_xll.IBPXLClient.TechnicalCategory.ButtonActionInIBPClientFormattingSheet">
            <anchor moveWithCells="1">
              <from>
                <xdr:col>14</xdr:col>
                <xdr:colOff>704850</xdr:colOff>
                <xdr:row>120</xdr:row>
                <xdr:rowOff>47625</xdr:rowOff>
              </from>
              <to>
                <xdr:col>15</xdr:col>
                <xdr:colOff>676275</xdr:colOff>
                <xdr:row>122</xdr:row>
                <xdr:rowOff>0</xdr:rowOff>
              </to>
            </anchor>
          </controlPr>
        </control>
      </mc:Choice>
    </mc:AlternateContent>
    <mc:AlternateContent xmlns:mc="http://schemas.openxmlformats.org/markup-compatibility/2006">
      <mc:Choice Requires="x14">
        <control shapeId="18682" r:id="rId181" name="AddedMember1_29">
          <controlPr defaultSize="0" print="0" autoFill="0" autoPict="0" macro="_xll.IBPXLClient.TechnicalCategory.ButtonActionInIBPClientFormattingSheet">
            <anchor moveWithCells="1">
              <from>
                <xdr:col>11</xdr:col>
                <xdr:colOff>2438400</xdr:colOff>
                <xdr:row>124</xdr:row>
                <xdr:rowOff>0</xdr:rowOff>
              </from>
              <to>
                <xdr:col>12</xdr:col>
                <xdr:colOff>676275</xdr:colOff>
                <xdr:row>125</xdr:row>
                <xdr:rowOff>0</xdr:rowOff>
              </to>
            </anchor>
          </controlPr>
        </control>
      </mc:Choice>
    </mc:AlternateContent>
    <mc:AlternateContent xmlns:mc="http://schemas.openxmlformats.org/markup-compatibility/2006">
      <mc:Choice Requires="x14">
        <control shapeId="18683" r:id="rId182" name="ChangeMember1_29">
          <controlPr defaultSize="0" print="0" autoFill="0" autoPict="0" macro="_xll.IBPXLClient.TechnicalCategory.ButtonActionInIBPClientFormattingSheet">
            <anchor moveWithCells="1">
              <from>
                <xdr:col>13</xdr:col>
                <xdr:colOff>0</xdr:colOff>
                <xdr:row>124</xdr:row>
                <xdr:rowOff>0</xdr:rowOff>
              </from>
              <to>
                <xdr:col>13</xdr:col>
                <xdr:colOff>685800</xdr:colOff>
                <xdr:row>125</xdr:row>
                <xdr:rowOff>0</xdr:rowOff>
              </to>
            </anchor>
          </controlPr>
        </control>
      </mc:Choice>
    </mc:AlternateContent>
    <mc:AlternateContent xmlns:mc="http://schemas.openxmlformats.org/markup-compatibility/2006">
      <mc:Choice Requires="x14">
        <control shapeId="18684" r:id="rId183" name="UpMember1_29">
          <controlPr defaultSize="0" print="0" autoFill="0" autoPict="0" macro="_xll.IBPXLClient.TechnicalCategory.ButtonActionInIBPClientFormattingSheet">
            <anchor moveWithCells="1">
              <from>
                <xdr:col>14</xdr:col>
                <xdr:colOff>0</xdr:colOff>
                <xdr:row>124</xdr:row>
                <xdr:rowOff>0</xdr:rowOff>
              </from>
              <to>
                <xdr:col>14</xdr:col>
                <xdr:colOff>685800</xdr:colOff>
                <xdr:row>125</xdr:row>
                <xdr:rowOff>0</xdr:rowOff>
              </to>
            </anchor>
          </controlPr>
        </control>
      </mc:Choice>
    </mc:AlternateContent>
    <mc:AlternateContent xmlns:mc="http://schemas.openxmlformats.org/markup-compatibility/2006">
      <mc:Choice Requires="x14">
        <control shapeId="18685" r:id="rId184" name="DownMember1_29">
          <controlPr defaultSize="0" print="0" autoFill="0" autoPict="0" macro="_xll.IBPXLClient.TechnicalCategory.ButtonActionInIBPClientFormattingSheet">
            <anchor moveWithCells="1">
              <from>
                <xdr:col>14</xdr:col>
                <xdr:colOff>704850</xdr:colOff>
                <xdr:row>124</xdr:row>
                <xdr:rowOff>0</xdr:rowOff>
              </from>
              <to>
                <xdr:col>15</xdr:col>
                <xdr:colOff>676275</xdr:colOff>
                <xdr:row>125</xdr:row>
                <xdr:rowOff>0</xdr:rowOff>
              </to>
            </anchor>
          </controlPr>
        </control>
      </mc:Choice>
    </mc:AlternateContent>
    <mc:AlternateContent xmlns:mc="http://schemas.openxmlformats.org/markup-compatibility/2006">
      <mc:Choice Requires="x14">
        <control shapeId="18687" r:id="rId185" name="AddedMember1_30">
          <controlPr defaultSize="0" print="0" autoFill="0" autoPict="0" macro="_xll.IBPXLClient.TechnicalCategory.ButtonActionInIBPClientFormattingSheet">
            <anchor moveWithCells="1">
              <from>
                <xdr:col>11</xdr:col>
                <xdr:colOff>2438400</xdr:colOff>
                <xdr:row>127</xdr:row>
                <xdr:rowOff>0</xdr:rowOff>
              </from>
              <to>
                <xdr:col>12</xdr:col>
                <xdr:colOff>676275</xdr:colOff>
                <xdr:row>128</xdr:row>
                <xdr:rowOff>0</xdr:rowOff>
              </to>
            </anchor>
          </controlPr>
        </control>
      </mc:Choice>
    </mc:AlternateContent>
    <mc:AlternateContent xmlns:mc="http://schemas.openxmlformats.org/markup-compatibility/2006">
      <mc:Choice Requires="x14">
        <control shapeId="18688" r:id="rId186" name="ChangeMember1_30">
          <controlPr defaultSize="0" print="0" autoFill="0" autoPict="0" macro="_xll.IBPXLClient.TechnicalCategory.ButtonActionInIBPClientFormattingSheet">
            <anchor moveWithCells="1">
              <from>
                <xdr:col>13</xdr:col>
                <xdr:colOff>0</xdr:colOff>
                <xdr:row>127</xdr:row>
                <xdr:rowOff>0</xdr:rowOff>
              </from>
              <to>
                <xdr:col>13</xdr:col>
                <xdr:colOff>685800</xdr:colOff>
                <xdr:row>128</xdr:row>
                <xdr:rowOff>0</xdr:rowOff>
              </to>
            </anchor>
          </controlPr>
        </control>
      </mc:Choice>
    </mc:AlternateContent>
    <mc:AlternateContent xmlns:mc="http://schemas.openxmlformats.org/markup-compatibility/2006">
      <mc:Choice Requires="x14">
        <control shapeId="18689" r:id="rId187" name="UpMember1_30">
          <controlPr defaultSize="0" print="0" autoFill="0" autoPict="0" macro="_xll.IBPXLClient.TechnicalCategory.ButtonActionInIBPClientFormattingSheet">
            <anchor moveWithCells="1">
              <from>
                <xdr:col>14</xdr:col>
                <xdr:colOff>0</xdr:colOff>
                <xdr:row>127</xdr:row>
                <xdr:rowOff>0</xdr:rowOff>
              </from>
              <to>
                <xdr:col>14</xdr:col>
                <xdr:colOff>685800</xdr:colOff>
                <xdr:row>128</xdr:row>
                <xdr:rowOff>0</xdr:rowOff>
              </to>
            </anchor>
          </controlPr>
        </control>
      </mc:Choice>
    </mc:AlternateContent>
    <mc:AlternateContent xmlns:mc="http://schemas.openxmlformats.org/markup-compatibility/2006">
      <mc:Choice Requires="x14">
        <control shapeId="18690" r:id="rId188" name="DownMember1_30">
          <controlPr defaultSize="0" print="0" autoFill="0" autoPict="0" macro="_xll.IBPXLClient.TechnicalCategory.ButtonActionInIBPClientFormattingSheet">
            <anchor moveWithCells="1">
              <from>
                <xdr:col>14</xdr:col>
                <xdr:colOff>704850</xdr:colOff>
                <xdr:row>127</xdr:row>
                <xdr:rowOff>0</xdr:rowOff>
              </from>
              <to>
                <xdr:col>15</xdr:col>
                <xdr:colOff>676275</xdr:colOff>
                <xdr:row>128</xdr:row>
                <xdr:rowOff>0</xdr:rowOff>
              </to>
            </anchor>
          </controlPr>
        </control>
      </mc:Choice>
    </mc:AlternateContent>
    <mc:AlternateContent xmlns:mc="http://schemas.openxmlformats.org/markup-compatibility/2006">
      <mc:Choice Requires="x14">
        <control shapeId="18697" r:id="rId189" name="AddedMember1_31">
          <controlPr defaultSize="0" print="0" autoFill="0" autoPict="0" macro="_xll.IBPXLClient.TechnicalCategory.ButtonActionInIBPClientFormattingSheet">
            <anchor moveWithCells="1">
              <from>
                <xdr:col>11</xdr:col>
                <xdr:colOff>2438400</xdr:colOff>
                <xdr:row>130</xdr:row>
                <xdr:rowOff>0</xdr:rowOff>
              </from>
              <to>
                <xdr:col>12</xdr:col>
                <xdr:colOff>676275</xdr:colOff>
                <xdr:row>131</xdr:row>
                <xdr:rowOff>9525</xdr:rowOff>
              </to>
            </anchor>
          </controlPr>
        </control>
      </mc:Choice>
    </mc:AlternateContent>
    <mc:AlternateContent xmlns:mc="http://schemas.openxmlformats.org/markup-compatibility/2006">
      <mc:Choice Requires="x14">
        <control shapeId="18698" r:id="rId190" name="ChangeMember1_31">
          <controlPr defaultSize="0" print="0" autoFill="0" autoPict="0" macro="_xll.IBPXLClient.TechnicalCategory.ButtonActionInIBPClientFormattingSheet">
            <anchor moveWithCells="1">
              <from>
                <xdr:col>13</xdr:col>
                <xdr:colOff>0</xdr:colOff>
                <xdr:row>130</xdr:row>
                <xdr:rowOff>0</xdr:rowOff>
              </from>
              <to>
                <xdr:col>13</xdr:col>
                <xdr:colOff>685800</xdr:colOff>
                <xdr:row>131</xdr:row>
                <xdr:rowOff>9525</xdr:rowOff>
              </to>
            </anchor>
          </controlPr>
        </control>
      </mc:Choice>
    </mc:AlternateContent>
    <mc:AlternateContent xmlns:mc="http://schemas.openxmlformats.org/markup-compatibility/2006">
      <mc:Choice Requires="x14">
        <control shapeId="18699" r:id="rId191" name="UpMember1_31">
          <controlPr defaultSize="0" print="0" autoFill="0" autoPict="0" macro="_xll.IBPXLClient.TechnicalCategory.ButtonActionInIBPClientFormattingSheet">
            <anchor moveWithCells="1">
              <from>
                <xdr:col>14</xdr:col>
                <xdr:colOff>0</xdr:colOff>
                <xdr:row>130</xdr:row>
                <xdr:rowOff>0</xdr:rowOff>
              </from>
              <to>
                <xdr:col>14</xdr:col>
                <xdr:colOff>685800</xdr:colOff>
                <xdr:row>131</xdr:row>
                <xdr:rowOff>9525</xdr:rowOff>
              </to>
            </anchor>
          </controlPr>
        </control>
      </mc:Choice>
    </mc:AlternateContent>
    <mc:AlternateContent xmlns:mc="http://schemas.openxmlformats.org/markup-compatibility/2006">
      <mc:Choice Requires="x14">
        <control shapeId="18700" r:id="rId192" name="DownMember1_31">
          <controlPr defaultSize="0" print="0" autoFill="0" autoPict="0" macro="_xll.IBPXLClient.TechnicalCategory.ButtonActionInIBPClientFormattingSheet">
            <anchor moveWithCells="1">
              <from>
                <xdr:col>14</xdr:col>
                <xdr:colOff>704850</xdr:colOff>
                <xdr:row>130</xdr:row>
                <xdr:rowOff>0</xdr:rowOff>
              </from>
              <to>
                <xdr:col>15</xdr:col>
                <xdr:colOff>676275</xdr:colOff>
                <xdr:row>131</xdr:row>
                <xdr:rowOff>9525</xdr:rowOff>
              </to>
            </anchor>
          </controlPr>
        </control>
      </mc:Choice>
    </mc:AlternateContent>
    <mc:AlternateContent xmlns:mc="http://schemas.openxmlformats.org/markup-compatibility/2006">
      <mc:Choice Requires="x14">
        <control shapeId="18707" r:id="rId193" name="AddedMember1_32">
          <controlPr defaultSize="0" print="0" autoFill="0" autoPict="0" macro="_xll.IBPXLClient.TechnicalCategory.ButtonActionInIBPClientFormattingSheet">
            <anchor moveWithCells="1">
              <from>
                <xdr:col>11</xdr:col>
                <xdr:colOff>2438400</xdr:colOff>
                <xdr:row>132</xdr:row>
                <xdr:rowOff>47625</xdr:rowOff>
              </from>
              <to>
                <xdr:col>12</xdr:col>
                <xdr:colOff>676275</xdr:colOff>
                <xdr:row>134</xdr:row>
                <xdr:rowOff>0</xdr:rowOff>
              </to>
            </anchor>
          </controlPr>
        </control>
      </mc:Choice>
    </mc:AlternateContent>
    <mc:AlternateContent xmlns:mc="http://schemas.openxmlformats.org/markup-compatibility/2006">
      <mc:Choice Requires="x14">
        <control shapeId="18708" r:id="rId194" name="ChangeMember1_32">
          <controlPr defaultSize="0" print="0" autoFill="0" autoPict="0" macro="_xll.IBPXLClient.TechnicalCategory.ButtonActionInIBPClientFormattingSheet">
            <anchor moveWithCells="1">
              <from>
                <xdr:col>13</xdr:col>
                <xdr:colOff>0</xdr:colOff>
                <xdr:row>132</xdr:row>
                <xdr:rowOff>47625</xdr:rowOff>
              </from>
              <to>
                <xdr:col>13</xdr:col>
                <xdr:colOff>685800</xdr:colOff>
                <xdr:row>134</xdr:row>
                <xdr:rowOff>0</xdr:rowOff>
              </to>
            </anchor>
          </controlPr>
        </control>
      </mc:Choice>
    </mc:AlternateContent>
    <mc:AlternateContent xmlns:mc="http://schemas.openxmlformats.org/markup-compatibility/2006">
      <mc:Choice Requires="x14">
        <control shapeId="18709" r:id="rId195" name="UpMember1_32">
          <controlPr defaultSize="0" print="0" autoFill="0" autoPict="0" macro="_xll.IBPXLClient.TechnicalCategory.ButtonActionInIBPClientFormattingSheet">
            <anchor moveWithCells="1">
              <from>
                <xdr:col>14</xdr:col>
                <xdr:colOff>0</xdr:colOff>
                <xdr:row>132</xdr:row>
                <xdr:rowOff>47625</xdr:rowOff>
              </from>
              <to>
                <xdr:col>14</xdr:col>
                <xdr:colOff>685800</xdr:colOff>
                <xdr:row>134</xdr:row>
                <xdr:rowOff>0</xdr:rowOff>
              </to>
            </anchor>
          </controlPr>
        </control>
      </mc:Choice>
    </mc:AlternateContent>
    <mc:AlternateContent xmlns:mc="http://schemas.openxmlformats.org/markup-compatibility/2006">
      <mc:Choice Requires="x14">
        <control shapeId="18710" r:id="rId196" name="DownMember1_32">
          <controlPr defaultSize="0" print="0" autoFill="0" autoPict="0" macro="_xll.IBPXLClient.TechnicalCategory.ButtonActionInIBPClientFormattingSheet">
            <anchor moveWithCells="1">
              <from>
                <xdr:col>14</xdr:col>
                <xdr:colOff>704850</xdr:colOff>
                <xdr:row>132</xdr:row>
                <xdr:rowOff>47625</xdr:rowOff>
              </from>
              <to>
                <xdr:col>15</xdr:col>
                <xdr:colOff>676275</xdr:colOff>
                <xdr:row>134</xdr:row>
                <xdr:rowOff>0</xdr:rowOff>
              </to>
            </anchor>
          </controlPr>
        </control>
      </mc:Choice>
    </mc:AlternateContent>
    <mc:AlternateContent xmlns:mc="http://schemas.openxmlformats.org/markup-compatibility/2006">
      <mc:Choice Requires="x14">
        <control shapeId="18712" r:id="rId197" name="AddedMember1_33">
          <controlPr defaultSize="0" print="0" autoFill="0" autoPict="0" macro="_xll.IBPXLClient.TechnicalCategory.ButtonActionInIBPClientFormattingSheet">
            <anchor moveWithCells="1">
              <from>
                <xdr:col>11</xdr:col>
                <xdr:colOff>2438400</xdr:colOff>
                <xdr:row>136</xdr:row>
                <xdr:rowOff>0</xdr:rowOff>
              </from>
              <to>
                <xdr:col>12</xdr:col>
                <xdr:colOff>676275</xdr:colOff>
                <xdr:row>137</xdr:row>
                <xdr:rowOff>0</xdr:rowOff>
              </to>
            </anchor>
          </controlPr>
        </control>
      </mc:Choice>
    </mc:AlternateContent>
    <mc:AlternateContent xmlns:mc="http://schemas.openxmlformats.org/markup-compatibility/2006">
      <mc:Choice Requires="x14">
        <control shapeId="18713" r:id="rId198" name="ChangeMember1_33">
          <controlPr defaultSize="0" print="0" autoFill="0" autoPict="0" macro="_xll.IBPXLClient.TechnicalCategory.ButtonActionInIBPClientFormattingSheet">
            <anchor moveWithCells="1">
              <from>
                <xdr:col>13</xdr:col>
                <xdr:colOff>0</xdr:colOff>
                <xdr:row>136</xdr:row>
                <xdr:rowOff>0</xdr:rowOff>
              </from>
              <to>
                <xdr:col>13</xdr:col>
                <xdr:colOff>685800</xdr:colOff>
                <xdr:row>137</xdr:row>
                <xdr:rowOff>0</xdr:rowOff>
              </to>
            </anchor>
          </controlPr>
        </control>
      </mc:Choice>
    </mc:AlternateContent>
    <mc:AlternateContent xmlns:mc="http://schemas.openxmlformats.org/markup-compatibility/2006">
      <mc:Choice Requires="x14">
        <control shapeId="18714" r:id="rId199" name="UpMember1_33">
          <controlPr defaultSize="0" print="0" autoFill="0" autoPict="0" macro="_xll.IBPXLClient.TechnicalCategory.ButtonActionInIBPClientFormattingSheet">
            <anchor moveWithCells="1">
              <from>
                <xdr:col>14</xdr:col>
                <xdr:colOff>0</xdr:colOff>
                <xdr:row>136</xdr:row>
                <xdr:rowOff>0</xdr:rowOff>
              </from>
              <to>
                <xdr:col>14</xdr:col>
                <xdr:colOff>685800</xdr:colOff>
                <xdr:row>137</xdr:row>
                <xdr:rowOff>0</xdr:rowOff>
              </to>
            </anchor>
          </controlPr>
        </control>
      </mc:Choice>
    </mc:AlternateContent>
    <mc:AlternateContent xmlns:mc="http://schemas.openxmlformats.org/markup-compatibility/2006">
      <mc:Choice Requires="x14">
        <control shapeId="18715" r:id="rId200" name="DownMember1_33">
          <controlPr defaultSize="0" print="0" autoFill="0" autoPict="0" macro="_xll.IBPXLClient.TechnicalCategory.ButtonActionInIBPClientFormattingSheet">
            <anchor moveWithCells="1">
              <from>
                <xdr:col>14</xdr:col>
                <xdr:colOff>704850</xdr:colOff>
                <xdr:row>136</xdr:row>
                <xdr:rowOff>0</xdr:rowOff>
              </from>
              <to>
                <xdr:col>15</xdr:col>
                <xdr:colOff>676275</xdr:colOff>
                <xdr:row>137</xdr:row>
                <xdr:rowOff>0</xdr:rowOff>
              </to>
            </anchor>
          </controlPr>
        </control>
      </mc:Choice>
    </mc:AlternateContent>
    <mc:AlternateContent xmlns:mc="http://schemas.openxmlformats.org/markup-compatibility/2006">
      <mc:Choice Requires="x14">
        <control shapeId="18717" r:id="rId201" name="AddedMember1_34">
          <controlPr defaultSize="0" print="0" autoFill="0" autoPict="0" macro="_xll.IBPXLClient.TechnicalCategory.ButtonActionInIBPClientFormattingSheet">
            <anchor moveWithCells="1">
              <from>
                <xdr:col>11</xdr:col>
                <xdr:colOff>2438400</xdr:colOff>
                <xdr:row>139</xdr:row>
                <xdr:rowOff>0</xdr:rowOff>
              </from>
              <to>
                <xdr:col>12</xdr:col>
                <xdr:colOff>676275</xdr:colOff>
                <xdr:row>140</xdr:row>
                <xdr:rowOff>0</xdr:rowOff>
              </to>
            </anchor>
          </controlPr>
        </control>
      </mc:Choice>
    </mc:AlternateContent>
    <mc:AlternateContent xmlns:mc="http://schemas.openxmlformats.org/markup-compatibility/2006">
      <mc:Choice Requires="x14">
        <control shapeId="18718" r:id="rId202" name="ChangeMember1_34">
          <controlPr defaultSize="0" print="0" autoFill="0" autoPict="0" macro="_xll.IBPXLClient.TechnicalCategory.ButtonActionInIBPClientFormattingSheet">
            <anchor moveWithCells="1">
              <from>
                <xdr:col>13</xdr:col>
                <xdr:colOff>0</xdr:colOff>
                <xdr:row>139</xdr:row>
                <xdr:rowOff>0</xdr:rowOff>
              </from>
              <to>
                <xdr:col>13</xdr:col>
                <xdr:colOff>685800</xdr:colOff>
                <xdr:row>140</xdr:row>
                <xdr:rowOff>0</xdr:rowOff>
              </to>
            </anchor>
          </controlPr>
        </control>
      </mc:Choice>
    </mc:AlternateContent>
    <mc:AlternateContent xmlns:mc="http://schemas.openxmlformats.org/markup-compatibility/2006">
      <mc:Choice Requires="x14">
        <control shapeId="18719" r:id="rId203" name="UpMember1_34">
          <controlPr defaultSize="0" print="0" autoFill="0" autoPict="0" macro="_xll.IBPXLClient.TechnicalCategory.ButtonActionInIBPClientFormattingSheet">
            <anchor moveWithCells="1">
              <from>
                <xdr:col>14</xdr:col>
                <xdr:colOff>0</xdr:colOff>
                <xdr:row>139</xdr:row>
                <xdr:rowOff>0</xdr:rowOff>
              </from>
              <to>
                <xdr:col>14</xdr:col>
                <xdr:colOff>685800</xdr:colOff>
                <xdr:row>140</xdr:row>
                <xdr:rowOff>0</xdr:rowOff>
              </to>
            </anchor>
          </controlPr>
        </control>
      </mc:Choice>
    </mc:AlternateContent>
    <mc:AlternateContent xmlns:mc="http://schemas.openxmlformats.org/markup-compatibility/2006">
      <mc:Choice Requires="x14">
        <control shapeId="18720" r:id="rId204" name="DownMember1_34">
          <controlPr defaultSize="0" print="0" autoFill="0" autoPict="0" macro="_xll.IBPXLClient.TechnicalCategory.ButtonActionInIBPClientFormattingSheet">
            <anchor moveWithCells="1">
              <from>
                <xdr:col>14</xdr:col>
                <xdr:colOff>704850</xdr:colOff>
                <xdr:row>139</xdr:row>
                <xdr:rowOff>0</xdr:rowOff>
              </from>
              <to>
                <xdr:col>15</xdr:col>
                <xdr:colOff>676275</xdr:colOff>
                <xdr:row>140</xdr:row>
                <xdr:rowOff>0</xdr:rowOff>
              </to>
            </anchor>
          </controlPr>
        </control>
      </mc:Choice>
    </mc:AlternateContent>
    <mc:AlternateContent xmlns:mc="http://schemas.openxmlformats.org/markup-compatibility/2006">
      <mc:Choice Requires="x14">
        <control shapeId="18722" r:id="rId205" name="AddedMember1_35">
          <controlPr defaultSize="0" print="0" autoFill="0" autoPict="0" macro="_xll.IBPXLClient.TechnicalCategory.ButtonActionInIBPClientFormattingSheet">
            <anchor moveWithCells="1">
              <from>
                <xdr:col>11</xdr:col>
                <xdr:colOff>2438400</xdr:colOff>
                <xdr:row>141</xdr:row>
                <xdr:rowOff>47625</xdr:rowOff>
              </from>
              <to>
                <xdr:col>12</xdr:col>
                <xdr:colOff>676275</xdr:colOff>
                <xdr:row>142</xdr:row>
                <xdr:rowOff>190500</xdr:rowOff>
              </to>
            </anchor>
          </controlPr>
        </control>
      </mc:Choice>
    </mc:AlternateContent>
    <mc:AlternateContent xmlns:mc="http://schemas.openxmlformats.org/markup-compatibility/2006">
      <mc:Choice Requires="x14">
        <control shapeId="18723" r:id="rId206" name="ChangeMember1_35">
          <controlPr defaultSize="0" print="0" autoFill="0" autoPict="0" macro="_xll.IBPXLClient.TechnicalCategory.ButtonActionInIBPClientFormattingSheet">
            <anchor moveWithCells="1">
              <from>
                <xdr:col>13</xdr:col>
                <xdr:colOff>0</xdr:colOff>
                <xdr:row>141</xdr:row>
                <xdr:rowOff>47625</xdr:rowOff>
              </from>
              <to>
                <xdr:col>13</xdr:col>
                <xdr:colOff>685800</xdr:colOff>
                <xdr:row>142</xdr:row>
                <xdr:rowOff>190500</xdr:rowOff>
              </to>
            </anchor>
          </controlPr>
        </control>
      </mc:Choice>
    </mc:AlternateContent>
    <mc:AlternateContent xmlns:mc="http://schemas.openxmlformats.org/markup-compatibility/2006">
      <mc:Choice Requires="x14">
        <control shapeId="18724" r:id="rId207" name="UpMember1_35">
          <controlPr defaultSize="0" print="0" autoFill="0" autoPict="0" macro="_xll.IBPXLClient.TechnicalCategory.ButtonActionInIBPClientFormattingSheet">
            <anchor moveWithCells="1">
              <from>
                <xdr:col>14</xdr:col>
                <xdr:colOff>0</xdr:colOff>
                <xdr:row>141</xdr:row>
                <xdr:rowOff>47625</xdr:rowOff>
              </from>
              <to>
                <xdr:col>14</xdr:col>
                <xdr:colOff>685800</xdr:colOff>
                <xdr:row>142</xdr:row>
                <xdr:rowOff>190500</xdr:rowOff>
              </to>
            </anchor>
          </controlPr>
        </control>
      </mc:Choice>
    </mc:AlternateContent>
    <mc:AlternateContent xmlns:mc="http://schemas.openxmlformats.org/markup-compatibility/2006">
      <mc:Choice Requires="x14">
        <control shapeId="18725" r:id="rId208" name="DownMember1_35">
          <controlPr defaultSize="0" print="0" autoFill="0" autoPict="0" macro="_xll.IBPXLClient.TechnicalCategory.ButtonActionInIBPClientFormattingSheet">
            <anchor moveWithCells="1">
              <from>
                <xdr:col>14</xdr:col>
                <xdr:colOff>704850</xdr:colOff>
                <xdr:row>141</xdr:row>
                <xdr:rowOff>47625</xdr:rowOff>
              </from>
              <to>
                <xdr:col>15</xdr:col>
                <xdr:colOff>676275</xdr:colOff>
                <xdr:row>142</xdr:row>
                <xdr:rowOff>190500</xdr:rowOff>
              </to>
            </anchor>
          </controlPr>
        </control>
      </mc:Choice>
    </mc:AlternateContent>
    <mc:AlternateContent xmlns:mc="http://schemas.openxmlformats.org/markup-compatibility/2006">
      <mc:Choice Requires="x14">
        <control shapeId="18727" r:id="rId209" name="AddedMember1_36">
          <controlPr defaultSize="0" print="0" autoFill="0" autoPict="0" macro="_xll.IBPXLClient.TechnicalCategory.ButtonActionInIBPClientFormattingSheet">
            <anchor moveWithCells="1">
              <from>
                <xdr:col>11</xdr:col>
                <xdr:colOff>2438400</xdr:colOff>
                <xdr:row>144</xdr:row>
                <xdr:rowOff>47625</xdr:rowOff>
              </from>
              <to>
                <xdr:col>12</xdr:col>
                <xdr:colOff>676275</xdr:colOff>
                <xdr:row>146</xdr:row>
                <xdr:rowOff>0</xdr:rowOff>
              </to>
            </anchor>
          </controlPr>
        </control>
      </mc:Choice>
    </mc:AlternateContent>
    <mc:AlternateContent xmlns:mc="http://schemas.openxmlformats.org/markup-compatibility/2006">
      <mc:Choice Requires="x14">
        <control shapeId="18728" r:id="rId210" name="ChangeMember1_36">
          <controlPr defaultSize="0" print="0" autoFill="0" autoPict="0" macro="_xll.IBPXLClient.TechnicalCategory.ButtonActionInIBPClientFormattingSheet">
            <anchor moveWithCells="1">
              <from>
                <xdr:col>13</xdr:col>
                <xdr:colOff>0</xdr:colOff>
                <xdr:row>144</xdr:row>
                <xdr:rowOff>47625</xdr:rowOff>
              </from>
              <to>
                <xdr:col>13</xdr:col>
                <xdr:colOff>685800</xdr:colOff>
                <xdr:row>146</xdr:row>
                <xdr:rowOff>0</xdr:rowOff>
              </to>
            </anchor>
          </controlPr>
        </control>
      </mc:Choice>
    </mc:AlternateContent>
    <mc:AlternateContent xmlns:mc="http://schemas.openxmlformats.org/markup-compatibility/2006">
      <mc:Choice Requires="x14">
        <control shapeId="18729" r:id="rId211" name="UpMember1_36">
          <controlPr defaultSize="0" print="0" autoFill="0" autoPict="0" macro="_xll.IBPXLClient.TechnicalCategory.ButtonActionInIBPClientFormattingSheet">
            <anchor moveWithCells="1">
              <from>
                <xdr:col>14</xdr:col>
                <xdr:colOff>0</xdr:colOff>
                <xdr:row>144</xdr:row>
                <xdr:rowOff>47625</xdr:rowOff>
              </from>
              <to>
                <xdr:col>14</xdr:col>
                <xdr:colOff>685800</xdr:colOff>
                <xdr:row>146</xdr:row>
                <xdr:rowOff>0</xdr:rowOff>
              </to>
            </anchor>
          </controlPr>
        </control>
      </mc:Choice>
    </mc:AlternateContent>
    <mc:AlternateContent xmlns:mc="http://schemas.openxmlformats.org/markup-compatibility/2006">
      <mc:Choice Requires="x14">
        <control shapeId="18730" r:id="rId212" name="DownMember1_36">
          <controlPr defaultSize="0" print="0" autoFill="0" autoPict="0" macro="_xll.IBPXLClient.TechnicalCategory.ButtonActionInIBPClientFormattingSheet">
            <anchor moveWithCells="1">
              <from>
                <xdr:col>14</xdr:col>
                <xdr:colOff>704850</xdr:colOff>
                <xdr:row>144</xdr:row>
                <xdr:rowOff>47625</xdr:rowOff>
              </from>
              <to>
                <xdr:col>15</xdr:col>
                <xdr:colOff>676275</xdr:colOff>
                <xdr:row>146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S45"/>
  <sheetViews>
    <sheetView showGridLines="0" tabSelected="1" zoomScale="90" zoomScaleNormal="90" workbookViewId="0">
      <pane xSplit="10" ySplit="5" topLeftCell="K6" activePane="bottomRight" state="frozen"/>
      <selection pane="topRight" activeCell="G1" sqref="G1"/>
      <selection pane="bottomLeft" activeCell="A6" sqref="A6"/>
      <selection pane="bottomRight" activeCell="H13" sqref="H13"/>
    </sheetView>
  </sheetViews>
  <sheetFormatPr defaultRowHeight="15" x14ac:dyDescent="0.25"/>
  <cols>
    <col min="1" max="5" width="1.5703125" bestFit="1" customWidth="1"/>
    <col min="6" max="6" width="31.28515625" bestFit="1" customWidth="1"/>
    <col min="7" max="7" width="10.140625" bestFit="1" customWidth="1"/>
    <col min="8" max="8" width="27" bestFit="1" customWidth="1"/>
    <col min="9" max="9" width="21.85546875" bestFit="1" customWidth="1"/>
    <col min="10" max="10" width="37.85546875" bestFit="1" customWidth="1"/>
    <col min="11" max="1191" width="11" bestFit="1" customWidth="1"/>
  </cols>
  <sheetData>
    <row r="1" spans="1:461" s="59" customFormat="1" ht="28.5" customHeight="1" x14ac:dyDescent="0.25">
      <c r="B1" s="58"/>
      <c r="C1" s="58"/>
      <c r="E1" s="58"/>
      <c r="F1" s="58"/>
      <c r="G1" s="58"/>
      <c r="H1" s="58"/>
      <c r="I1" s="58"/>
      <c r="J1" s="66" t="s">
        <v>321</v>
      </c>
      <c r="K1" s="106" t="str">
        <f>" "&amp;IFERROR(IF(SOP_Favorite_Name&lt;&gt;" ",SOP_Favorite_Name,IF(SOP_Template_Name&lt;&gt;" ",SOP_Template_Name,"Ad Hoc Planning View")),"Offline")</f>
        <v xml:space="preserve"> DP130 Demand Planning_G144_RET</v>
      </c>
      <c r="L1" s="106"/>
      <c r="M1" s="106"/>
      <c r="N1" s="106"/>
      <c r="O1" s="106"/>
      <c r="P1" s="106"/>
      <c r="Q1" s="107" t="e">
        <f ca="1">"User: "&amp;_xll.IBPUser()&amp;"   |    Planning Area: "&amp;IFERROR(SOP_Planning_Area,"Offline")&amp;"
"&amp;"Template: "&amp;IFERROR(SOP_Template_Name,"none")</f>
        <v>#NAME?</v>
      </c>
      <c r="R1" s="107"/>
      <c r="S1" s="107"/>
      <c r="T1" s="107"/>
      <c r="U1" s="107"/>
      <c r="V1" s="107"/>
      <c r="W1" s="60"/>
      <c r="X1" s="61"/>
      <c r="Y1" s="61"/>
      <c r="Z1" s="61"/>
      <c r="AA1" s="61"/>
      <c r="AB1" s="61"/>
      <c r="AC1" s="61"/>
      <c r="AD1" s="61"/>
      <c r="BR1" s="62"/>
      <c r="BS1" s="62"/>
      <c r="BT1" s="62"/>
      <c r="BU1" s="62"/>
      <c r="BV1" s="62"/>
      <c r="BW1" s="62"/>
      <c r="BX1" s="62"/>
      <c r="BY1" s="62"/>
      <c r="BZ1" s="62"/>
      <c r="CA1" s="62"/>
      <c r="CB1" s="62"/>
      <c r="CC1" s="62"/>
      <c r="CD1" s="62"/>
    </row>
    <row r="2" spans="1:461" s="59" customFormat="1" ht="36.6" customHeight="1" x14ac:dyDescent="0.25">
      <c r="B2" s="63"/>
      <c r="C2" s="63"/>
      <c r="E2" s="63"/>
      <c r="F2" s="63"/>
      <c r="G2" s="63"/>
      <c r="I2" s="63"/>
      <c r="J2" s="63"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(Ad Hoc Filter) (4 criteria): 
Market Segment = G610_01_01
Category = Gluten Free
Product ID = 168847; 168846; 168848; 179649; 179650
Location ID = 6103; 6104; 6105; 6110; 6120; 6123; 6125; 6130
</v>
      </c>
      <c r="K2" s="64"/>
      <c r="L2" s="64"/>
      <c r="M2" s="64"/>
      <c r="N2" s="64"/>
      <c r="O2" s="64"/>
      <c r="P2" s="64"/>
      <c r="Q2" s="65"/>
      <c r="R2" s="65"/>
      <c r="S2" s="65"/>
      <c r="T2" s="65"/>
      <c r="U2" s="65"/>
      <c r="V2" s="65"/>
      <c r="W2" s="60"/>
      <c r="X2" s="61"/>
      <c r="Y2" s="61"/>
      <c r="Z2" s="61"/>
      <c r="AA2" s="61"/>
      <c r="AB2" s="61"/>
      <c r="AC2" s="61"/>
      <c r="AD2" s="61"/>
      <c r="BR2" s="62"/>
      <c r="BS2" s="62"/>
      <c r="BT2" s="62"/>
      <c r="BU2" s="62"/>
      <c r="BV2" s="62"/>
      <c r="BW2" s="62"/>
      <c r="BX2" s="62"/>
      <c r="BY2" s="62"/>
      <c r="BZ2" s="62"/>
      <c r="CA2" s="62"/>
      <c r="CB2" s="62"/>
      <c r="CC2" s="62"/>
      <c r="CD2" s="62"/>
    </row>
    <row r="3" spans="1:461" s="59" customFormat="1" ht="24" x14ac:dyDescent="0.25">
      <c r="B3" s="63"/>
      <c r="C3" s="63"/>
      <c r="E3" s="63"/>
      <c r="F3" s="63"/>
      <c r="G3" s="63"/>
      <c r="H3" s="58" t="str">
        <f>"UoM : "&amp;SOP_TargetUoM&amp;" | Currency : "&amp;SOP_TargetCurrency&amp;""</f>
        <v>UoM : PUM | Currency : AUD</v>
      </c>
      <c r="I3" s="63"/>
      <c r="J3" s="63" t="str">
        <f>"Value-Based Filter: "&amp;SOP_Value_Based_Filter_Name&amp;": "&amp;" 
"&amp;IFERROR(INDEX(SOP_Value_Based_Filter,1),"")</f>
        <v xml:space="preserve">Value-Based Filter: (None):  
 </v>
      </c>
      <c r="K3" s="108" t="str">
        <f>"  Last Refresh: "&amp;IFERROR(YEAR(SOP_Refresh_Timestamp)&amp;"-"&amp;TEXT(SOP_Refresh_Timestamp,"MMM")&amp;"-"&amp;DAY(SOP_Refresh_Timestamp)&amp;"   "&amp;TEXT(SOP_Refresh_Timestamp,"HH:MM:SS"),"Offline")</f>
        <v xml:space="preserve">  Last Refresh: 2025-Oct-7   14:44:47</v>
      </c>
      <c r="L3" s="108"/>
      <c r="M3" s="108"/>
      <c r="N3" s="108"/>
      <c r="O3" s="108"/>
      <c r="P3" s="108"/>
      <c r="Q3" s="108"/>
      <c r="R3" s="108"/>
      <c r="S3" s="108"/>
      <c r="T3" s="108"/>
      <c r="U3" s="108"/>
      <c r="V3" s="108"/>
      <c r="W3" s="60"/>
      <c r="X3" s="61"/>
      <c r="Y3" s="61"/>
      <c r="Z3" s="61"/>
      <c r="AA3" s="61"/>
      <c r="AB3" s="61"/>
      <c r="AC3" s="61"/>
      <c r="AD3" s="61"/>
      <c r="BR3" s="62"/>
      <c r="BS3" s="62"/>
      <c r="BT3" s="62"/>
      <c r="BU3" s="62"/>
      <c r="BV3" s="62"/>
      <c r="BW3" s="62"/>
      <c r="BX3" s="62"/>
      <c r="BY3" s="62"/>
      <c r="BZ3" s="62"/>
      <c r="CA3" s="62"/>
      <c r="CB3" s="62"/>
      <c r="CC3" s="62"/>
      <c r="CD3" s="62"/>
    </row>
    <row r="4" spans="1:461" s="23" customFormat="1" ht="115.5" customHeight="1" x14ac:dyDescent="0.25">
      <c r="A4" s="105"/>
      <c r="B4" s="105"/>
      <c r="C4" s="105"/>
      <c r="D4" s="105"/>
      <c r="E4" s="105"/>
      <c r="F4" s="105"/>
      <c r="G4" s="105"/>
      <c r="H4" s="105"/>
      <c r="I4" s="105"/>
      <c r="J4" s="105"/>
    </row>
    <row r="5" spans="1:461" s="25" customFormat="1" x14ac:dyDescent="0.25">
      <c r="A5" s="24" t="str">
        <f>SOP_Heading10</f>
        <v xml:space="preserve"> </v>
      </c>
      <c r="B5" s="24" t="str">
        <f>SOP_Heading9</f>
        <v xml:space="preserve"> </v>
      </c>
      <c r="C5" s="24" t="str">
        <f>SOP_Heading8</f>
        <v xml:space="preserve"> </v>
      </c>
      <c r="D5" s="24" t="str">
        <f>SOP_Heading7</f>
        <v xml:space="preserve"> </v>
      </c>
      <c r="E5" s="24" t="str">
        <f>SOP_Heading6</f>
        <v xml:space="preserve"> </v>
      </c>
      <c r="F5" s="24" t="str">
        <f>SOP_Heading5</f>
        <v>Product Desc</v>
      </c>
      <c r="G5" s="24" t="str">
        <f>SOP_Heading4</f>
        <v>Product ID</v>
      </c>
      <c r="H5" s="24" t="str">
        <f>SOP_Heading3</f>
        <v>Location ID</v>
      </c>
      <c r="I5" s="24" t="str">
        <f>SOP_Heading2</f>
        <v>Location</v>
      </c>
      <c r="J5" s="24" t="str">
        <f>SOP_Heading1</f>
        <v>Key Figure</v>
      </c>
      <c r="K5" s="30" t="str">
        <f xml:space="preserve"> _xll.EPMOlapMemberO("[PERIODID0].[].[14297]","","07.10.2025","","000")</f>
        <v>07.10.2025</v>
      </c>
      <c r="L5" s="30" t="str">
        <f xml:space="preserve"> _xll.EPMOlapMemberO("[PERIODID0].[].[14298]","","08.10.2025","","000")</f>
        <v>08.10.2025</v>
      </c>
      <c r="M5" s="30" t="str">
        <f xml:space="preserve"> _xll.EPMOlapMemberO("[PERIODID0].[].[14299]","","09.10.2025","","000")</f>
        <v>09.10.2025</v>
      </c>
      <c r="N5" s="30" t="str">
        <f xml:space="preserve"> _xll.EPMOlapMemberO("[PERIODID0].[].[14300]","","10.10.2025","","000")</f>
        <v>10.10.2025</v>
      </c>
      <c r="O5" s="30" t="str">
        <f xml:space="preserve"> _xll.EPMOlapMemberO("[PERIODID0].[].[14301]","","11.10.2025","","000")</f>
        <v>11.10.2025</v>
      </c>
      <c r="P5" s="30" t="str">
        <f xml:space="preserve"> _xll.EPMOlapMemberO("[PERIODID0].[].[14302]","","12.10.2025","","000")</f>
        <v>12.10.2025</v>
      </c>
      <c r="Q5" s="30" t="str">
        <f xml:space="preserve"> _xll.EPMOlapMemberO("[PERIODID0].[].[14303]","","13.10.2025","","000")</f>
        <v>13.10.2025</v>
      </c>
      <c r="R5" s="30" t="str">
        <f xml:space="preserve"> _xll.EPMOlapMemberO("[PERIODID0].[].[14304]","","14.10.2025","","000")</f>
        <v>14.10.2025</v>
      </c>
      <c r="S5" s="30" t="str">
        <f xml:space="preserve"> _xll.EPMOlapMemberO("[PERIODID0].[].[14305]","","15.10.2025","","000")</f>
        <v>15.10.2025</v>
      </c>
      <c r="T5" s="30" t="str">
        <f xml:space="preserve"> _xll.EPMOlapMemberO("[PERIODID0].[].[14306]","","16.10.2025","","000")</f>
        <v>16.10.2025</v>
      </c>
      <c r="U5" s="30" t="str">
        <f xml:space="preserve"> _xll.EPMOlapMemberO("[PERIODID0].[].[14307]","","17.10.2025","","000")</f>
        <v>17.10.2025</v>
      </c>
      <c r="V5" s="30" t="str">
        <f xml:space="preserve"> _xll.EPMOlapMemberO("[PERIODID0].[].[14308]","","18.10.2025","","000")</f>
        <v>18.10.2025</v>
      </c>
      <c r="W5" s="30" t="str">
        <f xml:space="preserve"> _xll.EPMOlapMemberO("[PERIODID0].[].[14309]","","19.10.2025","","000")</f>
        <v>19.10.2025</v>
      </c>
      <c r="X5" s="30" t="str">
        <f xml:space="preserve"> _xll.EPMOlapMemberO("[PERIODID0].[].[14310]","","20.10.2025","","000")</f>
        <v>20.10.2025</v>
      </c>
      <c r="Y5" s="30" t="str">
        <f xml:space="preserve"> _xll.EPMOlapMemberO("[PERIODID0].[].[14311]","","21.10.2025","","000")</f>
        <v>21.10.2025</v>
      </c>
      <c r="Z5" s="30" t="str">
        <f xml:space="preserve"> _xll.EPMOlapMemberO("[PERIODID0].[].[14312]","","22.10.2025","","000")</f>
        <v>22.10.2025</v>
      </c>
      <c r="AA5" s="30" t="str">
        <f xml:space="preserve"> _xll.EPMOlapMemberO("[PERIODID0].[].[14313]","","23.10.2025","","000")</f>
        <v>23.10.2025</v>
      </c>
      <c r="AB5" s="30" t="str">
        <f xml:space="preserve"> _xll.EPMOlapMemberO("[PERIODID0].[].[14314]","","24.10.2025","","000")</f>
        <v>24.10.2025</v>
      </c>
      <c r="AC5" s="30" t="str">
        <f xml:space="preserve"> _xll.EPMOlapMemberO("[PERIODID0].[].[14315]","","25.10.2025","","000")</f>
        <v>25.10.2025</v>
      </c>
      <c r="AD5" s="30" t="str">
        <f xml:space="preserve"> _xll.EPMOlapMemberO("[PERIODID0].[].[14316]","","26.10.2025","","000")</f>
        <v>26.10.2025</v>
      </c>
      <c r="AE5" s="30" t="str">
        <f xml:space="preserve"> _xll.EPMOlapMemberO("[PERIODID0].[].[14317]","","27.10.2025","","000")</f>
        <v>27.10.2025</v>
      </c>
      <c r="AF5" s="30" t="str">
        <f xml:space="preserve"> _xll.EPMOlapMemberO("[PERIODID0].[].[14318]","","28.10.2025","","000")</f>
        <v>28.10.2025</v>
      </c>
      <c r="AG5" s="30" t="str">
        <f xml:space="preserve"> _xll.EPMOlapMemberO("[PERIODID0].[].[14319]","","29.10.2025","","000")</f>
        <v>29.10.2025</v>
      </c>
      <c r="AH5" s="30" t="str">
        <f xml:space="preserve"> _xll.EPMOlapMemberO("[PERIODID0].[].[14320]","","30.10.2025","","000")</f>
        <v>30.10.2025</v>
      </c>
      <c r="AI5" s="30" t="str">
        <f xml:space="preserve"> _xll.EPMOlapMemberO("[PERIODID0].[].[14321]","","31.10.2025","","000")</f>
        <v>31.10.2025</v>
      </c>
      <c r="AJ5" s="30" t="str">
        <f xml:space="preserve"> _xll.EPMOlapMemberO("[PERIODID0].[].[14322]","","01.11.2025","","000")</f>
        <v>01.11.2025</v>
      </c>
      <c r="AK5" s="30" t="str">
        <f xml:space="preserve"> _xll.EPMOlapMemberO("[PERIODID0].[].[14323]","","02.11.2025","","000")</f>
        <v>02.11.2025</v>
      </c>
      <c r="AL5" s="30" t="str">
        <f xml:space="preserve"> _xll.EPMOlapMemberO("[PERIODID0].[].[14324]","","03.11.2025","","000")</f>
        <v>03.11.2025</v>
      </c>
      <c r="AM5" s="30" t="str">
        <f xml:space="preserve"> _xll.EPMOlapMemberO("[PERIODID0].[].[14325]","","04.11.2025","","000")</f>
        <v>04.11.2025</v>
      </c>
      <c r="AN5" s="30" t="str">
        <f xml:space="preserve"> _xll.EPMOlapMemberO("[PERIODID0].[].[14326]","","05.11.2025","","000")</f>
        <v>05.11.2025</v>
      </c>
      <c r="AO5" s="30" t="str">
        <f xml:space="preserve"> _xll.EPMOlapMemberO("[PERIODID0].[].[14327]","","06.11.2025","","000")</f>
        <v>06.11.2025</v>
      </c>
      <c r="AP5" s="30" t="str">
        <f xml:space="preserve"> _xll.EPMOlapMemberO("[PERIODID0].[].[14328]","","07.11.2025","","000")</f>
        <v>07.11.2025</v>
      </c>
      <c r="AQ5" s="30" t="str">
        <f xml:space="preserve"> _xll.EPMOlapMemberO("[PERIODID0].[].[14329]","","08.11.2025","","000")</f>
        <v>08.11.2025</v>
      </c>
      <c r="AR5" s="30" t="str">
        <f xml:space="preserve"> _xll.EPMOlapMemberO("[PERIODID0].[].[14330]","","09.11.2025","","000")</f>
        <v>09.11.2025</v>
      </c>
      <c r="AS5" s="30" t="str">
        <f xml:space="preserve"> _xll.EPMOlapMemberO("[PERIODID0].[].[14331]","","10.11.2025","","000")</f>
        <v>10.11.2025</v>
      </c>
      <c r="AT5" s="30" t="str">
        <f xml:space="preserve"> _xll.EPMOlapMemberO("[PERIODID0].[].[14332]","","11.11.2025","","000")</f>
        <v>11.11.2025</v>
      </c>
      <c r="AU5" s="30" t="str">
        <f xml:space="preserve"> _xll.EPMOlapMemberO("[PERIODID0].[].[14333]","","12.11.2025","","000")</f>
        <v>12.11.2025</v>
      </c>
      <c r="AV5" s="30" t="str">
        <f xml:space="preserve"> _xll.EPMOlapMemberO("[PERIODID0].[].[14334]","","13.11.2025","","000")</f>
        <v>13.11.2025</v>
      </c>
      <c r="AW5" s="30" t="str">
        <f xml:space="preserve"> _xll.EPMOlapMemberO("[PERIODID0].[].[14335]","","14.11.2025","","000")</f>
        <v>14.11.2025</v>
      </c>
      <c r="AX5" s="30" t="str">
        <f xml:space="preserve"> _xll.EPMOlapMemberO("[PERIODID0].[].[14336]","","15.11.2025","","000")</f>
        <v>15.11.2025</v>
      </c>
      <c r="AY5" s="30" t="str">
        <f xml:space="preserve"> _xll.EPMOlapMemberO("[PERIODID0].[].[14337]","","16.11.2025","","000")</f>
        <v>16.11.2025</v>
      </c>
      <c r="AZ5" s="30" t="str">
        <f xml:space="preserve"> _xll.EPMOlapMemberO("[PERIODID0].[].[14338]","","17.11.2025","","000")</f>
        <v>17.11.2025</v>
      </c>
      <c r="BA5" s="30" t="str">
        <f xml:space="preserve"> _xll.EPMOlapMemberO("[PERIODID0].[].[14339]","","18.11.2025","","000")</f>
        <v>18.11.2025</v>
      </c>
      <c r="BB5" s="30" t="str">
        <f xml:space="preserve"> _xll.EPMOlapMemberO("[PERIODID0].[].[14340]","","19.11.2025","","000")</f>
        <v>19.11.2025</v>
      </c>
      <c r="BC5" s="30" t="str">
        <f xml:space="preserve"> _xll.EPMOlapMemberO("[PERIODID0].[].[14341]","","20.11.2025","","000")</f>
        <v>20.11.2025</v>
      </c>
      <c r="BD5" s="30" t="str">
        <f xml:space="preserve"> _xll.EPMOlapMemberO("[PERIODID0].[].[14342]","","21.11.2025","","000")</f>
        <v>21.11.2025</v>
      </c>
      <c r="BE5" s="30" t="str">
        <f xml:space="preserve"> _xll.EPMOlapMemberO("[PERIODID0].[].[14343]","","22.11.2025","","000")</f>
        <v>22.11.2025</v>
      </c>
      <c r="BF5" s="30" t="str">
        <f xml:space="preserve"> _xll.EPMOlapMemberO("[PERIODID0].[].[14344]","","23.11.2025","","000")</f>
        <v>23.11.2025</v>
      </c>
      <c r="BG5" s="30" t="str">
        <f xml:space="preserve"> _xll.EPMOlapMemberO("[PERIODID0].[].[14345]","","24.11.2025","","000")</f>
        <v>24.11.2025</v>
      </c>
      <c r="BH5" s="30" t="str">
        <f xml:space="preserve"> _xll.EPMOlapMemberO("[PERIODID0].[].[14346]","","25.11.2025","","000")</f>
        <v>25.11.2025</v>
      </c>
      <c r="BI5" s="30" t="str">
        <f xml:space="preserve"> _xll.EPMOlapMemberO("[PERIODID0].[].[14347]","","26.11.2025","","000")</f>
        <v>26.11.2025</v>
      </c>
      <c r="BJ5" s="30" t="str">
        <f xml:space="preserve"> _xll.EPMOlapMemberO("[PERIODID0].[].[14348]","","27.11.2025","","000")</f>
        <v>27.11.2025</v>
      </c>
      <c r="BK5" s="30" t="str">
        <f xml:space="preserve"> _xll.EPMOlapMemberO("[PERIODID0].[].[14349]","","28.11.2025","","000")</f>
        <v>28.11.2025</v>
      </c>
      <c r="BL5" s="30" t="str">
        <f xml:space="preserve"> _xll.EPMOlapMemberO("[PERIODID0].[].[14350]","","29.11.2025","","000")</f>
        <v>29.11.2025</v>
      </c>
      <c r="BM5" s="30" t="str">
        <f xml:space="preserve"> _xll.EPMOlapMemberO("[PERIODID0].[].[14351]","","30.11.2025","","000")</f>
        <v>30.11.2025</v>
      </c>
      <c r="BN5" s="30" t="str">
        <f xml:space="preserve"> _xll.EPMOlapMemberO("[PERIODID0].[].[14352]","","01.12.2025","","000")</f>
        <v>01.12.2025</v>
      </c>
      <c r="BO5" s="30" t="str">
        <f xml:space="preserve"> _xll.EPMOlapMemberO("[PERIODID0].[].[14353]","","02.12.2025","","000")</f>
        <v>02.12.2025</v>
      </c>
      <c r="BP5" s="30" t="str">
        <f xml:space="preserve"> _xll.EPMOlapMemberO("[PERIODID0].[].[14354]","","03.12.2025","","000")</f>
        <v>03.12.2025</v>
      </c>
      <c r="BQ5" s="30" t="str">
        <f xml:space="preserve"> _xll.EPMOlapMemberO("[PERIODID0].[].[14355]","","04.12.2025","","000")</f>
        <v>04.12.2025</v>
      </c>
      <c r="BR5" s="30" t="str">
        <f xml:space="preserve"> _xll.EPMOlapMemberO("[PERIODID0].[].[14356]","","05.12.2025","","000")</f>
        <v>05.12.2025</v>
      </c>
      <c r="BS5" s="30" t="str">
        <f xml:space="preserve"> _xll.EPMOlapMemberO("[PERIODID0].[].[14357]","","06.12.2025","","000")</f>
        <v>06.12.2025</v>
      </c>
      <c r="BT5" s="30" t="str">
        <f xml:space="preserve"> _xll.EPMOlapMemberO("[PERIODID0].[].[14358]","","07.12.2025","","000")</f>
        <v>07.12.2025</v>
      </c>
      <c r="BU5" s="30" t="str">
        <f xml:space="preserve"> _xll.EPMOlapMemberO("[PERIODID0].[].[14359]","","08.12.2025","","000")</f>
        <v>08.12.2025</v>
      </c>
      <c r="BV5" s="30" t="str">
        <f xml:space="preserve"> _xll.EPMOlapMemberO("[PERIODID0].[].[14360]","","09.12.2025","","000")</f>
        <v>09.12.2025</v>
      </c>
      <c r="BW5" s="30" t="str">
        <f xml:space="preserve"> _xll.EPMOlapMemberO("[PERIODID0].[].[14361]","","10.12.2025","","000")</f>
        <v>10.12.2025</v>
      </c>
      <c r="BX5" s="30" t="str">
        <f xml:space="preserve"> _xll.EPMOlapMemberO("[PERIODID0].[].[14362]","","11.12.2025","","000")</f>
        <v>11.12.2025</v>
      </c>
      <c r="BY5" s="30" t="str">
        <f xml:space="preserve"> _xll.EPMOlapMemberO("[PERIODID0].[].[14363]","","12.12.2025","","000")</f>
        <v>12.12.2025</v>
      </c>
      <c r="BZ5" s="30" t="str">
        <f xml:space="preserve"> _xll.EPMOlapMemberO("[PERIODID0].[].[14364]","","13.12.2025","","000")</f>
        <v>13.12.2025</v>
      </c>
      <c r="CA5" s="30" t="str">
        <f xml:space="preserve"> _xll.EPMOlapMemberO("[PERIODID0].[].[14365]","","14.12.2025","","000")</f>
        <v>14.12.2025</v>
      </c>
      <c r="CB5" s="30" t="str">
        <f xml:space="preserve"> _xll.EPMOlapMemberO("[PERIODID0].[].[14366]","","15.12.2025","","000")</f>
        <v>15.12.2025</v>
      </c>
      <c r="CC5" s="30" t="str">
        <f xml:space="preserve"> _xll.EPMOlapMemberO("[PERIODID0].[].[14367]","","16.12.2025","","000")</f>
        <v>16.12.2025</v>
      </c>
      <c r="CD5" s="30" t="str">
        <f xml:space="preserve"> _xll.EPMOlapMemberO("[PERIODID0].[].[14368]","","17.12.2025","","000")</f>
        <v>17.12.2025</v>
      </c>
      <c r="CE5" s="30" t="str">
        <f xml:space="preserve"> _xll.EPMOlapMemberO("[PERIODID0].[].[14369]","","18.12.2025","","000")</f>
        <v>18.12.2025</v>
      </c>
      <c r="CF5" s="30" t="str">
        <f xml:space="preserve"> _xll.EPMOlapMemberO("[PERIODID0].[].[14370]","","19.12.2025","","000")</f>
        <v>19.12.2025</v>
      </c>
      <c r="CG5" s="30" t="str">
        <f xml:space="preserve"> _xll.EPMOlapMemberO("[PERIODID0].[].[14371]","","20.12.2025","","000")</f>
        <v>20.12.2025</v>
      </c>
      <c r="CH5" s="30" t="str">
        <f xml:space="preserve"> _xll.EPMOlapMemberO("[PERIODID0].[].[14372]","","21.12.2025","","000")</f>
        <v>21.12.2025</v>
      </c>
      <c r="CI5" s="30" t="str">
        <f xml:space="preserve"> _xll.EPMOlapMemberO("[PERIODID0].[].[14373]","","22.12.2025","","000")</f>
        <v>22.12.2025</v>
      </c>
      <c r="CJ5" s="30" t="str">
        <f xml:space="preserve"> _xll.EPMOlapMemberO("[PERIODID0].[].[14374]","","23.12.2025","","000")</f>
        <v>23.12.2025</v>
      </c>
      <c r="CK5" s="30" t="str">
        <f xml:space="preserve"> _xll.EPMOlapMemberO("[PERIODID0].[].[14375]","","24.12.2025","","000")</f>
        <v>24.12.2025</v>
      </c>
      <c r="CL5" s="30" t="str">
        <f xml:space="preserve"> _xll.EPMOlapMemberO("[PERIODID0].[].[14376]","","25.12.2025","","000")</f>
        <v>25.12.2025</v>
      </c>
      <c r="CM5" s="30" t="str">
        <f xml:space="preserve"> _xll.EPMOlapMemberO("[PERIODID0].[].[14377]","","26.12.2025","","000")</f>
        <v>26.12.2025</v>
      </c>
      <c r="CN5" s="30" t="str">
        <f xml:space="preserve"> _xll.EPMOlapMemberO("[PERIODID0].[].[14378]","","27.12.2025","","000")</f>
        <v>27.12.2025</v>
      </c>
      <c r="CO5" s="30" t="str">
        <f xml:space="preserve"> _xll.EPMOlapMemberO("[PERIODID0].[].[14379]","","28.12.2025","","000")</f>
        <v>28.12.2025</v>
      </c>
      <c r="CP5" s="30" t="str">
        <f xml:space="preserve"> _xll.EPMOlapMemberO("[PERIODID0].[].[14380]","","29.12.2025","","000")</f>
        <v>29.12.2025</v>
      </c>
      <c r="CQ5" s="30" t="str">
        <f xml:space="preserve"> _xll.EPMOlapMemberO("[PERIODID0].[].[14381]","","30.12.2025","","000")</f>
        <v>30.12.2025</v>
      </c>
      <c r="CR5" s="30" t="str">
        <f xml:space="preserve"> _xll.EPMOlapMemberO("[PERIODID0].[].[14382]","","31.12.2025","","000")</f>
        <v>31.12.2025</v>
      </c>
      <c r="CS5" s="30" t="str">
        <f xml:space="preserve"> _xll.EPMOlapMemberO("[PERIODID0].[].[14383]","","01.01.2026","","000")</f>
        <v>01.01.2026</v>
      </c>
      <c r="CT5" s="30" t="str">
        <f xml:space="preserve"> _xll.EPMOlapMemberO("[PERIODID0].[].[14384]","","02.01.2026","","000")</f>
        <v>02.01.2026</v>
      </c>
      <c r="CU5" s="30" t="str">
        <f xml:space="preserve"> _xll.EPMOlapMemberO("[PERIODID0].[].[14385]","","03.01.2026","","000")</f>
        <v>03.01.2026</v>
      </c>
      <c r="CV5" s="30" t="str">
        <f xml:space="preserve"> _xll.EPMOlapMemberO("[PERIODID0].[].[14386]","","04.01.2026","","000")</f>
        <v>04.01.2026</v>
      </c>
      <c r="CW5" s="30" t="str">
        <f xml:space="preserve"> _xll.EPMOlapMemberO("[PERIODID0].[].[14387]","","05.01.2026","","000")</f>
        <v>05.01.2026</v>
      </c>
      <c r="CX5" s="30" t="str">
        <f xml:space="preserve"> _xll.EPMOlapMemberO("[PERIODID0].[].[14388]","","06.01.2026","","000")</f>
        <v>06.01.2026</v>
      </c>
      <c r="CY5" s="30" t="str">
        <f xml:space="preserve"> _xll.EPMOlapMemberO("[PERIODID0].[].[14389]","","07.01.2026","","000")</f>
        <v>07.01.2026</v>
      </c>
      <c r="CZ5" s="30" t="str">
        <f xml:space="preserve"> _xll.EPMOlapMemberO("[PERIODID0].[].[14390]","","08.01.2026","","000")</f>
        <v>08.01.2026</v>
      </c>
      <c r="DA5" s="30" t="str">
        <f xml:space="preserve"> _xll.EPMOlapMemberO("[PERIODID0].[].[14391]","","09.01.2026","","000")</f>
        <v>09.01.2026</v>
      </c>
      <c r="DB5" s="30" t="str">
        <f xml:space="preserve"> _xll.EPMOlapMemberO("[PERIODID0].[].[14392]","","10.01.2026","","000")</f>
        <v>10.01.2026</v>
      </c>
      <c r="DC5" s="30" t="str">
        <f xml:space="preserve"> _xll.EPMOlapMemberO("[PERIODID0].[].[14393]","","11.01.2026","","000")</f>
        <v>11.01.2026</v>
      </c>
      <c r="DD5" s="30" t="str">
        <f xml:space="preserve"> _xll.EPMOlapMemberO("[PERIODID0].[].[14394]","","12.01.2026","","000")</f>
        <v>12.01.2026</v>
      </c>
      <c r="DE5" s="30" t="str">
        <f xml:space="preserve"> _xll.EPMOlapMemberO("[PERIODID0].[].[14395]","","13.01.2026","","000")</f>
        <v>13.01.2026</v>
      </c>
      <c r="DF5" s="30" t="str">
        <f xml:space="preserve"> _xll.EPMOlapMemberO("[PERIODID0].[].[14396]","","14.01.2026","","000")</f>
        <v>14.01.2026</v>
      </c>
      <c r="DG5" s="30" t="str">
        <f xml:space="preserve"> _xll.EPMOlapMemberO("[PERIODID0].[].[14397]","","15.01.2026","","000")</f>
        <v>15.01.2026</v>
      </c>
      <c r="DH5" s="30" t="str">
        <f xml:space="preserve"> _xll.EPMOlapMemberO("[PERIODID0].[].[14398]","","16.01.2026","","000")</f>
        <v>16.01.2026</v>
      </c>
      <c r="DI5" s="30" t="str">
        <f xml:space="preserve"> _xll.EPMOlapMemberO("[PERIODID0].[].[14399]","","17.01.2026","","000")</f>
        <v>17.01.2026</v>
      </c>
      <c r="DJ5" s="30" t="str">
        <f xml:space="preserve"> _xll.EPMOlapMemberO("[PERIODID0].[].[14400]","","18.01.2026","","000")</f>
        <v>18.01.2026</v>
      </c>
      <c r="DK5" s="30" t="str">
        <f xml:space="preserve"> _xll.EPMOlapMemberO("[PERIODID0].[].[14401]","","19.01.2026","","000")</f>
        <v>19.01.2026</v>
      </c>
      <c r="DL5" s="30" t="str">
        <f xml:space="preserve"> _xll.EPMOlapMemberO("[PERIODID0].[].[14402]","","20.01.2026","","000")</f>
        <v>20.01.2026</v>
      </c>
      <c r="DM5" s="30" t="str">
        <f xml:space="preserve"> _xll.EPMOlapMemberO("[PERIODID0].[].[14403]","","21.01.2026","","000")</f>
        <v>21.01.2026</v>
      </c>
      <c r="DN5" s="30" t="str">
        <f xml:space="preserve"> _xll.EPMOlapMemberO("[PERIODID0].[].[14404]","","22.01.2026","","000")</f>
        <v>22.01.2026</v>
      </c>
      <c r="DO5" s="30" t="str">
        <f xml:space="preserve"> _xll.EPMOlapMemberO("[PERIODID0].[].[14405]","","23.01.2026","","000")</f>
        <v>23.01.2026</v>
      </c>
      <c r="DP5" s="30" t="str">
        <f xml:space="preserve"> _xll.EPMOlapMemberO("[PERIODID0].[].[14406]","","24.01.2026","","000")</f>
        <v>24.01.2026</v>
      </c>
      <c r="DQ5" s="30" t="str">
        <f xml:space="preserve"> _xll.EPMOlapMemberO("[PERIODID0].[].[14407]","","25.01.2026","","000")</f>
        <v>25.01.2026</v>
      </c>
      <c r="DR5" s="30" t="str">
        <f xml:space="preserve"> _xll.EPMOlapMemberO("[PERIODID0].[].[14408]","","26.01.2026","","000")</f>
        <v>26.01.2026</v>
      </c>
      <c r="DS5" s="30" t="str">
        <f xml:space="preserve"> _xll.EPMOlapMemberO("[PERIODID0].[].[14409]","","27.01.2026","","000")</f>
        <v>27.01.2026</v>
      </c>
      <c r="DT5" s="30" t="str">
        <f xml:space="preserve"> _xll.EPMOlapMemberO("[PERIODID0].[].[14410]","","28.01.2026","","000")</f>
        <v>28.01.2026</v>
      </c>
      <c r="DU5" s="30" t="str">
        <f xml:space="preserve"> _xll.EPMOlapMemberO("[PERIODID0].[].[14411]","","29.01.2026","","000")</f>
        <v>29.01.2026</v>
      </c>
      <c r="DV5" s="30" t="str">
        <f xml:space="preserve"> _xll.EPMOlapMemberO("[PERIODID0].[].[14412]","","30.01.2026","","000")</f>
        <v>30.01.2026</v>
      </c>
      <c r="DW5" s="30" t="str">
        <f xml:space="preserve"> _xll.EPMOlapMemberO("[PERIODID0].[].[14413]","","31.01.2026","","000")</f>
        <v>31.01.2026</v>
      </c>
      <c r="DX5" s="30" t="str">
        <f xml:space="preserve"> _xll.EPMOlapMemberO("[PERIODID0].[].[14414]","","01.02.2026","","000")</f>
        <v>01.02.2026</v>
      </c>
      <c r="DY5" s="30" t="str">
        <f xml:space="preserve"> _xll.EPMOlapMemberO("[PERIODID0].[].[14415]","","02.02.2026","","000")</f>
        <v>02.02.2026</v>
      </c>
      <c r="DZ5" s="30" t="str">
        <f xml:space="preserve"> _xll.EPMOlapMemberO("[PERIODID0].[].[14416]","","03.02.2026","","000")</f>
        <v>03.02.2026</v>
      </c>
      <c r="EA5" s="30" t="str">
        <f xml:space="preserve"> _xll.EPMOlapMemberO("[PERIODID0].[].[14417]","","04.02.2026","","000")</f>
        <v>04.02.2026</v>
      </c>
      <c r="EB5" s="30" t="str">
        <f xml:space="preserve"> _xll.EPMOlapMemberO("[PERIODID0].[].[14418]","","05.02.2026","","000")</f>
        <v>05.02.2026</v>
      </c>
      <c r="EC5" s="30" t="str">
        <f xml:space="preserve"> _xll.EPMOlapMemberO("[PERIODID0].[].[14419]","","06.02.2026","","000")</f>
        <v>06.02.2026</v>
      </c>
      <c r="ED5" s="30" t="str">
        <f xml:space="preserve"> _xll.EPMOlapMemberO("[PERIODID0].[].[14420]","","07.02.2026","","000")</f>
        <v>07.02.2026</v>
      </c>
      <c r="EE5" s="30" t="str">
        <f xml:space="preserve"> _xll.EPMOlapMemberO("[PERIODID0].[].[14421]","","08.02.2026","","000")</f>
        <v>08.02.2026</v>
      </c>
      <c r="EF5" s="30" t="str">
        <f xml:space="preserve"> _xll.EPMOlapMemberO("[PERIODID0].[].[14422]","","09.02.2026","","000")</f>
        <v>09.02.2026</v>
      </c>
      <c r="EG5" s="30" t="str">
        <f xml:space="preserve"> _xll.EPMOlapMemberO("[PERIODID0].[].[14423]","","10.02.2026","","000")</f>
        <v>10.02.2026</v>
      </c>
      <c r="EH5" s="30" t="str">
        <f xml:space="preserve"> _xll.EPMOlapMemberO("[PERIODID0].[].[14424]","","11.02.2026","","000")</f>
        <v>11.02.2026</v>
      </c>
      <c r="EI5" s="30" t="str">
        <f xml:space="preserve"> _xll.EPMOlapMemberO("[PERIODID0].[].[14425]","","12.02.2026","","000")</f>
        <v>12.02.2026</v>
      </c>
      <c r="EJ5" s="30" t="str">
        <f xml:space="preserve"> _xll.EPMOlapMemberO("[PERIODID0].[].[14426]","","13.02.2026","","000")</f>
        <v>13.02.2026</v>
      </c>
      <c r="EK5" s="30" t="str">
        <f xml:space="preserve"> _xll.EPMOlapMemberO("[PERIODID0].[].[14427]","","14.02.2026","","000")</f>
        <v>14.02.2026</v>
      </c>
      <c r="EL5" s="30" t="str">
        <f xml:space="preserve"> _xll.EPMOlapMemberO("[PERIODID0].[].[14428]","","15.02.2026","","000")</f>
        <v>15.02.2026</v>
      </c>
      <c r="EM5" s="30" t="str">
        <f xml:space="preserve"> _xll.EPMOlapMemberO("[PERIODID0].[].[14429]","","16.02.2026","","000")</f>
        <v>16.02.2026</v>
      </c>
      <c r="EN5" s="30" t="str">
        <f xml:space="preserve"> _xll.EPMOlapMemberO("[PERIODID0].[].[14430]","","17.02.2026","","000")</f>
        <v>17.02.2026</v>
      </c>
      <c r="EO5" s="30" t="str">
        <f xml:space="preserve"> _xll.EPMOlapMemberO("[PERIODID0].[].[14431]","","18.02.2026","","000")</f>
        <v>18.02.2026</v>
      </c>
      <c r="EP5" s="30" t="str">
        <f xml:space="preserve"> _xll.EPMOlapMemberO("[PERIODID0].[].[14432]","","19.02.2026","","000")</f>
        <v>19.02.2026</v>
      </c>
      <c r="EQ5" s="30" t="str">
        <f xml:space="preserve"> _xll.EPMOlapMemberO("[PERIODID0].[].[14433]","","20.02.2026","","000")</f>
        <v>20.02.2026</v>
      </c>
      <c r="ER5" s="30" t="str">
        <f xml:space="preserve"> _xll.EPMOlapMemberO("[PERIODID0].[].[14434]","","21.02.2026","","000")</f>
        <v>21.02.2026</v>
      </c>
      <c r="ES5" s="30" t="str">
        <f xml:space="preserve"> _xll.EPMOlapMemberO("[PERIODID0].[].[14435]","","22.02.2026","","000")</f>
        <v>22.02.2026</v>
      </c>
      <c r="ET5" s="30" t="str">
        <f xml:space="preserve"> _xll.EPMOlapMemberO("[PERIODID0].[].[14436]","","23.02.2026","","000")</f>
        <v>23.02.2026</v>
      </c>
      <c r="EU5" s="30" t="str">
        <f xml:space="preserve"> _xll.EPMOlapMemberO("[PERIODID0].[].[14437]","","24.02.2026","","000")</f>
        <v>24.02.2026</v>
      </c>
      <c r="EV5" s="30" t="str">
        <f xml:space="preserve"> _xll.EPMOlapMemberO("[PERIODID0].[].[14438]","","25.02.2026","","000")</f>
        <v>25.02.2026</v>
      </c>
      <c r="EW5" s="30" t="str">
        <f xml:space="preserve"> _xll.EPMOlapMemberO("[PERIODID0].[].[14439]","","26.02.2026","","000")</f>
        <v>26.02.2026</v>
      </c>
      <c r="EX5" s="30" t="str">
        <f xml:space="preserve"> _xll.EPMOlapMemberO("[PERIODID0].[].[14440]","","27.02.2026","","000")</f>
        <v>27.02.2026</v>
      </c>
      <c r="EY5" s="30" t="str">
        <f xml:space="preserve"> _xll.EPMOlapMemberO("[PERIODID0].[].[14441]","","28.02.2026","","000")</f>
        <v>28.02.2026</v>
      </c>
      <c r="EZ5" s="30" t="str">
        <f xml:space="preserve"> _xll.EPMOlapMemberO("[PERIODID0].[].[14442]","","01.03.2026","","000")</f>
        <v>01.03.2026</v>
      </c>
      <c r="FA5" s="30" t="str">
        <f xml:space="preserve"> _xll.EPMOlapMemberO("[PERIODID0].[].[14443]","","02.03.2026","","000")</f>
        <v>02.03.2026</v>
      </c>
      <c r="FB5" s="30" t="str">
        <f xml:space="preserve"> _xll.EPMOlapMemberO("[PERIODID0].[].[14444]","","03.03.2026","","000")</f>
        <v>03.03.2026</v>
      </c>
      <c r="FC5" s="30" t="str">
        <f xml:space="preserve"> _xll.EPMOlapMemberO("[PERIODID0].[].[14445]","","04.03.2026","","000")</f>
        <v>04.03.2026</v>
      </c>
      <c r="FD5" s="30" t="str">
        <f xml:space="preserve"> _xll.EPMOlapMemberO("[PERIODID0].[].[14446]","","05.03.2026","","000")</f>
        <v>05.03.2026</v>
      </c>
      <c r="FE5" s="30" t="str">
        <f xml:space="preserve"> _xll.EPMOlapMemberO("[PERIODID0].[].[14447]","","06.03.2026","","000")</f>
        <v>06.03.2026</v>
      </c>
      <c r="FF5" s="30" t="str">
        <f xml:space="preserve"> _xll.EPMOlapMemberO("[PERIODID0].[].[14448]","","07.03.2026","","000")</f>
        <v>07.03.2026</v>
      </c>
      <c r="FG5" s="30" t="str">
        <f xml:space="preserve"> _xll.EPMOlapMemberO("[PERIODID0].[].[14449]","","08.03.2026","","000")</f>
        <v>08.03.2026</v>
      </c>
      <c r="FH5" s="30" t="str">
        <f xml:space="preserve"> _xll.EPMOlapMemberO("[PERIODID0].[].[14450]","","09.03.2026","","000")</f>
        <v>09.03.2026</v>
      </c>
      <c r="FI5" s="30" t="str">
        <f xml:space="preserve"> _xll.EPMOlapMemberO("[PERIODID0].[].[14451]","","10.03.2026","","000")</f>
        <v>10.03.2026</v>
      </c>
      <c r="FJ5" s="30" t="str">
        <f xml:space="preserve"> _xll.EPMOlapMemberO("[PERIODID0].[].[14452]","","11.03.2026","","000")</f>
        <v>11.03.2026</v>
      </c>
      <c r="FK5" s="30" t="str">
        <f xml:space="preserve"> _xll.EPMOlapMemberO("[PERIODID0].[].[14453]","","12.03.2026","","000")</f>
        <v>12.03.2026</v>
      </c>
      <c r="FL5" s="30" t="str">
        <f xml:space="preserve"> _xll.EPMOlapMemberO("[PERIODID0].[].[14454]","","13.03.2026","","000")</f>
        <v>13.03.2026</v>
      </c>
      <c r="FM5" s="30" t="str">
        <f xml:space="preserve"> _xll.EPMOlapMemberO("[PERIODID0].[].[14455]","","14.03.2026","","000")</f>
        <v>14.03.2026</v>
      </c>
      <c r="FN5" s="30" t="str">
        <f xml:space="preserve"> _xll.EPMOlapMemberO("[PERIODID0].[].[14456]","","15.03.2026","","000")</f>
        <v>15.03.2026</v>
      </c>
      <c r="FO5" s="30" t="str">
        <f xml:space="preserve"> _xll.EPMOlapMemberO("[PERIODID0].[].[14457]","","16.03.2026","","000")</f>
        <v>16.03.2026</v>
      </c>
      <c r="FP5" s="30" t="str">
        <f xml:space="preserve"> _xll.EPMOlapMemberO("[PERIODID0].[].[14458]","","17.03.2026","","000")</f>
        <v>17.03.2026</v>
      </c>
      <c r="FQ5" s="30" t="str">
        <f xml:space="preserve"> _xll.EPMOlapMemberO("[PERIODID0].[].[14459]","","18.03.2026","","000")</f>
        <v>18.03.2026</v>
      </c>
      <c r="FR5" s="30" t="str">
        <f xml:space="preserve"> _xll.EPMOlapMemberO("[PERIODID0].[].[14460]","","19.03.2026","","000")</f>
        <v>19.03.2026</v>
      </c>
      <c r="FS5" s="30" t="str">
        <f xml:space="preserve"> _xll.EPMOlapMemberO("[PERIODID0].[].[14461]","","20.03.2026","","000")</f>
        <v>20.03.2026</v>
      </c>
      <c r="FT5" s="30" t="str">
        <f xml:space="preserve"> _xll.EPMOlapMemberO("[PERIODID0].[].[14462]","","21.03.2026","","000")</f>
        <v>21.03.2026</v>
      </c>
      <c r="FU5" s="30" t="str">
        <f xml:space="preserve"> _xll.EPMOlapMemberO("[PERIODID0].[].[14463]","","22.03.2026","","000")</f>
        <v>22.03.2026</v>
      </c>
      <c r="FV5" s="30" t="str">
        <f xml:space="preserve"> _xll.EPMOlapMemberO("[PERIODID0].[].[14464]","","23.03.2026","","000")</f>
        <v>23.03.2026</v>
      </c>
      <c r="FW5" s="30" t="str">
        <f xml:space="preserve"> _xll.EPMOlapMemberO("[PERIODID0].[].[14465]","","24.03.2026","","000")</f>
        <v>24.03.2026</v>
      </c>
      <c r="FX5" s="30" t="str">
        <f xml:space="preserve"> _xll.EPMOlapMemberO("[PERIODID0].[].[14466]","","25.03.2026","","000")</f>
        <v>25.03.2026</v>
      </c>
      <c r="FY5" s="30" t="str">
        <f xml:space="preserve"> _xll.EPMOlapMemberO("[PERIODID0].[].[14467]","","26.03.2026","","000")</f>
        <v>26.03.2026</v>
      </c>
      <c r="FZ5" s="30" t="str">
        <f xml:space="preserve"> _xll.EPMOlapMemberO("[PERIODID0].[].[14468]","","27.03.2026","","000")</f>
        <v>27.03.2026</v>
      </c>
      <c r="GA5" s="30" t="str">
        <f xml:space="preserve"> _xll.EPMOlapMemberO("[PERIODID0].[].[14469]","","28.03.2026","","000")</f>
        <v>28.03.2026</v>
      </c>
      <c r="GB5" s="30" t="str">
        <f xml:space="preserve"> _xll.EPMOlapMemberO("[PERIODID0].[].[14470]","","29.03.2026","","000")</f>
        <v>29.03.2026</v>
      </c>
      <c r="GC5" s="30" t="str">
        <f xml:space="preserve"> _xll.EPMOlapMemberO("[PERIODID0].[].[14471]","","30.03.2026","","000")</f>
        <v>30.03.2026</v>
      </c>
      <c r="GD5" s="30" t="str">
        <f xml:space="preserve"> _xll.EPMOlapMemberO("[PERIODID0].[].[14472]","","31.03.2026","","000")</f>
        <v>31.03.2026</v>
      </c>
      <c r="GE5" s="30" t="str">
        <f xml:space="preserve"> _xll.EPMOlapMemberO("[PERIODID0].[].[14473]","","01.04.2026","","000")</f>
        <v>01.04.2026</v>
      </c>
      <c r="GF5" s="30" t="str">
        <f xml:space="preserve"> _xll.EPMOlapMemberO("[PERIODID0].[].[14474]","","02.04.2026","","000")</f>
        <v>02.04.2026</v>
      </c>
      <c r="GG5" s="30" t="str">
        <f xml:space="preserve"> _xll.EPMOlapMemberO("[PERIODID0].[].[14475]","","03.04.2026","","000")</f>
        <v>03.04.2026</v>
      </c>
      <c r="GH5" s="30" t="str">
        <f xml:space="preserve"> _xll.EPMOlapMemberO("[PERIODID0].[].[14476]","","04.04.2026","","000")</f>
        <v>04.04.2026</v>
      </c>
      <c r="GI5" s="30" t="str">
        <f xml:space="preserve"> _xll.EPMOlapMemberO("[PERIODID0].[].[14477]","","05.04.2026","","000")</f>
        <v>05.04.2026</v>
      </c>
      <c r="GJ5" s="30" t="str">
        <f xml:space="preserve"> _xll.EPMOlapMemberO("[PERIODID0].[].[14478]","","06.04.2026","","000")</f>
        <v>06.04.2026</v>
      </c>
      <c r="GK5" s="30" t="str">
        <f xml:space="preserve"> _xll.EPMOlapMemberO("[PERIODID0].[].[14479]","","07.04.2026","","000")</f>
        <v>07.04.2026</v>
      </c>
      <c r="GL5" s="30" t="str">
        <f xml:space="preserve"> _xll.EPMOlapMemberO("[PERIODID0].[].[14480]","","08.04.2026","","000")</f>
        <v>08.04.2026</v>
      </c>
      <c r="GM5" s="30" t="str">
        <f xml:space="preserve"> _xll.EPMOlapMemberO("[PERIODID0].[].[14481]","","09.04.2026","","000")</f>
        <v>09.04.2026</v>
      </c>
      <c r="GN5" s="30" t="str">
        <f xml:space="preserve"> _xll.EPMOlapMemberO("[PERIODID0].[].[14482]","","10.04.2026","","000")</f>
        <v>10.04.2026</v>
      </c>
      <c r="GO5" s="30" t="str">
        <f xml:space="preserve"> _xll.EPMOlapMemberO("[PERIODID0].[].[14483]","","11.04.2026","","000")</f>
        <v>11.04.2026</v>
      </c>
      <c r="GP5" s="30" t="str">
        <f xml:space="preserve"> _xll.EPMOlapMemberO("[PERIODID0].[].[14484]","","12.04.2026","","000")</f>
        <v>12.04.2026</v>
      </c>
      <c r="GQ5" s="30" t="str">
        <f xml:space="preserve"> _xll.EPMOlapMemberO("[PERIODID0].[].[14485]","","13.04.2026","","000")</f>
        <v>13.04.2026</v>
      </c>
      <c r="GR5" s="30" t="str">
        <f xml:space="preserve"> _xll.EPMOlapMemberO("[PERIODID0].[].[14486]","","14.04.2026","","000")</f>
        <v>14.04.2026</v>
      </c>
      <c r="GS5" s="30" t="str">
        <f xml:space="preserve"> _xll.EPMOlapMemberO("[PERIODID0].[].[14487]","","15.04.2026","","000")</f>
        <v>15.04.2026</v>
      </c>
      <c r="GT5" s="30" t="str">
        <f xml:space="preserve"> _xll.EPMOlapMemberO("[PERIODID0].[].[14488]","","16.04.2026","","000")</f>
        <v>16.04.2026</v>
      </c>
      <c r="GU5" s="30" t="str">
        <f xml:space="preserve"> _xll.EPMOlapMemberO("[PERIODID0].[].[14489]","","17.04.2026","","000")</f>
        <v>17.04.2026</v>
      </c>
      <c r="GV5" s="30" t="str">
        <f xml:space="preserve"> _xll.EPMOlapMemberO("[PERIODID0].[].[14490]","","18.04.2026","","000")</f>
        <v>18.04.2026</v>
      </c>
      <c r="GW5" s="30" t="str">
        <f xml:space="preserve"> _xll.EPMOlapMemberO("[PERIODID0].[].[14491]","","19.04.2026","","000")</f>
        <v>19.04.2026</v>
      </c>
      <c r="GX5" s="30" t="str">
        <f xml:space="preserve"> _xll.EPMOlapMemberO("[PERIODID0].[].[14492]","","20.04.2026","","000")</f>
        <v>20.04.2026</v>
      </c>
      <c r="GY5" s="30" t="str">
        <f xml:space="preserve"> _xll.EPMOlapMemberO("[PERIODID0].[].[14493]","","21.04.2026","","000")</f>
        <v>21.04.2026</v>
      </c>
      <c r="GZ5" s="30" t="str">
        <f xml:space="preserve"> _xll.EPMOlapMemberO("[PERIODID0].[].[14494]","","22.04.2026","","000")</f>
        <v>22.04.2026</v>
      </c>
      <c r="HA5" s="30" t="str">
        <f xml:space="preserve"> _xll.EPMOlapMemberO("[PERIODID0].[].[14495]","","23.04.2026","","000")</f>
        <v>23.04.2026</v>
      </c>
      <c r="HB5" s="30" t="str">
        <f xml:space="preserve"> _xll.EPMOlapMemberO("[PERIODID0].[].[14496]","","24.04.2026","","000")</f>
        <v>24.04.2026</v>
      </c>
      <c r="HC5" s="30" t="str">
        <f xml:space="preserve"> _xll.EPMOlapMemberO("[PERIODID0].[].[14497]","","25.04.2026","","000")</f>
        <v>25.04.2026</v>
      </c>
      <c r="HD5" s="30" t="str">
        <f xml:space="preserve"> _xll.EPMOlapMemberO("[PERIODID0].[].[14498]","","26.04.2026","","000")</f>
        <v>26.04.2026</v>
      </c>
      <c r="HE5" s="30" t="str">
        <f xml:space="preserve"> _xll.EPMOlapMemberO("[PERIODID0].[].[14499]","","27.04.2026","","000")</f>
        <v>27.04.2026</v>
      </c>
      <c r="HF5" s="30" t="str">
        <f xml:space="preserve"> _xll.EPMOlapMemberO("[PERIODID0].[].[14500]","","28.04.2026","","000")</f>
        <v>28.04.2026</v>
      </c>
      <c r="HG5" s="30" t="str">
        <f xml:space="preserve"> _xll.EPMOlapMemberO("[PERIODID0].[].[14501]","","29.04.2026","","000")</f>
        <v>29.04.2026</v>
      </c>
      <c r="HH5" s="30" t="str">
        <f xml:space="preserve"> _xll.EPMOlapMemberO("[PERIODID0].[].[14502]","","30.04.2026","","000")</f>
        <v>30.04.2026</v>
      </c>
      <c r="HI5" s="30" t="str">
        <f xml:space="preserve"> _xll.EPMOlapMemberO("[PERIODID0].[].[14503]","","01.05.2026","","000")</f>
        <v>01.05.2026</v>
      </c>
      <c r="HJ5" s="30" t="str">
        <f xml:space="preserve"> _xll.EPMOlapMemberO("[PERIODID0].[].[14504]","","02.05.2026","","000")</f>
        <v>02.05.2026</v>
      </c>
      <c r="HK5" s="30" t="str">
        <f xml:space="preserve"> _xll.EPMOlapMemberO("[PERIODID0].[].[14505]","","03.05.2026","","000")</f>
        <v>03.05.2026</v>
      </c>
      <c r="HL5" s="30" t="str">
        <f xml:space="preserve"> _xll.EPMOlapMemberO("[PERIODID0].[].[14506]","","04.05.2026","","000")</f>
        <v>04.05.2026</v>
      </c>
      <c r="HM5" s="30" t="str">
        <f xml:space="preserve"> _xll.EPMOlapMemberO("[PERIODID0].[].[14507]","","05.05.2026","","000")</f>
        <v>05.05.2026</v>
      </c>
      <c r="HN5" s="30" t="str">
        <f xml:space="preserve"> _xll.EPMOlapMemberO("[PERIODID0].[].[14508]","","06.05.2026","","000")</f>
        <v>06.05.2026</v>
      </c>
      <c r="HO5" s="30" t="str">
        <f xml:space="preserve"> _xll.EPMOlapMemberO("[PERIODID0].[].[14509]","","07.05.2026","","000")</f>
        <v>07.05.2026</v>
      </c>
      <c r="HP5" s="30" t="str">
        <f xml:space="preserve"> _xll.EPMOlapMemberO("[PERIODID0].[].[14510]","","08.05.2026","","000")</f>
        <v>08.05.2026</v>
      </c>
      <c r="HQ5" s="30" t="str">
        <f xml:space="preserve"> _xll.EPMOlapMemberO("[PERIODID0].[].[14511]","","09.05.2026","","000")</f>
        <v>09.05.2026</v>
      </c>
      <c r="HR5" s="30" t="str">
        <f xml:space="preserve"> _xll.EPMOlapMemberO("[PERIODID0].[].[14512]","","10.05.2026","","000")</f>
        <v>10.05.2026</v>
      </c>
      <c r="HS5" s="30" t="str">
        <f xml:space="preserve"> _xll.EPMOlapMemberO("[PERIODID0].[].[14513]","","11.05.2026","","000")</f>
        <v>11.05.2026</v>
      </c>
      <c r="HT5" s="30" t="str">
        <f xml:space="preserve"> _xll.EPMOlapMemberO("[PERIODID0].[].[14514]","","12.05.2026","","000")</f>
        <v>12.05.2026</v>
      </c>
      <c r="HU5" s="30" t="str">
        <f xml:space="preserve"> _xll.EPMOlapMemberO("[PERIODID0].[].[14515]","","13.05.2026","","000")</f>
        <v>13.05.2026</v>
      </c>
      <c r="HV5" s="30" t="str">
        <f xml:space="preserve"> _xll.EPMOlapMemberO("[PERIODID0].[].[14516]","","14.05.2026","","000")</f>
        <v>14.05.2026</v>
      </c>
      <c r="HW5" s="30" t="str">
        <f xml:space="preserve"> _xll.EPMOlapMemberO("[PERIODID0].[].[14517]","","15.05.2026","","000")</f>
        <v>15.05.2026</v>
      </c>
      <c r="HX5" s="30" t="str">
        <f xml:space="preserve"> _xll.EPMOlapMemberO("[PERIODID0].[].[14518]","","16.05.2026","","000")</f>
        <v>16.05.2026</v>
      </c>
      <c r="HY5" s="30" t="str">
        <f xml:space="preserve"> _xll.EPMOlapMemberO("[PERIODID0].[].[14519]","","17.05.2026","","000")</f>
        <v>17.05.2026</v>
      </c>
      <c r="HZ5" s="30" t="str">
        <f xml:space="preserve"> _xll.EPMOlapMemberO("[PERIODID0].[].[14520]","","18.05.2026","","000")</f>
        <v>18.05.2026</v>
      </c>
      <c r="IA5" s="30" t="str">
        <f xml:space="preserve"> _xll.EPMOlapMemberO("[PERIODID0].[].[14521]","","19.05.2026","","000")</f>
        <v>19.05.2026</v>
      </c>
      <c r="IB5" s="30" t="str">
        <f xml:space="preserve"> _xll.EPMOlapMemberO("[PERIODID0].[].[14522]","","20.05.2026","","000")</f>
        <v>20.05.2026</v>
      </c>
      <c r="IC5" s="30" t="str">
        <f xml:space="preserve"> _xll.EPMOlapMemberO("[PERIODID0].[].[14523]","","21.05.2026","","000")</f>
        <v>21.05.2026</v>
      </c>
      <c r="ID5" s="30" t="str">
        <f xml:space="preserve"> _xll.EPMOlapMemberO("[PERIODID0].[].[14524]","","22.05.2026","","000")</f>
        <v>22.05.2026</v>
      </c>
      <c r="IE5" s="30" t="str">
        <f xml:space="preserve"> _xll.EPMOlapMemberO("[PERIODID0].[].[14525]","","23.05.2026","","000")</f>
        <v>23.05.2026</v>
      </c>
      <c r="IF5" s="30" t="str">
        <f xml:space="preserve"> _xll.EPMOlapMemberO("[PERIODID0].[].[14526]","","24.05.2026","","000")</f>
        <v>24.05.2026</v>
      </c>
      <c r="IG5" s="30" t="str">
        <f xml:space="preserve"> _xll.EPMOlapMemberO("[PERIODID0].[].[14527]","","25.05.2026","","000")</f>
        <v>25.05.2026</v>
      </c>
      <c r="IH5" s="30" t="str">
        <f xml:space="preserve"> _xll.EPMOlapMemberO("[PERIODID0].[].[14528]","","26.05.2026","","000")</f>
        <v>26.05.2026</v>
      </c>
      <c r="II5" s="30" t="str">
        <f xml:space="preserve"> _xll.EPMOlapMemberO("[PERIODID0].[].[14529]","","27.05.2026","","000")</f>
        <v>27.05.2026</v>
      </c>
      <c r="IJ5" s="30" t="str">
        <f xml:space="preserve"> _xll.EPMOlapMemberO("[PERIODID0].[].[14530]","","28.05.2026","","000")</f>
        <v>28.05.2026</v>
      </c>
      <c r="IK5" s="30" t="str">
        <f xml:space="preserve"> _xll.EPMOlapMemberO("[PERIODID0].[].[14531]","","29.05.2026","","000")</f>
        <v>29.05.2026</v>
      </c>
      <c r="IL5" s="30" t="str">
        <f xml:space="preserve"> _xll.EPMOlapMemberO("[PERIODID0].[].[14532]","","30.05.2026","","000")</f>
        <v>30.05.2026</v>
      </c>
      <c r="IM5" s="30" t="str">
        <f xml:space="preserve"> _xll.EPMOlapMemberO("[PERIODID0].[].[14533]","","31.05.2026","","000")</f>
        <v>31.05.2026</v>
      </c>
      <c r="IN5" s="30" t="str">
        <f xml:space="preserve"> _xll.EPMOlapMemberO("[PERIODID0].[].[14534]","","01.06.2026","","000")</f>
        <v>01.06.2026</v>
      </c>
      <c r="IO5" s="30" t="str">
        <f xml:space="preserve"> _xll.EPMOlapMemberO("[PERIODID0].[].[14535]","","02.06.2026","","000")</f>
        <v>02.06.2026</v>
      </c>
      <c r="IP5" s="30" t="str">
        <f xml:space="preserve"> _xll.EPMOlapMemberO("[PERIODID0].[].[14536]","","03.06.2026","","000")</f>
        <v>03.06.2026</v>
      </c>
      <c r="IQ5" s="30" t="str">
        <f xml:space="preserve"> _xll.EPMOlapMemberO("[PERIODID0].[].[14537]","","04.06.2026","","000")</f>
        <v>04.06.2026</v>
      </c>
      <c r="IR5" s="30" t="str">
        <f xml:space="preserve"> _xll.EPMOlapMemberO("[PERIODID0].[].[14538]","","05.06.2026","","000")</f>
        <v>05.06.2026</v>
      </c>
      <c r="IS5" s="30" t="str">
        <f xml:space="preserve"> _xll.EPMOlapMemberO("[PERIODID0].[].[14539]","","06.06.2026","","000")</f>
        <v>06.06.2026</v>
      </c>
      <c r="IT5" s="30" t="str">
        <f xml:space="preserve"> _xll.EPMOlapMemberO("[PERIODID0].[].[14540]","","07.06.2026","","000")</f>
        <v>07.06.2026</v>
      </c>
      <c r="IU5" s="30" t="str">
        <f xml:space="preserve"> _xll.EPMOlapMemberO("[PERIODID0].[].[14541]","","08.06.2026","","000")</f>
        <v>08.06.2026</v>
      </c>
      <c r="IV5" s="30" t="str">
        <f xml:space="preserve"> _xll.EPMOlapMemberO("[PERIODID0].[].[14542]","","09.06.2026","","000")</f>
        <v>09.06.2026</v>
      </c>
      <c r="IW5" s="30" t="str">
        <f xml:space="preserve"> _xll.EPMOlapMemberO("[PERIODID0].[].[14543]","","10.06.2026","","000")</f>
        <v>10.06.2026</v>
      </c>
      <c r="IX5" s="30" t="str">
        <f xml:space="preserve"> _xll.EPMOlapMemberO("[PERIODID0].[].[14544]","","11.06.2026","","000")</f>
        <v>11.06.2026</v>
      </c>
      <c r="IY5" s="30" t="str">
        <f xml:space="preserve"> _xll.EPMOlapMemberO("[PERIODID0].[].[14545]","","12.06.2026","","000")</f>
        <v>12.06.2026</v>
      </c>
      <c r="IZ5" s="30" t="str">
        <f xml:space="preserve"> _xll.EPMOlapMemberO("[PERIODID0].[].[14546]","","13.06.2026","","000")</f>
        <v>13.06.2026</v>
      </c>
      <c r="JA5" s="30" t="str">
        <f xml:space="preserve"> _xll.EPMOlapMemberO("[PERIODID0].[].[14547]","","14.06.2026","","000")</f>
        <v>14.06.2026</v>
      </c>
      <c r="JB5" s="30" t="str">
        <f xml:space="preserve"> _xll.EPMOlapMemberO("[PERIODID0].[].[14548]","","15.06.2026","","000")</f>
        <v>15.06.2026</v>
      </c>
      <c r="JC5" s="30" t="str">
        <f xml:space="preserve"> _xll.EPMOlapMemberO("[PERIODID0].[].[14549]","","16.06.2026","","000")</f>
        <v>16.06.2026</v>
      </c>
      <c r="JD5" s="30" t="str">
        <f xml:space="preserve"> _xll.EPMOlapMemberO("[PERIODID0].[].[14550]","","17.06.2026","","000")</f>
        <v>17.06.2026</v>
      </c>
      <c r="JE5" s="30" t="str">
        <f xml:space="preserve"> _xll.EPMOlapMemberO("[PERIODID0].[].[14551]","","18.06.2026","","000")</f>
        <v>18.06.2026</v>
      </c>
      <c r="JF5" s="30" t="str">
        <f xml:space="preserve"> _xll.EPMOlapMemberO("[PERIODID0].[].[14552]","","19.06.2026","","000")</f>
        <v>19.06.2026</v>
      </c>
      <c r="JG5" s="30" t="str">
        <f xml:space="preserve"> _xll.EPMOlapMemberO("[PERIODID0].[].[14553]","","20.06.2026","","000")</f>
        <v>20.06.2026</v>
      </c>
      <c r="JH5" s="30" t="str">
        <f xml:space="preserve"> _xll.EPMOlapMemberO("[PERIODID0].[].[14554]","","21.06.2026","","000")</f>
        <v>21.06.2026</v>
      </c>
      <c r="JI5" s="30" t="str">
        <f xml:space="preserve"> _xll.EPMOlapMemberO("[PERIODID0].[].[14555]","","22.06.2026","","000")</f>
        <v>22.06.2026</v>
      </c>
      <c r="JJ5" s="30" t="str">
        <f xml:space="preserve"> _xll.EPMOlapMemberO("[PERIODID0].[].[14556]","","23.06.2026","","000")</f>
        <v>23.06.2026</v>
      </c>
      <c r="JK5" s="30" t="str">
        <f xml:space="preserve"> _xll.EPMOlapMemberO("[PERIODID0].[].[14557]","","24.06.2026","","000")</f>
        <v>24.06.2026</v>
      </c>
      <c r="JL5" s="30" t="str">
        <f xml:space="preserve"> _xll.EPMOlapMemberO("[PERIODID0].[].[14558]","","25.06.2026","","000")</f>
        <v>25.06.2026</v>
      </c>
      <c r="JM5" s="30" t="str">
        <f xml:space="preserve"> _xll.EPMOlapMemberO("[PERIODID0].[].[14559]","","26.06.2026","","000")</f>
        <v>26.06.2026</v>
      </c>
      <c r="JN5" s="30" t="str">
        <f xml:space="preserve"> _xll.EPMOlapMemberO("[PERIODID0].[].[14560]","","27.06.2026","","000")</f>
        <v>27.06.2026</v>
      </c>
      <c r="JO5" s="30" t="str">
        <f xml:space="preserve"> _xll.EPMOlapMemberO("[PERIODID0].[].[14561]","","28.06.2026","","000")</f>
        <v>28.06.2026</v>
      </c>
      <c r="JP5" s="30" t="str">
        <f xml:space="preserve"> _xll.EPMOlapMemberO("[PERIODID0].[].[14562]","","29.06.2026","","000")</f>
        <v>29.06.2026</v>
      </c>
      <c r="JQ5" s="30" t="str">
        <f xml:space="preserve"> _xll.EPMOlapMemberO("[PERIODID0].[].[14563]","","30.06.2026","","000")</f>
        <v>30.06.2026</v>
      </c>
      <c r="JR5" s="30" t="str">
        <f xml:space="preserve"> _xll.EPMOlapMemberO("[PERIODID0].[].[14564]","","01.07.2026","","000")</f>
        <v>01.07.2026</v>
      </c>
      <c r="JS5" s="30" t="str">
        <f xml:space="preserve"> _xll.EPMOlapMemberO("[PERIODID0].[].[14565]","","02.07.2026","","000")</f>
        <v>02.07.2026</v>
      </c>
      <c r="JT5" s="30" t="str">
        <f xml:space="preserve"> _xll.EPMOlapMemberO("[PERIODID0].[].[14566]","","03.07.2026","","000")</f>
        <v>03.07.2026</v>
      </c>
      <c r="JU5" s="30" t="str">
        <f xml:space="preserve"> _xll.EPMOlapMemberO("[PERIODID0].[].[14567]","","04.07.2026","","000")</f>
        <v>04.07.2026</v>
      </c>
      <c r="JV5" s="30" t="str">
        <f xml:space="preserve"> _xll.EPMOlapMemberO("[PERIODID0].[].[14568]","","05.07.2026","","000")</f>
        <v>05.07.2026</v>
      </c>
      <c r="JW5" s="30" t="str">
        <f xml:space="preserve"> _xll.EPMOlapMemberO("[PERIODID0].[].[14569]","","06.07.2026","","000")</f>
        <v>06.07.2026</v>
      </c>
      <c r="JX5" s="30" t="str">
        <f xml:space="preserve"> _xll.EPMOlapMemberO("[PERIODID0].[].[14570]","","07.07.2026","","000")</f>
        <v>07.07.2026</v>
      </c>
      <c r="JY5" s="30" t="str">
        <f xml:space="preserve"> _xll.EPMOlapMemberO("[PERIODID0].[].[14571]","","08.07.2026","","000")</f>
        <v>08.07.2026</v>
      </c>
      <c r="JZ5" s="30" t="str">
        <f xml:space="preserve"> _xll.EPMOlapMemberO("[PERIODID0].[].[14572]","","09.07.2026","","000")</f>
        <v>09.07.2026</v>
      </c>
      <c r="KA5" s="30" t="str">
        <f xml:space="preserve"> _xll.EPMOlapMemberO("[PERIODID0].[].[14573]","","10.07.2026","","000")</f>
        <v>10.07.2026</v>
      </c>
      <c r="KB5" s="30" t="str">
        <f xml:space="preserve"> _xll.EPMOlapMemberO("[PERIODID0].[].[14574]","","11.07.2026","","000")</f>
        <v>11.07.2026</v>
      </c>
      <c r="KC5" s="30" t="str">
        <f xml:space="preserve"> _xll.EPMOlapMemberO("[PERIODID0].[].[14575]","","12.07.2026","","000")</f>
        <v>12.07.2026</v>
      </c>
      <c r="KD5" s="30" t="str">
        <f xml:space="preserve"> _xll.EPMOlapMemberO("[PERIODID0].[].[14576]","","13.07.2026","","000")</f>
        <v>13.07.2026</v>
      </c>
      <c r="KE5" s="30" t="str">
        <f xml:space="preserve"> _xll.EPMOlapMemberO("[PERIODID0].[].[14577]","","14.07.2026","","000")</f>
        <v>14.07.2026</v>
      </c>
      <c r="KF5" s="30" t="str">
        <f xml:space="preserve"> _xll.EPMOlapMemberO("[PERIODID0].[].[14578]","","15.07.2026","","000")</f>
        <v>15.07.2026</v>
      </c>
      <c r="KG5" s="30" t="str">
        <f xml:space="preserve"> _xll.EPMOlapMemberO("[PERIODID0].[].[14579]","","16.07.2026","","000")</f>
        <v>16.07.2026</v>
      </c>
      <c r="KH5" s="30" t="str">
        <f xml:space="preserve"> _xll.EPMOlapMemberO("[PERIODID0].[].[14580]","","17.07.2026","","000")</f>
        <v>17.07.2026</v>
      </c>
      <c r="KI5" s="30" t="str">
        <f xml:space="preserve"> _xll.EPMOlapMemberO("[PERIODID0].[].[14581]","","18.07.2026","","000")</f>
        <v>18.07.2026</v>
      </c>
      <c r="KJ5" s="30" t="str">
        <f xml:space="preserve"> _xll.EPMOlapMemberO("[PERIODID0].[].[14582]","","19.07.2026","","000")</f>
        <v>19.07.2026</v>
      </c>
      <c r="KK5" s="30" t="str">
        <f xml:space="preserve"> _xll.EPMOlapMemberO("[PERIODID0].[].[14583]","","20.07.2026","","000")</f>
        <v>20.07.2026</v>
      </c>
      <c r="KL5" s="30" t="str">
        <f xml:space="preserve"> _xll.EPMOlapMemberO("[PERIODID0].[].[14584]","","21.07.2026","","000")</f>
        <v>21.07.2026</v>
      </c>
      <c r="KM5" s="30" t="str">
        <f xml:space="preserve"> _xll.EPMOlapMemberO("[PERIODID0].[].[14585]","","22.07.2026","","000")</f>
        <v>22.07.2026</v>
      </c>
      <c r="KN5" s="30" t="str">
        <f xml:space="preserve"> _xll.EPMOlapMemberO("[PERIODID0].[].[14586]","","23.07.2026","","000")</f>
        <v>23.07.2026</v>
      </c>
      <c r="KO5" s="30" t="str">
        <f xml:space="preserve"> _xll.EPMOlapMemberO("[PERIODID0].[].[14587]","","24.07.2026","","000")</f>
        <v>24.07.2026</v>
      </c>
      <c r="KP5" s="30" t="str">
        <f xml:space="preserve"> _xll.EPMOlapMemberO("[PERIODID0].[].[14588]","","25.07.2026","","000")</f>
        <v>25.07.2026</v>
      </c>
      <c r="KQ5" s="30" t="str">
        <f xml:space="preserve"> _xll.EPMOlapMemberO("[PERIODID0].[].[14589]","","26.07.2026","","000")</f>
        <v>26.07.2026</v>
      </c>
      <c r="KR5" s="30" t="str">
        <f xml:space="preserve"> _xll.EPMOlapMemberO("[PERIODID0].[].[14590]","","27.07.2026","","000")</f>
        <v>27.07.2026</v>
      </c>
      <c r="KS5" s="30" t="str">
        <f xml:space="preserve"> _xll.EPMOlapMemberO("[PERIODID0].[].[14591]","","28.07.2026","","000")</f>
        <v>28.07.2026</v>
      </c>
      <c r="KT5" s="30" t="str">
        <f xml:space="preserve"> _xll.EPMOlapMemberO("[PERIODID0].[].[14592]","","29.07.2026","","000")</f>
        <v>29.07.2026</v>
      </c>
      <c r="KU5" s="30" t="str">
        <f xml:space="preserve"> _xll.EPMOlapMemberO("[PERIODID0].[].[14593]","","30.07.2026","","000")</f>
        <v>30.07.2026</v>
      </c>
      <c r="KV5" s="30" t="str">
        <f xml:space="preserve"> _xll.EPMOlapMemberO("[PERIODID0].[].[14594]","","31.07.2026","","000")</f>
        <v>31.07.2026</v>
      </c>
      <c r="KW5" s="30" t="str">
        <f xml:space="preserve"> _xll.EPMOlapMemberO("[PERIODID0].[].[14595]","","01.08.2026","","000")</f>
        <v>01.08.2026</v>
      </c>
      <c r="KX5" s="30" t="str">
        <f xml:space="preserve"> _xll.EPMOlapMemberO("[PERIODID0].[].[14596]","","02.08.2026","","000")</f>
        <v>02.08.2026</v>
      </c>
      <c r="KY5" s="30" t="str">
        <f xml:space="preserve"> _xll.EPMOlapMemberO("[PERIODID0].[].[14597]","","03.08.2026","","000")</f>
        <v>03.08.2026</v>
      </c>
      <c r="KZ5" s="30" t="str">
        <f xml:space="preserve"> _xll.EPMOlapMemberO("[PERIODID0].[].[14598]","","04.08.2026","","000")</f>
        <v>04.08.2026</v>
      </c>
      <c r="LA5" s="30" t="str">
        <f xml:space="preserve"> _xll.EPMOlapMemberO("[PERIODID0].[].[14599]","","05.08.2026","","000")</f>
        <v>05.08.2026</v>
      </c>
      <c r="LB5" s="30" t="str">
        <f xml:space="preserve"> _xll.EPMOlapMemberO("[PERIODID0].[].[14600]","","06.08.2026","","000")</f>
        <v>06.08.2026</v>
      </c>
      <c r="LC5" s="30" t="str">
        <f xml:space="preserve"> _xll.EPMOlapMemberO("[PERIODID0].[].[14601]","","07.08.2026","","000")</f>
        <v>07.08.2026</v>
      </c>
      <c r="LD5" s="30" t="str">
        <f xml:space="preserve"> _xll.EPMOlapMemberO("[PERIODID0].[].[14602]","","08.08.2026","","000")</f>
        <v>08.08.2026</v>
      </c>
      <c r="LE5" s="30" t="str">
        <f xml:space="preserve"> _xll.EPMOlapMemberO("[PERIODID0].[].[14603]","","09.08.2026","","000")</f>
        <v>09.08.2026</v>
      </c>
      <c r="LF5" s="30" t="str">
        <f xml:space="preserve"> _xll.EPMOlapMemberO("[PERIODID0].[].[14604]","","10.08.2026","","000")</f>
        <v>10.08.2026</v>
      </c>
      <c r="LG5" s="30" t="str">
        <f xml:space="preserve"> _xll.EPMOlapMemberO("[PERIODID0].[].[14605]","","11.08.2026","","000")</f>
        <v>11.08.2026</v>
      </c>
      <c r="LH5" s="30" t="str">
        <f xml:space="preserve"> _xll.EPMOlapMemberO("[PERIODID0].[].[14606]","","12.08.2026","","000")</f>
        <v>12.08.2026</v>
      </c>
      <c r="LI5" s="30" t="str">
        <f xml:space="preserve"> _xll.EPMOlapMemberO("[PERIODID0].[].[14607]","","13.08.2026","","000")</f>
        <v>13.08.2026</v>
      </c>
      <c r="LJ5" s="30" t="str">
        <f xml:space="preserve"> _xll.EPMOlapMemberO("[PERIODID0].[].[14608]","","14.08.2026","","000")</f>
        <v>14.08.2026</v>
      </c>
      <c r="LK5" s="30" t="str">
        <f xml:space="preserve"> _xll.EPMOlapMemberO("[PERIODID0].[].[14609]","","15.08.2026","","000")</f>
        <v>15.08.2026</v>
      </c>
      <c r="LL5" s="30" t="str">
        <f xml:space="preserve"> _xll.EPMOlapMemberO("[PERIODID0].[].[14610]","","16.08.2026","","000")</f>
        <v>16.08.2026</v>
      </c>
      <c r="LM5" s="30" t="str">
        <f xml:space="preserve"> _xll.EPMOlapMemberO("[PERIODID0].[].[14611]","","17.08.2026","","000")</f>
        <v>17.08.2026</v>
      </c>
      <c r="LN5" s="30" t="str">
        <f xml:space="preserve"> _xll.EPMOlapMemberO("[PERIODID0].[].[14612]","","18.08.2026","","000")</f>
        <v>18.08.2026</v>
      </c>
      <c r="LO5" s="30" t="str">
        <f xml:space="preserve"> _xll.EPMOlapMemberO("[PERIODID0].[].[14613]","","19.08.2026","","000")</f>
        <v>19.08.2026</v>
      </c>
      <c r="LP5" s="30" t="str">
        <f xml:space="preserve"> _xll.EPMOlapMemberO("[PERIODID0].[].[14614]","","20.08.2026","","000")</f>
        <v>20.08.2026</v>
      </c>
      <c r="LQ5" s="30" t="str">
        <f xml:space="preserve"> _xll.EPMOlapMemberO("[PERIODID0].[].[14615]","","21.08.2026","","000")</f>
        <v>21.08.2026</v>
      </c>
      <c r="LR5" s="30" t="str">
        <f xml:space="preserve"> _xll.EPMOlapMemberO("[PERIODID0].[].[14616]","","22.08.2026","","000")</f>
        <v>22.08.2026</v>
      </c>
      <c r="LS5" s="30" t="str">
        <f xml:space="preserve"> _xll.EPMOlapMemberO("[PERIODID0].[].[14617]","","23.08.2026","","000")</f>
        <v>23.08.2026</v>
      </c>
      <c r="LT5" s="30" t="str">
        <f xml:space="preserve"> _xll.EPMOlapMemberO("[PERIODID0].[].[14618]","","24.08.2026","","000")</f>
        <v>24.08.2026</v>
      </c>
      <c r="LU5" s="30" t="str">
        <f xml:space="preserve"> _xll.EPMOlapMemberO("[PERIODID0].[].[14619]","","25.08.2026","","000")</f>
        <v>25.08.2026</v>
      </c>
      <c r="LV5" s="30" t="str">
        <f xml:space="preserve"> _xll.EPMOlapMemberO("[PERIODID0].[].[14620]","","26.08.2026","","000")</f>
        <v>26.08.2026</v>
      </c>
      <c r="LW5" s="30" t="str">
        <f xml:space="preserve"> _xll.EPMOlapMemberO("[PERIODID0].[].[14621]","","27.08.2026","","000")</f>
        <v>27.08.2026</v>
      </c>
      <c r="LX5" s="30" t="str">
        <f xml:space="preserve"> _xll.EPMOlapMemberO("[PERIODID0].[].[14622]","","28.08.2026","","000")</f>
        <v>28.08.2026</v>
      </c>
      <c r="LY5" s="30" t="str">
        <f xml:space="preserve"> _xll.EPMOlapMemberO("[PERIODID0].[].[14623]","","29.08.2026","","000")</f>
        <v>29.08.2026</v>
      </c>
      <c r="LZ5" s="30" t="str">
        <f xml:space="preserve"> _xll.EPMOlapMemberO("[PERIODID0].[].[14624]","","30.08.2026","","000")</f>
        <v>30.08.2026</v>
      </c>
      <c r="MA5" s="30" t="str">
        <f xml:space="preserve"> _xll.EPMOlapMemberO("[PERIODID0].[].[14625]","","31.08.2026","","000")</f>
        <v>31.08.2026</v>
      </c>
      <c r="MB5" s="30" t="str">
        <f xml:space="preserve"> _xll.EPMOlapMemberO("[PERIODID0].[].[14626]","","01.09.2026","","000")</f>
        <v>01.09.2026</v>
      </c>
      <c r="MC5" s="30" t="str">
        <f xml:space="preserve"> _xll.EPMOlapMemberO("[PERIODID0].[].[14627]","","02.09.2026","","000")</f>
        <v>02.09.2026</v>
      </c>
      <c r="MD5" s="30" t="str">
        <f xml:space="preserve"> _xll.EPMOlapMemberO("[PERIODID0].[].[14628]","","03.09.2026","","000")</f>
        <v>03.09.2026</v>
      </c>
      <c r="ME5" s="30" t="str">
        <f xml:space="preserve"> _xll.EPMOlapMemberO("[PERIODID0].[].[14629]","","04.09.2026","","000")</f>
        <v>04.09.2026</v>
      </c>
      <c r="MF5" s="30" t="str">
        <f xml:space="preserve"> _xll.EPMOlapMemberO("[PERIODID0].[].[14630]","","05.09.2026","","000")</f>
        <v>05.09.2026</v>
      </c>
      <c r="MG5" s="30" t="str">
        <f xml:space="preserve"> _xll.EPMOlapMemberO("[PERIODID0].[].[14631]","","06.09.2026","","000")</f>
        <v>06.09.2026</v>
      </c>
      <c r="MH5" s="30" t="str">
        <f xml:space="preserve"> _xll.EPMOlapMemberO("[PERIODID0].[].[14632]","","07.09.2026","","000")</f>
        <v>07.09.2026</v>
      </c>
      <c r="MI5" s="30" t="str">
        <f xml:space="preserve"> _xll.EPMOlapMemberO("[PERIODID0].[].[14633]","","08.09.2026","","000")</f>
        <v>08.09.2026</v>
      </c>
      <c r="MJ5" s="30" t="str">
        <f xml:space="preserve"> _xll.EPMOlapMemberO("[PERIODID0].[].[14634]","","09.09.2026","","000")</f>
        <v>09.09.2026</v>
      </c>
      <c r="MK5" s="30" t="str">
        <f xml:space="preserve"> _xll.EPMOlapMemberO("[PERIODID0].[].[14635]","","10.09.2026","","000")</f>
        <v>10.09.2026</v>
      </c>
      <c r="ML5" s="30" t="str">
        <f xml:space="preserve"> _xll.EPMOlapMemberO("[PERIODID0].[].[14636]","","11.09.2026","","000")</f>
        <v>11.09.2026</v>
      </c>
      <c r="MM5" s="30" t="str">
        <f xml:space="preserve"> _xll.EPMOlapMemberO("[PERIODID0].[].[14637]","","12.09.2026","","000")</f>
        <v>12.09.2026</v>
      </c>
      <c r="MN5" s="30" t="str">
        <f xml:space="preserve"> _xll.EPMOlapMemberO("[PERIODID0].[].[14638]","","13.09.2026","","000")</f>
        <v>13.09.2026</v>
      </c>
      <c r="MO5" s="30" t="str">
        <f xml:space="preserve"> _xll.EPMOlapMemberO("[PERIODID0].[].[14639]","","14.09.2026","","000")</f>
        <v>14.09.2026</v>
      </c>
      <c r="MP5" s="30" t="str">
        <f xml:space="preserve"> _xll.EPMOlapMemberO("[PERIODID0].[].[14640]","","15.09.2026","","000")</f>
        <v>15.09.2026</v>
      </c>
      <c r="MQ5" s="30" t="str">
        <f xml:space="preserve"> _xll.EPMOlapMemberO("[PERIODID0].[].[14641]","","16.09.2026","","000")</f>
        <v>16.09.2026</v>
      </c>
      <c r="MR5" s="30" t="str">
        <f xml:space="preserve"> _xll.EPMOlapMemberO("[PERIODID0].[].[14642]","","17.09.2026","","000")</f>
        <v>17.09.2026</v>
      </c>
      <c r="MS5" s="30" t="str">
        <f xml:space="preserve"> _xll.EPMOlapMemberO("[PERIODID0].[].[14643]","","18.09.2026","","000")</f>
        <v>18.09.2026</v>
      </c>
      <c r="MT5" s="30" t="str">
        <f xml:space="preserve"> _xll.EPMOlapMemberO("[PERIODID0].[].[14644]","","19.09.2026","","000")</f>
        <v>19.09.2026</v>
      </c>
      <c r="MU5" s="30" t="str">
        <f xml:space="preserve"> _xll.EPMOlapMemberO("[PERIODID0].[].[14645]","","20.09.2026","","000")</f>
        <v>20.09.2026</v>
      </c>
      <c r="MV5" s="30" t="str">
        <f xml:space="preserve"> _xll.EPMOlapMemberO("[PERIODID0].[].[14646]","","21.09.2026","","000")</f>
        <v>21.09.2026</v>
      </c>
      <c r="MW5" s="30" t="str">
        <f xml:space="preserve"> _xll.EPMOlapMemberO("[PERIODID0].[].[14647]","","22.09.2026","","000")</f>
        <v>22.09.2026</v>
      </c>
      <c r="MX5" s="30" t="str">
        <f xml:space="preserve"> _xll.EPMOlapMemberO("[PERIODID0].[].[14648]","","23.09.2026","","000")</f>
        <v>23.09.2026</v>
      </c>
      <c r="MY5" s="30" t="str">
        <f xml:space="preserve"> _xll.EPMOlapMemberO("[PERIODID0].[].[14649]","","24.09.2026","","000")</f>
        <v>24.09.2026</v>
      </c>
      <c r="MZ5" s="30" t="str">
        <f xml:space="preserve"> _xll.EPMOlapMemberO("[PERIODID0].[].[14650]","","25.09.2026","","000")</f>
        <v>25.09.2026</v>
      </c>
      <c r="NA5" s="30" t="str">
        <f xml:space="preserve"> _xll.EPMOlapMemberO("[PERIODID0].[].[14651]","","26.09.2026","","000")</f>
        <v>26.09.2026</v>
      </c>
      <c r="NB5" s="30" t="str">
        <f xml:space="preserve"> _xll.EPMOlapMemberO("[PERIODID0].[].[14652]","","27.09.2026","","000")</f>
        <v>27.09.2026</v>
      </c>
      <c r="NC5" s="30" t="str">
        <f xml:space="preserve"> _xll.EPMOlapMemberO("[PERIODID0].[].[14653]","","28.09.2026","","000")</f>
        <v>28.09.2026</v>
      </c>
      <c r="ND5" s="30" t="str">
        <f xml:space="preserve"> _xll.EPMOlapMemberO("[PERIODID0].[].[14654]","","29.09.2026","","000")</f>
        <v>29.09.2026</v>
      </c>
      <c r="NE5" s="30" t="str">
        <f xml:space="preserve"> _xll.EPMOlapMemberO("[PERIODID0].[].[14655]","","30.09.2026","","000")</f>
        <v>30.09.2026</v>
      </c>
      <c r="NF5" s="30" t="str">
        <f xml:space="preserve"> _xll.EPMOlapMemberO("[PERIODID0].[].[14656]","","01.10.2026","","000")</f>
        <v>01.10.2026</v>
      </c>
      <c r="NG5" s="30" t="str">
        <f xml:space="preserve"> _xll.EPMOlapMemberO("[PERIODID0].[].[14657]","","02.10.2026","","000")</f>
        <v>02.10.2026</v>
      </c>
      <c r="NH5" s="30" t="str">
        <f xml:space="preserve"> _xll.EPMOlapMemberO("[PERIODID0].[].[14658]","","03.10.2026","","000")</f>
        <v>03.10.2026</v>
      </c>
      <c r="NI5" s="30" t="str">
        <f xml:space="preserve"> _xll.EPMOlapMemberO("[PERIODID0].[].[14659]","","04.10.2026","","000")</f>
        <v>04.10.2026</v>
      </c>
      <c r="NJ5" s="30" t="str">
        <f xml:space="preserve"> _xll.EPMOlapMemberO("[PERIODID0].[].[14660]","","05.10.2026","","000")</f>
        <v>05.10.2026</v>
      </c>
      <c r="NK5" s="30" t="str">
        <f xml:space="preserve"> _xll.EPMOlapMemberO("[PERIODID0].[].[14661]","","06.10.2026","","000")</f>
        <v>06.10.2026</v>
      </c>
      <c r="NL5" s="30" t="str">
        <f xml:space="preserve"> _xll.EPMOlapMemberO("[PERIODID0].[].[14662]","","07.10.2026","","000")</f>
        <v>07.10.2026</v>
      </c>
      <c r="NM5" s="30" t="str">
        <f xml:space="preserve"> _xll.EPMOlapMemberO("[PERIODID0].[].[14663]","","08.10.2026","","000")</f>
        <v>08.10.2026</v>
      </c>
      <c r="NN5" s="30" t="str">
        <f xml:space="preserve"> _xll.EPMOlapMemberO("[PERIODID0].[].[14664]","","09.10.2026","","000")</f>
        <v>09.10.2026</v>
      </c>
      <c r="NO5" s="30" t="str">
        <f xml:space="preserve"> _xll.EPMOlapMemberO("[PERIODID0].[].[14665]","","10.10.2026","","000")</f>
        <v>10.10.2026</v>
      </c>
      <c r="NP5" s="30" t="str">
        <f xml:space="preserve"> _xll.EPMOlapMemberO("[PERIODID0].[].[14666]","","11.10.2026","","000")</f>
        <v>11.10.2026</v>
      </c>
      <c r="NQ5" s="30" t="str">
        <f xml:space="preserve"> _xll.EPMOlapMemberO("[PERIODID0].[].[14667]","","12.10.2026","","000")</f>
        <v>12.10.2026</v>
      </c>
      <c r="NR5" s="30" t="str">
        <f xml:space="preserve"> _xll.EPMOlapMemberO("[PERIODID0].[].[14668]","","13.10.2026","","000")</f>
        <v>13.10.2026</v>
      </c>
      <c r="NS5" s="30" t="str">
        <f xml:space="preserve"> _xll.EPMOlapMemberO("[PERIODID0].[].[14669]","","14.10.2026","","000")</f>
        <v>14.10.2026</v>
      </c>
      <c r="NT5" s="30" t="str">
        <f xml:space="preserve"> _xll.EPMOlapMemberO("[PERIODID0].[].[14670]","","15.10.2026","","000")</f>
        <v>15.10.2026</v>
      </c>
      <c r="NU5" s="30" t="str">
        <f xml:space="preserve"> _xll.EPMOlapMemberO("[PERIODID0].[].[14671]","","16.10.2026","","000")</f>
        <v>16.10.2026</v>
      </c>
      <c r="NV5" s="30" t="str">
        <f xml:space="preserve"> _xll.EPMOlapMemberO("[PERIODID0].[].[14672]","","17.10.2026","","000")</f>
        <v>17.10.2026</v>
      </c>
      <c r="NW5" s="30" t="str">
        <f xml:space="preserve"> _xll.EPMOlapMemberO("[PERIODID0].[].[14673]","","18.10.2026","","000")</f>
        <v>18.10.2026</v>
      </c>
      <c r="NX5" s="30" t="str">
        <f xml:space="preserve"> _xll.EPMOlapMemberO("[PERIODID0].[].[14674]","","19.10.2026","","000")</f>
        <v>19.10.2026</v>
      </c>
      <c r="NY5" s="30" t="str">
        <f xml:space="preserve"> _xll.EPMOlapMemberO("[PERIODID0].[].[14675]","","20.10.2026","","000")</f>
        <v>20.10.2026</v>
      </c>
      <c r="NZ5" s="30" t="str">
        <f xml:space="preserve"> _xll.EPMOlapMemberO("[PERIODID0].[].[14676]","","21.10.2026","","000")</f>
        <v>21.10.2026</v>
      </c>
      <c r="OA5" s="30" t="str">
        <f xml:space="preserve"> _xll.EPMOlapMemberO("[PERIODID0].[].[14677]","","22.10.2026","","000")</f>
        <v>22.10.2026</v>
      </c>
      <c r="OB5" s="30" t="str">
        <f xml:space="preserve"> _xll.EPMOlapMemberO("[PERIODID0].[].[14678]","","23.10.2026","","000")</f>
        <v>23.10.2026</v>
      </c>
      <c r="OC5" s="30" t="str">
        <f xml:space="preserve"> _xll.EPMOlapMemberO("[PERIODID0].[].[14679]","","24.10.2026","","000")</f>
        <v>24.10.2026</v>
      </c>
      <c r="OD5" s="30" t="str">
        <f xml:space="preserve"> _xll.EPMOlapMemberO("[PERIODID0].[].[14680]","","25.10.2026","","000")</f>
        <v>25.10.2026</v>
      </c>
      <c r="OE5" s="30" t="str">
        <f xml:space="preserve"> _xll.EPMOlapMemberO("[PERIODID0].[].[14681]","","26.10.2026","","000")</f>
        <v>26.10.2026</v>
      </c>
      <c r="OF5" s="30" t="str">
        <f xml:space="preserve"> _xll.EPMOlapMemberO("[PERIODID0].[].[14682]","","27.10.2026","","000")</f>
        <v>27.10.2026</v>
      </c>
      <c r="OG5" s="30" t="str">
        <f xml:space="preserve"> _xll.EPMOlapMemberO("[PERIODID0].[].[14683]","","28.10.2026","","000")</f>
        <v>28.10.2026</v>
      </c>
      <c r="OH5" s="30" t="str">
        <f xml:space="preserve"> _xll.EPMOlapMemberO("[PERIODID0].[].[14684]","","29.10.2026","","000")</f>
        <v>29.10.2026</v>
      </c>
      <c r="OI5" s="30" t="str">
        <f xml:space="preserve"> _xll.EPMOlapMemberO("[PERIODID0].[].[14685]","","30.10.2026","","000")</f>
        <v>30.10.2026</v>
      </c>
      <c r="OJ5" s="30" t="str">
        <f xml:space="preserve"> _xll.EPMOlapMemberO("[PERIODID0].[].[14686]","","31.10.2026","","000")</f>
        <v>31.10.2026</v>
      </c>
      <c r="OK5" s="30" t="str">
        <f xml:space="preserve"> _xll.EPMOlapMemberO("[PERIODID0].[].[14687]","","01.11.2026","","000")</f>
        <v>01.11.2026</v>
      </c>
      <c r="OL5" s="30" t="str">
        <f xml:space="preserve"> _xll.EPMOlapMemberO("[PERIODID0].[].[14688]","","02.11.2026","","000")</f>
        <v>02.11.2026</v>
      </c>
      <c r="OM5" s="30" t="str">
        <f xml:space="preserve"> _xll.EPMOlapMemberO("[PERIODID0].[].[14689]","","03.11.2026","","000")</f>
        <v>03.11.2026</v>
      </c>
      <c r="ON5" s="30" t="str">
        <f xml:space="preserve"> _xll.EPMOlapMemberO("[PERIODID0].[].[14690]","","04.11.2026","","000")</f>
        <v>04.11.2026</v>
      </c>
      <c r="OO5" s="30" t="str">
        <f xml:space="preserve"> _xll.EPMOlapMemberO("[PERIODID0].[].[14691]","","05.11.2026","","000")</f>
        <v>05.11.2026</v>
      </c>
      <c r="OP5" s="30" t="str">
        <f xml:space="preserve"> _xll.EPMOlapMemberO("[PERIODID0].[].[14692]","","06.11.2026","","000")</f>
        <v>06.11.2026</v>
      </c>
      <c r="OQ5" s="30" t="str">
        <f xml:space="preserve"> _xll.EPMOlapMemberO("[PERIODID0].[].[14693]","","07.11.2026","","000")</f>
        <v>07.11.2026</v>
      </c>
      <c r="OR5" s="30" t="str">
        <f xml:space="preserve"> _xll.EPMOlapMemberO("[PERIODID0].[].[14694]","","08.11.2026","","000")</f>
        <v>08.11.2026</v>
      </c>
      <c r="OS5" s="30" t="str">
        <f xml:space="preserve"> _xll.EPMOlapMemberO("[PERIODID0].[].[14695]","","09.11.2026","","000")</f>
        <v>09.11.2026</v>
      </c>
      <c r="OT5" s="30" t="str">
        <f xml:space="preserve"> _xll.EPMOlapMemberO("[PERIODID0].[].[14696]","","10.11.2026","","000")</f>
        <v>10.11.2026</v>
      </c>
      <c r="OU5" s="30" t="str">
        <f xml:space="preserve"> _xll.EPMOlapMemberO("[PERIODID0].[].[14697]","","11.11.2026","","000")</f>
        <v>11.11.2026</v>
      </c>
      <c r="OV5" s="30" t="str">
        <f xml:space="preserve"> _xll.EPMOlapMemberO("[PERIODID0].[].[14698]","","12.11.2026","","000")</f>
        <v>12.11.2026</v>
      </c>
      <c r="OW5" s="30" t="str">
        <f xml:space="preserve"> _xll.EPMOlapMemberO("[PERIODID0].[].[14699]","","13.11.2026","","000")</f>
        <v>13.11.2026</v>
      </c>
      <c r="OX5" s="30" t="str">
        <f xml:space="preserve"> _xll.EPMOlapMemberO("[PERIODID0].[].[14700]","","14.11.2026","","000")</f>
        <v>14.11.2026</v>
      </c>
      <c r="OY5" s="30" t="str">
        <f xml:space="preserve"> _xll.EPMOlapMemberO("[PERIODID0].[].[14701]","","15.11.2026","","000")</f>
        <v>15.11.2026</v>
      </c>
      <c r="OZ5" s="30" t="str">
        <f xml:space="preserve"> _xll.EPMOlapMemberO("[PERIODID0].[].[14702]","","16.11.2026","","000")</f>
        <v>16.11.2026</v>
      </c>
      <c r="PA5" s="30" t="str">
        <f xml:space="preserve"> _xll.EPMOlapMemberO("[PERIODID0].[].[14703]","","17.11.2026","","000")</f>
        <v>17.11.2026</v>
      </c>
      <c r="PB5" s="30" t="str">
        <f xml:space="preserve"> _xll.EPMOlapMemberO("[PERIODID0].[].[14704]","","18.11.2026","","000")</f>
        <v>18.11.2026</v>
      </c>
      <c r="PC5" s="30" t="str">
        <f xml:space="preserve"> _xll.EPMOlapMemberO("[PERIODID0].[].[14705]","","19.11.2026","","000")</f>
        <v>19.11.2026</v>
      </c>
      <c r="PD5" s="30" t="str">
        <f xml:space="preserve"> _xll.EPMOlapMemberO("[PERIODID0].[].[14706]","","20.11.2026","","000")</f>
        <v>20.11.2026</v>
      </c>
      <c r="PE5" s="30" t="str">
        <f xml:space="preserve"> _xll.EPMOlapMemberO("[PERIODID0].[].[14707]","","21.11.2026","","000")</f>
        <v>21.11.2026</v>
      </c>
      <c r="PF5" s="30" t="str">
        <f xml:space="preserve"> _xll.EPMOlapMemberO("[PERIODID0].[].[14708]","","22.11.2026","","000")</f>
        <v>22.11.2026</v>
      </c>
      <c r="PG5" s="30" t="str">
        <f xml:space="preserve"> _xll.EPMOlapMemberO("[PERIODID0].[].[14709]","","23.11.2026","","000")</f>
        <v>23.11.2026</v>
      </c>
      <c r="PH5" s="30" t="str">
        <f xml:space="preserve"> _xll.EPMOlapMemberO("[PERIODID0].[].[14710]","","24.11.2026","","000")</f>
        <v>24.11.2026</v>
      </c>
      <c r="PI5" s="30" t="str">
        <f xml:space="preserve"> _xll.EPMOlapMemberO("[PERIODID0].[].[14711]","","25.11.2026","","000")</f>
        <v>25.11.2026</v>
      </c>
      <c r="PJ5" s="30" t="str">
        <f xml:space="preserve"> _xll.EPMOlapMemberO("[PERIODID0].[].[14712]","","26.11.2026","","000")</f>
        <v>26.11.2026</v>
      </c>
      <c r="PK5" s="30" t="str">
        <f xml:space="preserve"> _xll.EPMOlapMemberO("[PERIODID0].[].[14713]","","27.11.2026","","000")</f>
        <v>27.11.2026</v>
      </c>
      <c r="PL5" s="30" t="str">
        <f xml:space="preserve"> _xll.EPMOlapMemberO("[PERIODID0].[].[14714]","","28.11.2026","","000")</f>
        <v>28.11.2026</v>
      </c>
      <c r="PM5" s="30" t="str">
        <f xml:space="preserve"> _xll.EPMOlapMemberO("[PERIODID0].[].[14715]","","29.11.2026","","000")</f>
        <v>29.11.2026</v>
      </c>
      <c r="PN5" s="30" t="str">
        <f xml:space="preserve"> _xll.EPMOlapMemberO("[PERIODID0].[].[14716]","","30.11.2026","","000")</f>
        <v>30.11.2026</v>
      </c>
      <c r="PO5" s="30" t="str">
        <f xml:space="preserve"> _xll.EPMOlapMemberO("[PERIODID0].[].[14717]","","01.12.2026","","000")</f>
        <v>01.12.2026</v>
      </c>
      <c r="PP5" s="30" t="str">
        <f xml:space="preserve"> _xll.EPMOlapMemberO("[PERIODID0].[].[14718]","","02.12.2026","","000")</f>
        <v>02.12.2026</v>
      </c>
      <c r="PQ5" s="30" t="str">
        <f xml:space="preserve"> _xll.EPMOlapMemberO("[PERIODID0].[].[14719]","","03.12.2026","","000")</f>
        <v>03.12.2026</v>
      </c>
      <c r="PR5" s="30" t="str">
        <f xml:space="preserve"> _xll.EPMOlapMemberO("[PERIODID0].[].[14720]","","04.12.2026","","000")</f>
        <v>04.12.2026</v>
      </c>
      <c r="PS5" s="30" t="str">
        <f xml:space="preserve"> _xll.EPMOlapMemberO("[PERIODID0].[].[14721]","","05.12.2026","","000")</f>
        <v>05.12.2026</v>
      </c>
      <c r="PT5" s="30" t="str">
        <f xml:space="preserve"> _xll.EPMOlapMemberO("[PERIODID0].[].[14722]","","06.12.2026","","000")</f>
        <v>06.12.2026</v>
      </c>
      <c r="PU5" s="30" t="str">
        <f xml:space="preserve"> _xll.EPMOlapMemberO("[PERIODID0].[].[14723]","","07.12.2026","","000")</f>
        <v>07.12.2026</v>
      </c>
      <c r="PV5" s="30" t="str">
        <f xml:space="preserve"> _xll.EPMOlapMemberO("[PERIODID0].[].[14724]","","08.12.2026","","000")</f>
        <v>08.12.2026</v>
      </c>
      <c r="PW5" s="30" t="str">
        <f xml:space="preserve"> _xll.EPMOlapMemberO("[PERIODID0].[].[14725]","","09.12.2026","","000")</f>
        <v>09.12.2026</v>
      </c>
      <c r="PX5" s="30" t="str">
        <f xml:space="preserve"> _xll.EPMOlapMemberO("[PERIODID0].[].[14726]","","10.12.2026","","000")</f>
        <v>10.12.2026</v>
      </c>
      <c r="PY5" s="30" t="str">
        <f xml:space="preserve"> _xll.EPMOlapMemberO("[PERIODID0].[].[14727]","","11.12.2026","","000")</f>
        <v>11.12.2026</v>
      </c>
      <c r="PZ5" s="30" t="str">
        <f xml:space="preserve"> _xll.EPMOlapMemberO("[PERIODID0].[].[14728]","","12.12.2026","","000")</f>
        <v>12.12.2026</v>
      </c>
      <c r="QA5" s="30" t="str">
        <f xml:space="preserve"> _xll.EPMOlapMemberO("[PERIODID0].[].[14729]","","13.12.2026","","000")</f>
        <v>13.12.2026</v>
      </c>
      <c r="QB5" s="30" t="str">
        <f xml:space="preserve"> _xll.EPMOlapMemberO("[PERIODID0].[].[14730]","","14.12.2026","","000")</f>
        <v>14.12.2026</v>
      </c>
      <c r="QC5" s="30" t="str">
        <f xml:space="preserve"> _xll.EPMOlapMemberO("[PERIODID0].[].[14731]","","15.12.2026","","000")</f>
        <v>15.12.2026</v>
      </c>
      <c r="QD5" s="30" t="str">
        <f xml:space="preserve"> _xll.EPMOlapMemberO("[PERIODID0].[].[14732]","","16.12.2026","","000")</f>
        <v>16.12.2026</v>
      </c>
      <c r="QE5" s="30" t="str">
        <f xml:space="preserve"> _xll.EPMOlapMemberO("[PERIODID0].[].[14733]","","17.12.2026","","000")</f>
        <v>17.12.2026</v>
      </c>
      <c r="QF5" s="30" t="str">
        <f xml:space="preserve"> _xll.EPMOlapMemberO("[PERIODID0].[].[14734]","","18.12.2026","","000")</f>
        <v>18.12.2026</v>
      </c>
      <c r="QG5" s="30" t="str">
        <f xml:space="preserve"> _xll.EPMOlapMemberO("[PERIODID0].[].[14735]","","19.12.2026","","000")</f>
        <v>19.12.2026</v>
      </c>
      <c r="QH5" s="30" t="str">
        <f xml:space="preserve"> _xll.EPMOlapMemberO("[PERIODID0].[].[14736]","","20.12.2026","","000")</f>
        <v>20.12.2026</v>
      </c>
      <c r="QI5" s="30" t="str">
        <f xml:space="preserve"> _xll.EPMOlapMemberO("[PERIODID0].[].[14737]","","21.12.2026","","000")</f>
        <v>21.12.2026</v>
      </c>
      <c r="QJ5" s="30" t="str">
        <f xml:space="preserve"> _xll.EPMOlapMemberO("[PERIODID0].[].[14738]","","22.12.2026","","000")</f>
        <v>22.12.2026</v>
      </c>
      <c r="QK5" s="30" t="str">
        <f xml:space="preserve"> _xll.EPMOlapMemberO("[PERIODID0].[].[14739]","","23.12.2026","","000")</f>
        <v>23.12.2026</v>
      </c>
      <c r="QL5" s="30" t="str">
        <f xml:space="preserve"> _xll.EPMOlapMemberO("[PERIODID0].[].[14740]","","24.12.2026","","000")</f>
        <v>24.12.2026</v>
      </c>
      <c r="QM5" s="30" t="str">
        <f xml:space="preserve"> _xll.EPMOlapMemberO("[PERIODID0].[].[14741]","","25.12.2026","","000")</f>
        <v>25.12.2026</v>
      </c>
      <c r="QN5" s="30" t="str">
        <f xml:space="preserve"> _xll.EPMOlapMemberO("[PERIODID0].[].[14742]","","26.12.2026","","000")</f>
        <v>26.12.2026</v>
      </c>
      <c r="QO5" s="30" t="str">
        <f xml:space="preserve"> _xll.EPMOlapMemberO("[PERIODID0].[].[14743]","","27.12.2026","","000")</f>
        <v>27.12.2026</v>
      </c>
      <c r="QP5" s="30" t="str">
        <f xml:space="preserve"> _xll.EPMOlapMemberO("[PERIODID0].[].[14744]","","28.12.2026","","000")</f>
        <v>28.12.2026</v>
      </c>
      <c r="QQ5" s="30" t="str">
        <f xml:space="preserve"> _xll.EPMOlapMemberO("[PERIODID0].[].[14745]","","29.12.2026","","000")</f>
        <v>29.12.2026</v>
      </c>
      <c r="QR5" s="30" t="str">
        <f xml:space="preserve"> _xll.EPMOlapMemberO("[PERIODID0].[].[14746]","","30.12.2026","","000")</f>
        <v>30.12.2026</v>
      </c>
      <c r="QS5" s="30" t="str">
        <f xml:space="preserve"> _xll.EPMOlapMemberO("[PERIODID0].[].[14747]","","31.12.2026","","000")</f>
        <v>31.12.2026</v>
      </c>
    </row>
    <row r="6" spans="1:461" x14ac:dyDescent="0.25">
      <c r="F6" s="76" t="str">
        <f xml:space="preserve"> _xll.EPMOlapMemberO("[PRDDESCR].[].[HELGAS GFREE MIXED GRAIN 500G]","","HELGAS GFREE MIXED GRAIN 500G","","000")</f>
        <v>HELGAS GFREE MIXED GRAIN 500G</v>
      </c>
      <c r="G6" s="76" t="str">
        <f xml:space="preserve"> _xll.EPMOlapMemberO("[PRDID].[].[168847]","","168847","","000")</f>
        <v>168847</v>
      </c>
      <c r="H6" s="76" t="str">
        <f xml:space="preserve"> _xll.EPMOlapMemberO("[LOCID].[].[6103]","","6103","","000")</f>
        <v>6103</v>
      </c>
      <c r="I6" s="76" t="str">
        <f xml:space="preserve"> _xll.EPMOlapMemberO("[LOCDESCR].[].[QBA-Canberra]","","QBA-Canberra","","000")</f>
        <v>QBA-Canberra</v>
      </c>
      <c r="J6" s="76" t="str">
        <f xml:space="preserve"> _xll.EPMOlapMemberO("[KEY_FIGURES].[].[ZGFAPPROVEDFCSTQTY]","","Approved Forecast","","000")</f>
        <v>Approved Forecast</v>
      </c>
      <c r="K6" s="77">
        <v>124.59928499999999</v>
      </c>
      <c r="L6" s="77">
        <v>112.123037</v>
      </c>
      <c r="M6" s="77">
        <v>122.478493</v>
      </c>
      <c r="N6" s="77">
        <v>103.21579</v>
      </c>
      <c r="O6" s="77">
        <v>171.27414200000001</v>
      </c>
      <c r="P6" s="77">
        <v>97.705770999999999</v>
      </c>
      <c r="Q6" s="77">
        <v>182.885785</v>
      </c>
      <c r="R6" s="77">
        <v>125.220231</v>
      </c>
      <c r="S6" s="77">
        <v>115.25667300000001</v>
      </c>
      <c r="T6" s="77">
        <v>128.94125700000001</v>
      </c>
      <c r="U6" s="77">
        <v>105.98781200000001</v>
      </c>
      <c r="V6" s="77">
        <v>177.39113599999999</v>
      </c>
      <c r="W6" s="77">
        <v>100.585154</v>
      </c>
      <c r="X6" s="77">
        <v>185.743324</v>
      </c>
      <c r="Y6" s="77">
        <v>126.099463</v>
      </c>
      <c r="Z6" s="77">
        <v>124.363866</v>
      </c>
      <c r="AA6" s="77">
        <v>130.879276</v>
      </c>
      <c r="AB6" s="77">
        <v>110.532912</v>
      </c>
      <c r="AC6" s="77">
        <v>181.23990900000001</v>
      </c>
      <c r="AD6" s="77">
        <v>101.96336100000001</v>
      </c>
      <c r="AE6" s="77"/>
      <c r="AF6" s="77"/>
      <c r="AG6" s="77"/>
      <c r="AH6" s="77"/>
      <c r="AI6" s="77"/>
      <c r="AJ6" s="77"/>
      <c r="AK6" s="77"/>
      <c r="AL6" s="77">
        <v>178.96859699999999</v>
      </c>
      <c r="AM6" s="77">
        <v>115.860862</v>
      </c>
      <c r="AN6" s="77">
        <v>118.309899</v>
      </c>
      <c r="AO6" s="77">
        <v>118.645809</v>
      </c>
      <c r="AP6" s="77">
        <v>104.483935</v>
      </c>
      <c r="AQ6" s="77">
        <v>164.57895099999999</v>
      </c>
      <c r="AR6" s="77">
        <v>95.171754000000007</v>
      </c>
      <c r="AS6" s="77">
        <v>176.515443</v>
      </c>
      <c r="AT6" s="77">
        <v>113.513049</v>
      </c>
      <c r="AU6" s="77">
        <v>116.623144</v>
      </c>
      <c r="AV6" s="77">
        <v>116.36110499999999</v>
      </c>
      <c r="AW6" s="77">
        <v>102.89873299999999</v>
      </c>
      <c r="AX6" s="77">
        <v>159.600121</v>
      </c>
      <c r="AY6" s="77">
        <v>91.148133000000001</v>
      </c>
      <c r="AZ6" s="77">
        <v>161.65985599999999</v>
      </c>
      <c r="BA6" s="77">
        <v>107.821637</v>
      </c>
      <c r="BB6" s="77">
        <v>110.847368</v>
      </c>
      <c r="BC6" s="77">
        <v>109.089978</v>
      </c>
      <c r="BD6" s="77">
        <v>98.872885999999994</v>
      </c>
      <c r="BE6" s="77">
        <v>151.90337099999999</v>
      </c>
      <c r="BF6" s="77">
        <v>88.131985999999998</v>
      </c>
      <c r="BG6" s="77">
        <v>183.309068</v>
      </c>
      <c r="BH6" s="77">
        <v>121.453909</v>
      </c>
      <c r="BI6" s="77">
        <v>122.113471</v>
      </c>
      <c r="BJ6" s="77">
        <v>124.280511</v>
      </c>
      <c r="BK6" s="77">
        <v>112.01445699999999</v>
      </c>
      <c r="BL6" s="77">
        <v>170.452474</v>
      </c>
      <c r="BM6" s="77">
        <v>100.82561800000001</v>
      </c>
      <c r="BN6" s="77">
        <v>181.74616700000001</v>
      </c>
      <c r="BO6" s="77">
        <v>120.90436699999999</v>
      </c>
      <c r="BP6" s="77">
        <v>120.318487</v>
      </c>
      <c r="BQ6" s="77">
        <v>123.612719</v>
      </c>
      <c r="BR6" s="77">
        <v>107.824855</v>
      </c>
      <c r="BS6" s="77">
        <v>170.25193200000001</v>
      </c>
      <c r="BT6" s="77">
        <v>102.234335</v>
      </c>
      <c r="BU6" s="77">
        <v>174.31560300000001</v>
      </c>
      <c r="BV6" s="77">
        <v>117.807518</v>
      </c>
      <c r="BW6" s="77">
        <v>117.978962</v>
      </c>
      <c r="BX6" s="77">
        <v>121.789118</v>
      </c>
      <c r="BY6" s="77">
        <v>105.755472</v>
      </c>
      <c r="BZ6" s="77">
        <v>166.346957</v>
      </c>
      <c r="CA6" s="77">
        <v>97.099757999999994</v>
      </c>
      <c r="CB6" s="77">
        <v>184.33435499999999</v>
      </c>
      <c r="CC6" s="77">
        <v>124.66482999999999</v>
      </c>
      <c r="CD6" s="77">
        <v>122.397306</v>
      </c>
      <c r="CE6" s="77">
        <v>126.84570100000001</v>
      </c>
      <c r="CF6" s="77">
        <v>110.381621</v>
      </c>
      <c r="CG6" s="77">
        <v>175.25186299999999</v>
      </c>
      <c r="CH6" s="77">
        <v>99.899911000000003</v>
      </c>
      <c r="CI6" s="77">
        <v>182.85110599999999</v>
      </c>
      <c r="CJ6" s="77">
        <v>121.47301</v>
      </c>
      <c r="CK6" s="77">
        <v>123.145391</v>
      </c>
      <c r="CL6" s="77">
        <v>128.32315199999999</v>
      </c>
      <c r="CM6" s="77">
        <v>109.46826799999999</v>
      </c>
      <c r="CN6" s="77">
        <v>176.25313700000001</v>
      </c>
      <c r="CO6" s="77">
        <v>99.218513999999999</v>
      </c>
      <c r="CP6" s="77">
        <v>183.54442800000001</v>
      </c>
      <c r="CQ6" s="77">
        <v>120.632931</v>
      </c>
      <c r="CR6" s="77">
        <v>121.323971</v>
      </c>
      <c r="CS6" s="77">
        <v>123.70103899999999</v>
      </c>
      <c r="CT6" s="77">
        <v>108.9295</v>
      </c>
      <c r="CU6" s="77">
        <v>174.541541</v>
      </c>
      <c r="CV6" s="77">
        <v>96.103064000000003</v>
      </c>
      <c r="CW6" s="77">
        <v>173.73914400000001</v>
      </c>
      <c r="CX6" s="77">
        <v>112.93351699999999</v>
      </c>
      <c r="CY6" s="77">
        <v>115.375015</v>
      </c>
      <c r="CZ6" s="77">
        <v>115.04445</v>
      </c>
      <c r="DA6" s="77">
        <v>103.463206</v>
      </c>
      <c r="DB6" s="77">
        <v>163.27241599999999</v>
      </c>
      <c r="DC6" s="77">
        <v>95.354225</v>
      </c>
      <c r="DD6" s="77">
        <v>172.95303799999999</v>
      </c>
      <c r="DE6" s="77">
        <v>111.600955</v>
      </c>
      <c r="DF6" s="77">
        <v>118.662435</v>
      </c>
      <c r="DG6" s="77">
        <v>118.07099599999999</v>
      </c>
      <c r="DH6" s="77">
        <v>105.12220000000001</v>
      </c>
      <c r="DI6" s="77">
        <v>163.19372899999999</v>
      </c>
      <c r="DJ6" s="77">
        <v>94.163920000000005</v>
      </c>
      <c r="DK6" s="77">
        <v>172.417575</v>
      </c>
      <c r="DL6" s="77">
        <v>114.62913</v>
      </c>
      <c r="DM6" s="77">
        <v>114.42446200000001</v>
      </c>
      <c r="DN6" s="77">
        <v>112.43874599999999</v>
      </c>
      <c r="DO6" s="77">
        <v>102.251482</v>
      </c>
      <c r="DP6" s="77">
        <v>157.148416</v>
      </c>
      <c r="DQ6" s="77">
        <v>91.425611000000004</v>
      </c>
      <c r="DR6" s="77">
        <v>171.04871199999999</v>
      </c>
      <c r="DS6" s="77">
        <v>113.414393</v>
      </c>
      <c r="DT6" s="77">
        <v>114.773664</v>
      </c>
      <c r="DU6" s="77">
        <v>117.30136899999999</v>
      </c>
      <c r="DV6" s="77">
        <v>105.931843</v>
      </c>
      <c r="DW6" s="77">
        <v>161.04433800000001</v>
      </c>
      <c r="DX6" s="77">
        <v>95.817237000000006</v>
      </c>
      <c r="DY6" s="77">
        <v>171.49979300000001</v>
      </c>
      <c r="DZ6" s="77">
        <v>114.419411</v>
      </c>
      <c r="EA6" s="77">
        <v>113.157312</v>
      </c>
      <c r="EB6" s="77">
        <v>115.380616</v>
      </c>
      <c r="EC6" s="77">
        <v>101.966701</v>
      </c>
      <c r="ED6" s="77">
        <v>161.018824</v>
      </c>
      <c r="EE6" s="77">
        <v>96.300708999999998</v>
      </c>
      <c r="EF6" s="77">
        <v>178.29557199999999</v>
      </c>
      <c r="EG6" s="77">
        <v>120.686768</v>
      </c>
      <c r="EH6" s="77">
        <v>120.54328099999999</v>
      </c>
      <c r="EI6" s="77">
        <v>123.832007</v>
      </c>
      <c r="EJ6" s="77">
        <v>108.278896</v>
      </c>
      <c r="EK6" s="77">
        <v>170.28198699999999</v>
      </c>
      <c r="EL6" s="77">
        <v>98.893794999999997</v>
      </c>
      <c r="EM6" s="77">
        <v>178.86145200000001</v>
      </c>
      <c r="EN6" s="77">
        <v>120.666248</v>
      </c>
      <c r="EO6" s="77">
        <v>118.141586</v>
      </c>
      <c r="EP6" s="77">
        <v>123.569834</v>
      </c>
      <c r="EQ6" s="77">
        <v>105.897767</v>
      </c>
      <c r="ER6" s="77">
        <v>168.17381800000001</v>
      </c>
      <c r="ES6" s="77">
        <v>95.789198999999996</v>
      </c>
      <c r="ET6" s="77">
        <v>183.82560799999999</v>
      </c>
      <c r="EU6" s="77">
        <v>121.80353700000001</v>
      </c>
      <c r="EV6" s="77">
        <v>123.83855699999999</v>
      </c>
      <c r="EW6" s="77">
        <v>129.51012299999999</v>
      </c>
      <c r="EX6" s="77">
        <v>110.071639</v>
      </c>
      <c r="EY6" s="77">
        <v>177.639556</v>
      </c>
      <c r="EZ6" s="77">
        <v>100.589637</v>
      </c>
      <c r="FA6" s="77">
        <v>184.67340899999999</v>
      </c>
      <c r="FB6" s="77">
        <v>120.65934900000001</v>
      </c>
      <c r="FC6" s="77">
        <v>120.366733</v>
      </c>
      <c r="FD6" s="77">
        <v>122.291414</v>
      </c>
      <c r="FE6" s="77">
        <v>109.635531</v>
      </c>
      <c r="FF6" s="77">
        <v>176.53889799999999</v>
      </c>
      <c r="FG6" s="77">
        <v>99.341127999999998</v>
      </c>
      <c r="FH6" s="77">
        <v>181.23962599999999</v>
      </c>
      <c r="FI6" s="77">
        <v>116.97936900000001</v>
      </c>
      <c r="FJ6" s="77">
        <v>121.84133</v>
      </c>
      <c r="FK6" s="77">
        <v>122.523048</v>
      </c>
      <c r="FL6" s="77">
        <v>108.26183899999999</v>
      </c>
      <c r="FM6" s="77">
        <v>170.87989200000001</v>
      </c>
      <c r="FN6" s="77">
        <v>100.49291700000001</v>
      </c>
      <c r="FO6" s="77">
        <v>180.45632900000001</v>
      </c>
      <c r="FP6" s="77">
        <v>116.138076</v>
      </c>
      <c r="FQ6" s="77">
        <v>121.48831300000001</v>
      </c>
      <c r="FR6" s="77">
        <v>120.626369</v>
      </c>
      <c r="FS6" s="77">
        <v>107.841386</v>
      </c>
      <c r="FT6" s="77">
        <v>167.48396500000001</v>
      </c>
      <c r="FU6" s="77">
        <v>96.254729999999995</v>
      </c>
      <c r="FV6" s="77">
        <v>167.98687799999999</v>
      </c>
      <c r="FW6" s="77">
        <v>111.994139</v>
      </c>
      <c r="FX6" s="77">
        <v>113.20347700000001</v>
      </c>
      <c r="FY6" s="77">
        <v>111.544517</v>
      </c>
      <c r="FZ6" s="77">
        <v>100.82166700000001</v>
      </c>
      <c r="GA6" s="77">
        <v>154.83104700000001</v>
      </c>
      <c r="GB6" s="77">
        <v>89.733546000000004</v>
      </c>
      <c r="GC6" s="77">
        <v>164.65234699999999</v>
      </c>
      <c r="GD6" s="77">
        <v>109.54906200000001</v>
      </c>
      <c r="GE6" s="77">
        <v>115.067651</v>
      </c>
      <c r="GF6" s="77">
        <v>117.546092</v>
      </c>
      <c r="GG6" s="77">
        <v>106.41294000000001</v>
      </c>
      <c r="GH6" s="77">
        <v>161.80825999999999</v>
      </c>
      <c r="GI6" s="77">
        <v>96.709008999999995</v>
      </c>
      <c r="GJ6" s="77">
        <v>175.06785199999999</v>
      </c>
      <c r="GK6" s="77">
        <v>116.764875</v>
      </c>
      <c r="GL6" s="77">
        <v>112.356336</v>
      </c>
      <c r="GM6" s="77">
        <v>113.803635</v>
      </c>
      <c r="GN6" s="77">
        <v>101.65281</v>
      </c>
      <c r="GO6" s="77">
        <v>160.567443</v>
      </c>
      <c r="GP6" s="77">
        <v>95.870568000000006</v>
      </c>
      <c r="GQ6" s="77">
        <v>172.34133600000001</v>
      </c>
      <c r="GR6" s="77">
        <v>116.696926</v>
      </c>
      <c r="GS6" s="77">
        <v>115.57002300000001</v>
      </c>
      <c r="GT6" s="77">
        <v>118.389236</v>
      </c>
      <c r="GU6" s="77">
        <v>104.149224</v>
      </c>
      <c r="GV6" s="77">
        <v>163.88451900000001</v>
      </c>
      <c r="GW6" s="77">
        <v>95.482438000000002</v>
      </c>
      <c r="GX6" s="77">
        <v>179.67113000000001</v>
      </c>
      <c r="GY6" s="77">
        <v>121.210706</v>
      </c>
      <c r="GZ6" s="77">
        <v>119.901605</v>
      </c>
      <c r="HA6" s="77">
        <v>124.95487900000001</v>
      </c>
      <c r="HB6" s="77">
        <v>108.608526</v>
      </c>
      <c r="HC6" s="77">
        <v>173.04227499999999</v>
      </c>
      <c r="HD6" s="77">
        <v>100.493746</v>
      </c>
      <c r="HE6" s="77">
        <v>175.95600400000001</v>
      </c>
      <c r="HF6" s="77">
        <v>116.694335</v>
      </c>
      <c r="HG6" s="77">
        <v>118.360911</v>
      </c>
      <c r="HH6" s="77">
        <v>123.13667700000001</v>
      </c>
      <c r="HI6" s="77">
        <v>105.792447</v>
      </c>
      <c r="HJ6" s="77">
        <v>170.78764799999999</v>
      </c>
      <c r="HK6" s="77">
        <v>97.200021000000007</v>
      </c>
      <c r="HL6" s="77">
        <v>171.92571100000001</v>
      </c>
      <c r="HM6" s="77">
        <v>112.67360499999999</v>
      </c>
      <c r="HN6" s="77">
        <v>114.570961</v>
      </c>
      <c r="HO6" s="77">
        <v>116.900841</v>
      </c>
      <c r="HP6" s="77">
        <v>103.736486</v>
      </c>
      <c r="HQ6" s="77">
        <v>166.846226</v>
      </c>
      <c r="HR6" s="77">
        <v>93.081267999999994</v>
      </c>
      <c r="HS6" s="77">
        <v>178.44045299999999</v>
      </c>
      <c r="HT6" s="77">
        <v>115.920827</v>
      </c>
      <c r="HU6" s="77">
        <v>114.61682500000001</v>
      </c>
      <c r="HV6" s="77">
        <v>114.95629099999999</v>
      </c>
      <c r="HW6" s="77">
        <v>101.73338200000001</v>
      </c>
      <c r="HX6" s="77">
        <v>160.26890700000001</v>
      </c>
      <c r="HY6" s="77">
        <v>92.656612999999993</v>
      </c>
      <c r="HZ6" s="77">
        <v>184.98204100000001</v>
      </c>
      <c r="IA6" s="77">
        <v>118.616178</v>
      </c>
      <c r="IB6" s="77">
        <v>124.861474</v>
      </c>
      <c r="IC6" s="77">
        <v>124.15459300000001</v>
      </c>
      <c r="ID6" s="77">
        <v>110.70145100000001</v>
      </c>
      <c r="IE6" s="77">
        <v>171.88968399999999</v>
      </c>
      <c r="IF6" s="77">
        <v>99.044577000000004</v>
      </c>
      <c r="IG6" s="77">
        <v>185.59585000000001</v>
      </c>
      <c r="IH6" s="77">
        <v>123.625669</v>
      </c>
      <c r="II6" s="77">
        <v>127.511897</v>
      </c>
      <c r="IJ6" s="77">
        <v>125.148839</v>
      </c>
      <c r="IK6" s="77">
        <v>114.09391599999999</v>
      </c>
      <c r="IL6" s="77">
        <v>175.299767</v>
      </c>
      <c r="IM6" s="77">
        <v>102.62309</v>
      </c>
      <c r="IN6" s="77">
        <v>193.73686599999999</v>
      </c>
      <c r="IO6" s="77">
        <v>128.05963600000001</v>
      </c>
      <c r="IP6" s="77">
        <v>131.066192</v>
      </c>
      <c r="IQ6" s="77">
        <v>134.31916000000001</v>
      </c>
      <c r="IR6" s="77">
        <v>121.26691700000001</v>
      </c>
      <c r="IS6" s="77">
        <v>184.017145</v>
      </c>
      <c r="IT6" s="77">
        <v>110.588689</v>
      </c>
      <c r="IU6" s="77">
        <v>194.35393400000001</v>
      </c>
      <c r="IV6" s="77">
        <v>129.706503</v>
      </c>
      <c r="IW6" s="77">
        <v>129.49889099999999</v>
      </c>
      <c r="IX6" s="77">
        <v>131.125643</v>
      </c>
      <c r="IY6" s="77">
        <v>118.082954</v>
      </c>
      <c r="IZ6" s="77">
        <v>187.029459</v>
      </c>
      <c r="JA6" s="77">
        <v>114.164483</v>
      </c>
      <c r="JB6" s="77">
        <v>190.01836299999999</v>
      </c>
      <c r="JC6" s="77">
        <v>128.542936</v>
      </c>
      <c r="JD6" s="77">
        <v>127.910797</v>
      </c>
      <c r="JE6" s="77">
        <v>130.19414</v>
      </c>
      <c r="JF6" s="77">
        <v>114.260938</v>
      </c>
      <c r="JG6" s="77">
        <v>179.60965400000001</v>
      </c>
      <c r="JH6" s="77">
        <v>103.68039</v>
      </c>
      <c r="JI6" s="77">
        <v>187.47451100000001</v>
      </c>
      <c r="JJ6" s="77">
        <v>126.70299</v>
      </c>
      <c r="JK6" s="77">
        <v>126.519783</v>
      </c>
      <c r="JL6" s="77">
        <v>131.30820600000001</v>
      </c>
      <c r="JM6" s="77">
        <v>113.756364</v>
      </c>
      <c r="JN6" s="77">
        <v>180.68755200000001</v>
      </c>
      <c r="JO6" s="77">
        <v>103.24995800000001</v>
      </c>
      <c r="JP6" s="77">
        <v>191.07980499999999</v>
      </c>
      <c r="JQ6" s="77">
        <v>126.863259</v>
      </c>
      <c r="JR6" s="77">
        <v>131.251834</v>
      </c>
      <c r="JS6" s="77">
        <v>136.13650799999999</v>
      </c>
      <c r="JT6" s="77">
        <v>115.959807</v>
      </c>
      <c r="JU6" s="77">
        <v>186.22280499999999</v>
      </c>
      <c r="JV6" s="77">
        <v>103.919549</v>
      </c>
      <c r="JW6" s="77">
        <v>150.579543</v>
      </c>
      <c r="JX6" s="77">
        <v>163.42433500000001</v>
      </c>
      <c r="JY6" s="77">
        <v>110.715828</v>
      </c>
      <c r="JZ6" s="77">
        <v>120.157653</v>
      </c>
      <c r="KA6" s="77">
        <v>91.674058000000002</v>
      </c>
      <c r="KB6" s="77">
        <v>154.299914</v>
      </c>
      <c r="KC6" s="77">
        <v>150.48826500000001</v>
      </c>
      <c r="KD6" s="77">
        <v>130.05675299999999</v>
      </c>
      <c r="KE6" s="77">
        <v>127.20509699999999</v>
      </c>
      <c r="KF6" s="77">
        <v>130.59195199999999</v>
      </c>
      <c r="KG6" s="77">
        <v>130.528559</v>
      </c>
      <c r="KH6" s="77">
        <v>123.86533</v>
      </c>
      <c r="KI6" s="77">
        <v>129.08874900000001</v>
      </c>
      <c r="KJ6" s="77">
        <v>130.64202299999999</v>
      </c>
      <c r="KK6" s="77">
        <v>135.87898000000001</v>
      </c>
      <c r="KL6" s="77">
        <v>131.85439400000001</v>
      </c>
      <c r="KM6" s="77">
        <v>139.89606699999999</v>
      </c>
      <c r="KN6" s="77">
        <v>138.22002800000001</v>
      </c>
      <c r="KO6" s="77">
        <v>132.56124500000001</v>
      </c>
      <c r="KP6" s="77">
        <v>136.01272599999999</v>
      </c>
      <c r="KQ6" s="77">
        <v>137.09735699999999</v>
      </c>
      <c r="KR6" s="77">
        <v>130.47900100000001</v>
      </c>
      <c r="KS6" s="77">
        <v>131.39710700000001</v>
      </c>
      <c r="KT6" s="77">
        <v>136.472295</v>
      </c>
      <c r="KU6" s="77">
        <v>133.97215</v>
      </c>
      <c r="KV6" s="77">
        <v>129.804936</v>
      </c>
      <c r="KW6" s="77">
        <v>131.95020099999999</v>
      </c>
      <c r="KX6" s="77">
        <v>134.21827300000001</v>
      </c>
      <c r="KY6" s="77">
        <v>132.11628400000001</v>
      </c>
      <c r="KZ6" s="77">
        <v>132.55586099999999</v>
      </c>
      <c r="LA6" s="77">
        <v>136.58426700000001</v>
      </c>
      <c r="LB6" s="77">
        <v>138.767854</v>
      </c>
      <c r="LC6" s="77">
        <v>134.44253800000001</v>
      </c>
      <c r="LD6" s="77">
        <v>135.32622499999999</v>
      </c>
      <c r="LE6" s="77">
        <v>139.480321</v>
      </c>
      <c r="LF6" s="77">
        <v>131.69515999999999</v>
      </c>
      <c r="LG6" s="77">
        <v>133.39879199999999</v>
      </c>
      <c r="LH6" s="77">
        <v>136.64367899999999</v>
      </c>
      <c r="LI6" s="77">
        <v>138.34475800000001</v>
      </c>
      <c r="LJ6" s="77">
        <v>131.31411600000001</v>
      </c>
      <c r="LK6" s="77">
        <v>137.21595199999999</v>
      </c>
      <c r="LL6" s="77">
        <v>141.25410500000001</v>
      </c>
      <c r="LM6" s="77">
        <v>127.27397499999999</v>
      </c>
      <c r="LN6" s="77">
        <v>130.70830000000001</v>
      </c>
      <c r="LO6" s="77">
        <v>129.72449</v>
      </c>
      <c r="LP6" s="77">
        <v>132.44641799999999</v>
      </c>
      <c r="LQ6" s="77">
        <v>124.56738300000001</v>
      </c>
      <c r="LR6" s="77">
        <v>129.20080400000001</v>
      </c>
      <c r="LS6" s="77">
        <v>130.50772000000001</v>
      </c>
      <c r="LT6" s="77">
        <v>125.567808</v>
      </c>
      <c r="LU6" s="77">
        <v>128.512821</v>
      </c>
      <c r="LV6" s="77">
        <v>128.21214000000001</v>
      </c>
      <c r="LW6" s="77">
        <v>132.476823</v>
      </c>
      <c r="LX6" s="77">
        <v>122.72386899999999</v>
      </c>
      <c r="LY6" s="77">
        <v>128.915874</v>
      </c>
      <c r="LZ6" s="77">
        <v>128.561519</v>
      </c>
      <c r="MA6" s="77">
        <v>125.89023299999999</v>
      </c>
      <c r="MB6" s="77">
        <v>126.609971</v>
      </c>
      <c r="MC6" s="77">
        <v>134.47657100000001</v>
      </c>
      <c r="MD6" s="77">
        <v>139.02424199999999</v>
      </c>
      <c r="ME6" s="77">
        <v>127.68927100000001</v>
      </c>
      <c r="MF6" s="77">
        <v>135.82284899999999</v>
      </c>
      <c r="MG6" s="77">
        <v>133.63096300000001</v>
      </c>
      <c r="MH6" s="77">
        <v>129.062637</v>
      </c>
      <c r="MI6" s="77">
        <v>127.588599</v>
      </c>
      <c r="MJ6" s="77">
        <v>126.47573199999999</v>
      </c>
      <c r="MK6" s="77">
        <v>128.28745900000001</v>
      </c>
      <c r="ML6" s="77">
        <v>122.659389</v>
      </c>
      <c r="MM6" s="77">
        <v>130.30821</v>
      </c>
      <c r="MN6" s="77">
        <v>126.599076</v>
      </c>
      <c r="MO6" s="77">
        <v>133.80169900000001</v>
      </c>
      <c r="MP6" s="77">
        <v>130.85003800000001</v>
      </c>
      <c r="MQ6" s="77">
        <v>135.542745</v>
      </c>
      <c r="MR6" s="77">
        <v>135.35911400000001</v>
      </c>
      <c r="MS6" s="77">
        <v>128.89340000000001</v>
      </c>
      <c r="MT6" s="77">
        <v>134.007609</v>
      </c>
      <c r="MU6" s="77">
        <v>135.56998999999999</v>
      </c>
      <c r="MV6" s="77">
        <v>127.66041800000001</v>
      </c>
      <c r="MW6" s="77">
        <v>123.991845</v>
      </c>
      <c r="MX6" s="77">
        <v>132.48022</v>
      </c>
      <c r="MY6" s="77">
        <v>130.909817</v>
      </c>
      <c r="MZ6" s="77">
        <v>125.57498200000001</v>
      </c>
      <c r="NA6" s="77">
        <v>128.830624</v>
      </c>
      <c r="NB6" s="77">
        <v>129.85205300000001</v>
      </c>
      <c r="NC6" s="77">
        <v>132.995735</v>
      </c>
      <c r="ND6" s="77">
        <v>133.98302000000001</v>
      </c>
      <c r="NE6" s="77">
        <v>137.874593</v>
      </c>
      <c r="NF6" s="77">
        <v>134.79939400000001</v>
      </c>
      <c r="NG6" s="77">
        <v>131.49369100000001</v>
      </c>
      <c r="NH6" s="77">
        <v>132.943253</v>
      </c>
      <c r="NI6" s="77">
        <v>135.29555099999999</v>
      </c>
      <c r="NJ6" s="77">
        <v>122.603737</v>
      </c>
      <c r="NK6" s="77">
        <v>123.03771399999999</v>
      </c>
      <c r="NL6" s="77">
        <v>127.09193999999999</v>
      </c>
      <c r="NM6" s="77">
        <v>129.24678</v>
      </c>
      <c r="NN6" s="77">
        <v>124.514031</v>
      </c>
      <c r="NO6" s="77">
        <v>125.876638</v>
      </c>
      <c r="NP6" s="77">
        <v>129.76484400000001</v>
      </c>
      <c r="NQ6" s="77">
        <v>127.402683</v>
      </c>
      <c r="NR6" s="77">
        <v>129.12615299999999</v>
      </c>
      <c r="NS6" s="77">
        <v>130.376812</v>
      </c>
      <c r="NT6" s="77">
        <v>131.91189299999999</v>
      </c>
      <c r="NU6" s="77">
        <v>125.66562</v>
      </c>
      <c r="NV6" s="77">
        <v>131.01150200000001</v>
      </c>
      <c r="NW6" s="77">
        <v>134.92726200000001</v>
      </c>
      <c r="NX6" s="77">
        <v>129.36870300000001</v>
      </c>
      <c r="NY6" s="77">
        <v>133.034167</v>
      </c>
      <c r="NZ6" s="77">
        <v>133.40056200000001</v>
      </c>
      <c r="OA6" s="77">
        <v>136.28462500000001</v>
      </c>
      <c r="OB6" s="77">
        <v>128.24802600000001</v>
      </c>
      <c r="OC6" s="77">
        <v>132.883601</v>
      </c>
      <c r="OD6" s="77">
        <v>134.24202299999999</v>
      </c>
      <c r="OE6" s="77">
        <v>129.48683500000001</v>
      </c>
      <c r="OF6" s="77">
        <v>133.05250899999999</v>
      </c>
      <c r="OG6" s="77">
        <v>131.618537</v>
      </c>
      <c r="OH6" s="77">
        <v>136.45850300000001</v>
      </c>
      <c r="OI6" s="77">
        <v>126.522391</v>
      </c>
      <c r="OJ6" s="77">
        <v>132.68467100000001</v>
      </c>
      <c r="OK6" s="77">
        <v>131.95256699999999</v>
      </c>
      <c r="OL6" s="77">
        <v>125.47836700000001</v>
      </c>
      <c r="OM6" s="77">
        <v>126.210882</v>
      </c>
      <c r="ON6" s="77">
        <v>136.72741300000001</v>
      </c>
      <c r="OO6" s="77">
        <v>141.60101299999999</v>
      </c>
      <c r="OP6" s="77">
        <v>130.00407200000001</v>
      </c>
      <c r="OQ6" s="77">
        <v>138.34375299999999</v>
      </c>
      <c r="OR6" s="77">
        <v>135.72309000000001</v>
      </c>
      <c r="OS6" s="77">
        <v>130.08463800000001</v>
      </c>
      <c r="OT6" s="77">
        <v>128.74161100000001</v>
      </c>
      <c r="OU6" s="77">
        <v>126.05122900000001</v>
      </c>
      <c r="OV6" s="77">
        <v>127.923344</v>
      </c>
      <c r="OW6" s="77">
        <v>121.657214</v>
      </c>
      <c r="OX6" s="77">
        <v>129.321381</v>
      </c>
      <c r="OY6" s="77">
        <v>126.219615</v>
      </c>
      <c r="OZ6" s="77">
        <v>118.43174999999999</v>
      </c>
      <c r="PA6" s="77">
        <v>116.077302</v>
      </c>
      <c r="PB6" s="77">
        <v>120.19316499999999</v>
      </c>
      <c r="PC6" s="77">
        <v>120.186103</v>
      </c>
      <c r="PD6" s="77">
        <v>114.29365300000001</v>
      </c>
      <c r="PE6" s="77">
        <v>118.894542</v>
      </c>
      <c r="PF6" s="77">
        <v>120.246005</v>
      </c>
      <c r="PG6" s="77">
        <v>136.040829</v>
      </c>
      <c r="PH6" s="77">
        <v>131.87811500000001</v>
      </c>
      <c r="PI6" s="77">
        <v>137.09624199999999</v>
      </c>
      <c r="PJ6" s="77">
        <v>135.49520699999999</v>
      </c>
      <c r="PK6" s="77">
        <v>130.03089499999999</v>
      </c>
      <c r="PL6" s="77">
        <v>133.36691999999999</v>
      </c>
      <c r="PM6" s="77">
        <v>134.41228599999999</v>
      </c>
      <c r="PN6" s="77">
        <v>130.504133</v>
      </c>
      <c r="PO6" s="77">
        <v>131.55282800000001</v>
      </c>
      <c r="PP6" s="77">
        <v>140.25007500000001</v>
      </c>
      <c r="PQ6" s="77">
        <v>136.52406199999999</v>
      </c>
      <c r="PR6" s="77">
        <v>133.305701</v>
      </c>
      <c r="PS6" s="77">
        <v>134.547875</v>
      </c>
      <c r="PT6" s="77">
        <v>137.20885899999999</v>
      </c>
      <c r="PU6" s="77">
        <v>127.017927</v>
      </c>
      <c r="PV6" s="77">
        <v>127.43219000000001</v>
      </c>
      <c r="PW6" s="77">
        <v>131.07337999999999</v>
      </c>
      <c r="PX6" s="77">
        <v>133.13312300000001</v>
      </c>
      <c r="PY6" s="77">
        <v>129.98782199999999</v>
      </c>
      <c r="PZ6" s="77">
        <v>129.83399399999999</v>
      </c>
      <c r="QA6" s="77">
        <v>134.17762999999999</v>
      </c>
      <c r="QB6" s="77">
        <v>131.960398</v>
      </c>
      <c r="QC6" s="77">
        <v>133.63699600000001</v>
      </c>
      <c r="QD6" s="77">
        <v>135.29315299999999</v>
      </c>
      <c r="QE6" s="77">
        <v>136.77703199999999</v>
      </c>
      <c r="QF6" s="77">
        <v>130.77506099999999</v>
      </c>
      <c r="QG6" s="77">
        <v>135.949915</v>
      </c>
      <c r="QH6" s="77">
        <v>139.83449899999999</v>
      </c>
      <c r="QI6" s="77">
        <v>131.26897500000001</v>
      </c>
      <c r="QJ6" s="77">
        <v>134.894463</v>
      </c>
      <c r="QK6" s="77">
        <v>134.965082</v>
      </c>
      <c r="QL6" s="77">
        <v>137.859656</v>
      </c>
      <c r="QM6" s="77">
        <v>129.535732</v>
      </c>
      <c r="QN6" s="77">
        <v>134.414861</v>
      </c>
      <c r="QO6" s="77">
        <v>135.800037</v>
      </c>
      <c r="QP6" s="77">
        <v>130.86504199999999</v>
      </c>
      <c r="QQ6" s="77">
        <v>134.044456</v>
      </c>
      <c r="QR6" s="77">
        <v>133.56294800000001</v>
      </c>
      <c r="QS6" s="77">
        <v>138.11963299999999</v>
      </c>
    </row>
    <row r="7" spans="1:461" x14ac:dyDescent="0.25">
      <c r="F7" s="76" t="str">
        <f xml:space="preserve"> _xll.EPMOlapMemberO("[PRDDESCR].[].[HELGAS GFREE MIXED GRAIN 500G]","","HELGAS GFREE MIXED GRAIN 500G","","000")</f>
        <v>HELGAS GFREE MIXED GRAIN 500G</v>
      </c>
      <c r="G7" s="76" t="str">
        <f xml:space="preserve"> _xll.EPMOlapMemberO("[PRDID].[].[168847]","","168847","","000")</f>
        <v>168847</v>
      </c>
      <c r="H7" s="76" t="str">
        <f xml:space="preserve"> _xll.EPMOlapMemberO("[LOCID].[].[6104]","","6104","","000")</f>
        <v>6104</v>
      </c>
      <c r="I7" s="76" t="str">
        <f xml:space="preserve"> _xll.EPMOlapMemberO("[LOCDESCR].[].[QBA-Moorebank]","","QBA-Moorebank","","000")</f>
        <v>QBA-Moorebank</v>
      </c>
      <c r="J7" s="76" t="str">
        <f xml:space="preserve"> _xll.EPMOlapMemberO("[KEY_FIGURES].[].[ZGFAPPROVEDFCSTQTY]","","Approved Forecast","","000")</f>
        <v>Approved Forecast</v>
      </c>
      <c r="K7" s="77">
        <v>404.573397</v>
      </c>
      <c r="L7" s="77">
        <v>506.64504299999999</v>
      </c>
      <c r="M7" s="77">
        <v>363.91781099999997</v>
      </c>
      <c r="N7" s="77">
        <v>480.41171600000001</v>
      </c>
      <c r="O7" s="77">
        <v>307.74583100000001</v>
      </c>
      <c r="P7" s="77">
        <v>295.07731999999999</v>
      </c>
      <c r="Q7" s="77">
        <v>894.62105199999996</v>
      </c>
      <c r="R7" s="77">
        <v>405.16395499999999</v>
      </c>
      <c r="S7" s="77">
        <v>516.22182699999996</v>
      </c>
      <c r="T7" s="77">
        <v>387.97821800000003</v>
      </c>
      <c r="U7" s="77">
        <v>495.66237899999999</v>
      </c>
      <c r="V7" s="77">
        <v>322.75389100000001</v>
      </c>
      <c r="W7" s="77">
        <v>302.76667700000002</v>
      </c>
      <c r="X7" s="77">
        <v>924.53396599999996</v>
      </c>
      <c r="Y7" s="77">
        <v>419.76220799999999</v>
      </c>
      <c r="Z7" s="77">
        <v>535.79559900000004</v>
      </c>
      <c r="AA7" s="77">
        <v>402.371892</v>
      </c>
      <c r="AB7" s="77">
        <v>527.82471499999997</v>
      </c>
      <c r="AC7" s="77">
        <v>319.24970000000002</v>
      </c>
      <c r="AD7" s="77">
        <v>300.50525699999997</v>
      </c>
      <c r="AE7" s="77"/>
      <c r="AF7" s="77"/>
      <c r="AG7" s="77"/>
      <c r="AH7" s="77"/>
      <c r="AI7" s="77"/>
      <c r="AJ7" s="77"/>
      <c r="AK7" s="77"/>
      <c r="AL7" s="77">
        <v>958.90015000000005</v>
      </c>
      <c r="AM7" s="77">
        <v>394.49373100000003</v>
      </c>
      <c r="AN7" s="77">
        <v>491.014884</v>
      </c>
      <c r="AO7" s="77">
        <v>371.40927599999998</v>
      </c>
      <c r="AP7" s="77">
        <v>486.75178099999999</v>
      </c>
      <c r="AQ7" s="77">
        <v>286.22021699999999</v>
      </c>
      <c r="AR7" s="77">
        <v>261.533951</v>
      </c>
      <c r="AS7" s="77">
        <v>918.26680099999999</v>
      </c>
      <c r="AT7" s="77">
        <v>398.60520500000001</v>
      </c>
      <c r="AU7" s="77">
        <v>494.43840499999999</v>
      </c>
      <c r="AV7" s="77">
        <v>377.30345299999999</v>
      </c>
      <c r="AW7" s="77">
        <v>496.31311099999999</v>
      </c>
      <c r="AX7" s="77">
        <v>294.80291099999999</v>
      </c>
      <c r="AY7" s="77">
        <v>265.894543</v>
      </c>
      <c r="AZ7" s="77">
        <v>877.99417700000004</v>
      </c>
      <c r="BA7" s="77">
        <v>388.34436799999997</v>
      </c>
      <c r="BB7" s="77">
        <v>489.88835</v>
      </c>
      <c r="BC7" s="77">
        <v>374.03829400000001</v>
      </c>
      <c r="BD7" s="77">
        <v>491.06620700000002</v>
      </c>
      <c r="BE7" s="77">
        <v>291.480143</v>
      </c>
      <c r="BF7" s="77">
        <v>265.65183100000002</v>
      </c>
      <c r="BG7" s="77">
        <v>935.18890299999998</v>
      </c>
      <c r="BH7" s="77">
        <v>407.23992700000002</v>
      </c>
      <c r="BI7" s="77">
        <v>499.63970899999998</v>
      </c>
      <c r="BJ7" s="77">
        <v>379.698464</v>
      </c>
      <c r="BK7" s="77">
        <v>498.96413899999999</v>
      </c>
      <c r="BL7" s="77">
        <v>290.86621500000001</v>
      </c>
      <c r="BM7" s="77">
        <v>268.46699599999999</v>
      </c>
      <c r="BN7" s="77">
        <v>877.35874000000001</v>
      </c>
      <c r="BO7" s="77">
        <v>396.14715899999999</v>
      </c>
      <c r="BP7" s="77">
        <v>492.17551400000002</v>
      </c>
      <c r="BQ7" s="77">
        <v>376.65988700000003</v>
      </c>
      <c r="BR7" s="77">
        <v>495.96410900000001</v>
      </c>
      <c r="BS7" s="77">
        <v>292.761799</v>
      </c>
      <c r="BT7" s="77">
        <v>266.04858899999999</v>
      </c>
      <c r="BU7" s="77">
        <v>873.58489099999997</v>
      </c>
      <c r="BV7" s="77">
        <v>385.71612099999999</v>
      </c>
      <c r="BW7" s="77">
        <v>499.33987500000001</v>
      </c>
      <c r="BX7" s="77">
        <v>380.58128900000003</v>
      </c>
      <c r="BY7" s="77">
        <v>500.62135499999999</v>
      </c>
      <c r="BZ7" s="77">
        <v>297.104285</v>
      </c>
      <c r="CA7" s="77">
        <v>271.27245199999999</v>
      </c>
      <c r="CB7" s="77">
        <v>866.44689900000003</v>
      </c>
      <c r="CC7" s="77">
        <v>391.39499499999999</v>
      </c>
      <c r="CD7" s="77">
        <v>490.493064</v>
      </c>
      <c r="CE7" s="77">
        <v>376.53008199999999</v>
      </c>
      <c r="CF7" s="77">
        <v>493.76992899999999</v>
      </c>
      <c r="CG7" s="77">
        <v>285.26678399999997</v>
      </c>
      <c r="CH7" s="77">
        <v>264.593343</v>
      </c>
      <c r="CI7" s="77">
        <v>908.62936999999999</v>
      </c>
      <c r="CJ7" s="77">
        <v>396.92773899999997</v>
      </c>
      <c r="CK7" s="77">
        <v>498.70003500000001</v>
      </c>
      <c r="CL7" s="77">
        <v>374.89853599999998</v>
      </c>
      <c r="CM7" s="77">
        <v>496.10497700000002</v>
      </c>
      <c r="CN7" s="77">
        <v>295.23187300000001</v>
      </c>
      <c r="CO7" s="77">
        <v>269.21636899999999</v>
      </c>
      <c r="CP7" s="77">
        <v>860.73683300000005</v>
      </c>
      <c r="CQ7" s="77">
        <v>382.35761600000001</v>
      </c>
      <c r="CR7" s="77">
        <v>488.43838699999998</v>
      </c>
      <c r="CS7" s="77">
        <v>366.39295299999998</v>
      </c>
      <c r="CT7" s="77">
        <v>484.01208400000002</v>
      </c>
      <c r="CU7" s="77">
        <v>287.80771800000002</v>
      </c>
      <c r="CV7" s="77">
        <v>265.31208299999997</v>
      </c>
      <c r="CW7" s="77">
        <v>925.50144399999999</v>
      </c>
      <c r="CX7" s="77">
        <v>398.24064600000003</v>
      </c>
      <c r="CY7" s="77">
        <v>500.871422</v>
      </c>
      <c r="CZ7" s="77">
        <v>378.27533399999999</v>
      </c>
      <c r="DA7" s="77">
        <v>497.97288500000002</v>
      </c>
      <c r="DB7" s="77">
        <v>291.08282300000002</v>
      </c>
      <c r="DC7" s="77">
        <v>269.05070999999998</v>
      </c>
      <c r="DD7" s="77">
        <v>885.801782</v>
      </c>
      <c r="DE7" s="77">
        <v>396.79119500000002</v>
      </c>
      <c r="DF7" s="77">
        <v>522.14844300000004</v>
      </c>
      <c r="DG7" s="77">
        <v>390.13257700000003</v>
      </c>
      <c r="DH7" s="77">
        <v>519.77002400000003</v>
      </c>
      <c r="DI7" s="77">
        <v>308.26539500000001</v>
      </c>
      <c r="DJ7" s="77">
        <v>284.28225300000003</v>
      </c>
      <c r="DK7" s="77">
        <v>951.44031900000004</v>
      </c>
      <c r="DL7" s="77">
        <v>406.37842499999999</v>
      </c>
      <c r="DM7" s="77">
        <v>497.18498799999998</v>
      </c>
      <c r="DN7" s="77">
        <v>374.83318100000002</v>
      </c>
      <c r="DO7" s="77">
        <v>493.32601399999999</v>
      </c>
      <c r="DP7" s="77">
        <v>295.33950599999997</v>
      </c>
      <c r="DQ7" s="77">
        <v>268.36452100000002</v>
      </c>
      <c r="DR7" s="77">
        <v>873.44404999999995</v>
      </c>
      <c r="DS7" s="77">
        <v>388.90448500000002</v>
      </c>
      <c r="DT7" s="77">
        <v>492.719245</v>
      </c>
      <c r="DU7" s="77">
        <v>371.33792699999998</v>
      </c>
      <c r="DV7" s="77">
        <v>489.70285899999999</v>
      </c>
      <c r="DW7" s="77">
        <v>284.99890199999999</v>
      </c>
      <c r="DX7" s="77">
        <v>265.76854300000002</v>
      </c>
      <c r="DY7" s="77">
        <v>857.39363100000003</v>
      </c>
      <c r="DZ7" s="77">
        <v>401.947293</v>
      </c>
      <c r="EA7" s="77">
        <v>494.35305799999998</v>
      </c>
      <c r="EB7" s="77">
        <v>376.82545099999999</v>
      </c>
      <c r="EC7" s="77">
        <v>497.930339</v>
      </c>
      <c r="ED7" s="77">
        <v>292.75822699999998</v>
      </c>
      <c r="EE7" s="77">
        <v>268.77294999999998</v>
      </c>
      <c r="EF7" s="77">
        <v>878.43382299999996</v>
      </c>
      <c r="EG7" s="77">
        <v>388.54751199999998</v>
      </c>
      <c r="EH7" s="77">
        <v>507.13069300000001</v>
      </c>
      <c r="EI7" s="77">
        <v>381.574457</v>
      </c>
      <c r="EJ7" s="77">
        <v>504.68819000000002</v>
      </c>
      <c r="EK7" s="77">
        <v>300.03135700000001</v>
      </c>
      <c r="EL7" s="77">
        <v>276.07984699999997</v>
      </c>
      <c r="EM7" s="77">
        <v>921.87978299999997</v>
      </c>
      <c r="EN7" s="77">
        <v>407.61061999999998</v>
      </c>
      <c r="EO7" s="77">
        <v>510.99942099999998</v>
      </c>
      <c r="EP7" s="77">
        <v>390.709495</v>
      </c>
      <c r="EQ7" s="77">
        <v>513.66738899999996</v>
      </c>
      <c r="ER7" s="77">
        <v>298.12994700000002</v>
      </c>
      <c r="ES7" s="77">
        <v>275.654381</v>
      </c>
      <c r="ET7" s="77">
        <v>897.60417700000005</v>
      </c>
      <c r="EU7" s="77">
        <v>400.45563900000002</v>
      </c>
      <c r="EV7" s="77">
        <v>499.87614200000002</v>
      </c>
      <c r="EW7" s="77">
        <v>381.01068800000002</v>
      </c>
      <c r="EX7" s="77">
        <v>502.46162500000003</v>
      </c>
      <c r="EY7" s="77">
        <v>297.32733300000001</v>
      </c>
      <c r="EZ7" s="77">
        <v>270.14885399999997</v>
      </c>
      <c r="FA7" s="77">
        <v>926.57458199999996</v>
      </c>
      <c r="FB7" s="77">
        <v>407.71595200000002</v>
      </c>
      <c r="FC7" s="77">
        <v>501.35214500000001</v>
      </c>
      <c r="FD7" s="77">
        <v>379.35446400000001</v>
      </c>
      <c r="FE7" s="77">
        <v>499.85830800000002</v>
      </c>
      <c r="FF7" s="77">
        <v>297.69462499999997</v>
      </c>
      <c r="FG7" s="77">
        <v>271.922191</v>
      </c>
      <c r="FH7" s="77">
        <v>879.358698</v>
      </c>
      <c r="FI7" s="77">
        <v>398.14896099999999</v>
      </c>
      <c r="FJ7" s="77">
        <v>520.64316599999995</v>
      </c>
      <c r="FK7" s="77">
        <v>395.36358100000001</v>
      </c>
      <c r="FL7" s="77">
        <v>522.52345500000001</v>
      </c>
      <c r="FM7" s="77">
        <v>302.69210800000002</v>
      </c>
      <c r="FN7" s="77">
        <v>282.61931900000002</v>
      </c>
      <c r="FO7" s="77">
        <v>887.618967</v>
      </c>
      <c r="FP7" s="77">
        <v>399.49448799999999</v>
      </c>
      <c r="FQ7" s="77">
        <v>499.64811700000001</v>
      </c>
      <c r="FR7" s="77">
        <v>386.49131799999998</v>
      </c>
      <c r="FS7" s="77">
        <v>507.36843699999997</v>
      </c>
      <c r="FT7" s="77">
        <v>299.001845</v>
      </c>
      <c r="FU7" s="77">
        <v>269.75609300000002</v>
      </c>
      <c r="FV7" s="77">
        <v>881.56214199999999</v>
      </c>
      <c r="FW7" s="77">
        <v>392.13279999999997</v>
      </c>
      <c r="FX7" s="77">
        <v>493.21857199999999</v>
      </c>
      <c r="FY7" s="77">
        <v>373.08485200000001</v>
      </c>
      <c r="FZ7" s="77">
        <v>491.714674</v>
      </c>
      <c r="GA7" s="77">
        <v>292.01299599999999</v>
      </c>
      <c r="GB7" s="77">
        <v>267.94778000000002</v>
      </c>
      <c r="GC7" s="77">
        <v>933.996533</v>
      </c>
      <c r="GD7" s="77">
        <v>401.972734</v>
      </c>
      <c r="GE7" s="77">
        <v>526.97965999999997</v>
      </c>
      <c r="GF7" s="77">
        <v>399.59513700000002</v>
      </c>
      <c r="GG7" s="77">
        <v>527.27340100000004</v>
      </c>
      <c r="GH7" s="77">
        <v>307.578486</v>
      </c>
      <c r="GI7" s="77">
        <v>284.37658499999998</v>
      </c>
      <c r="GJ7" s="77">
        <v>933.13664000000006</v>
      </c>
      <c r="GK7" s="77">
        <v>417.55057599999998</v>
      </c>
      <c r="GL7" s="77">
        <v>502.60449699999998</v>
      </c>
      <c r="GM7" s="77">
        <v>379.93402099999997</v>
      </c>
      <c r="GN7" s="77">
        <v>502.43772100000001</v>
      </c>
      <c r="GO7" s="77">
        <v>298.07586099999997</v>
      </c>
      <c r="GP7" s="77">
        <v>271.788477</v>
      </c>
      <c r="GQ7" s="77">
        <v>905.92231400000003</v>
      </c>
      <c r="GR7" s="77">
        <v>402.66630500000002</v>
      </c>
      <c r="GS7" s="77">
        <v>515.21080400000005</v>
      </c>
      <c r="GT7" s="77">
        <v>386.65565900000001</v>
      </c>
      <c r="GU7" s="77">
        <v>512.33924200000001</v>
      </c>
      <c r="GV7" s="77">
        <v>304.748244</v>
      </c>
      <c r="GW7" s="77">
        <v>280.785055</v>
      </c>
      <c r="GX7" s="77">
        <v>899.88570500000003</v>
      </c>
      <c r="GY7" s="77">
        <v>402.49435499999998</v>
      </c>
      <c r="GZ7" s="77">
        <v>506.184101</v>
      </c>
      <c r="HA7" s="77">
        <v>383.98461300000002</v>
      </c>
      <c r="HB7" s="77">
        <v>506.205648</v>
      </c>
      <c r="HC7" s="77">
        <v>294.00854800000002</v>
      </c>
      <c r="HD7" s="77">
        <v>273.50506000000001</v>
      </c>
      <c r="HE7" s="77">
        <v>913.38982599999997</v>
      </c>
      <c r="HF7" s="77">
        <v>397.36931299999998</v>
      </c>
      <c r="HG7" s="77">
        <v>502.04546399999998</v>
      </c>
      <c r="HH7" s="77">
        <v>376.48305099999999</v>
      </c>
      <c r="HI7" s="77">
        <v>498.70692300000002</v>
      </c>
      <c r="HJ7" s="77">
        <v>297.062139</v>
      </c>
      <c r="HK7" s="77">
        <v>271.09450299999997</v>
      </c>
      <c r="HL7" s="77">
        <v>922.89065900000003</v>
      </c>
      <c r="HM7" s="77">
        <v>407.91863799999999</v>
      </c>
      <c r="HN7" s="77">
        <v>516.97151099999996</v>
      </c>
      <c r="HO7" s="77">
        <v>394.36054200000001</v>
      </c>
      <c r="HP7" s="77">
        <v>520.308897</v>
      </c>
      <c r="HQ7" s="77">
        <v>309.26610599999998</v>
      </c>
      <c r="HR7" s="77">
        <v>281.47554700000001</v>
      </c>
      <c r="HS7" s="77">
        <v>951.83651499999996</v>
      </c>
      <c r="HT7" s="77">
        <v>412.40442999999999</v>
      </c>
      <c r="HU7" s="77">
        <v>504.110119</v>
      </c>
      <c r="HV7" s="77">
        <v>386.37680399999999</v>
      </c>
      <c r="HW7" s="77">
        <v>507.56555300000002</v>
      </c>
      <c r="HX7" s="77">
        <v>295.28143499999999</v>
      </c>
      <c r="HY7" s="77">
        <v>271.20339300000001</v>
      </c>
      <c r="HZ7" s="77">
        <v>903.21351000000004</v>
      </c>
      <c r="IA7" s="77">
        <v>426.51436999999999</v>
      </c>
      <c r="IB7" s="77">
        <v>538.22120500000005</v>
      </c>
      <c r="IC7" s="77">
        <v>415.19987500000002</v>
      </c>
      <c r="ID7" s="77">
        <v>549.38323400000002</v>
      </c>
      <c r="IE7" s="77">
        <v>321.84099600000002</v>
      </c>
      <c r="IF7" s="77">
        <v>294.03044499999999</v>
      </c>
      <c r="IG7" s="77">
        <v>979.71433200000001</v>
      </c>
      <c r="IH7" s="77">
        <v>420.27784000000003</v>
      </c>
      <c r="II7" s="77">
        <v>540.00891100000001</v>
      </c>
      <c r="IJ7" s="77">
        <v>405.44929500000001</v>
      </c>
      <c r="IK7" s="77">
        <v>537.50222099999996</v>
      </c>
      <c r="IL7" s="77">
        <v>321.41611</v>
      </c>
      <c r="IM7" s="77">
        <v>293.70018199999998</v>
      </c>
      <c r="IN7" s="77">
        <v>955.14439600000003</v>
      </c>
      <c r="IO7" s="77">
        <v>432.04387300000002</v>
      </c>
      <c r="IP7" s="77">
        <v>546.40866400000004</v>
      </c>
      <c r="IQ7" s="77">
        <v>419.63934799999998</v>
      </c>
      <c r="IR7" s="77">
        <v>553.77168800000004</v>
      </c>
      <c r="IS7" s="77">
        <v>320.267088</v>
      </c>
      <c r="IT7" s="77">
        <v>296.88652200000001</v>
      </c>
      <c r="IU7" s="77">
        <v>886.15950499999997</v>
      </c>
      <c r="IV7" s="77">
        <v>413.479489</v>
      </c>
      <c r="IW7" s="77">
        <v>510.33296799999999</v>
      </c>
      <c r="IX7" s="77">
        <v>390.49670800000001</v>
      </c>
      <c r="IY7" s="77">
        <v>516.17409699999996</v>
      </c>
      <c r="IZ7" s="77">
        <v>303.42735599999997</v>
      </c>
      <c r="JA7" s="77">
        <v>277.69574799999998</v>
      </c>
      <c r="JB7" s="77">
        <v>924.39696800000002</v>
      </c>
      <c r="JC7" s="77">
        <v>413.17739899999998</v>
      </c>
      <c r="JD7" s="77">
        <v>532.78603799999996</v>
      </c>
      <c r="JE7" s="77">
        <v>403.34240899999998</v>
      </c>
      <c r="JF7" s="77">
        <v>534.08682299999998</v>
      </c>
      <c r="JG7" s="77">
        <v>317.00987199999997</v>
      </c>
      <c r="JH7" s="77">
        <v>291.08167600000002</v>
      </c>
      <c r="JI7" s="77">
        <v>1000.328998</v>
      </c>
      <c r="JJ7" s="77">
        <v>412.81351899999999</v>
      </c>
      <c r="JK7" s="77">
        <v>517.30263600000001</v>
      </c>
      <c r="JL7" s="77">
        <v>394.572836</v>
      </c>
      <c r="JM7" s="77">
        <v>517.38452900000004</v>
      </c>
      <c r="JN7" s="77">
        <v>303.41334699999999</v>
      </c>
      <c r="JO7" s="77">
        <v>276.50111299999998</v>
      </c>
      <c r="JP7" s="77">
        <v>924.92442500000004</v>
      </c>
      <c r="JQ7" s="77">
        <v>410.22361100000001</v>
      </c>
      <c r="JR7" s="77">
        <v>511.08206100000001</v>
      </c>
      <c r="JS7" s="77">
        <v>398.6934</v>
      </c>
      <c r="JT7" s="77">
        <v>522.03216299999997</v>
      </c>
      <c r="JU7" s="77">
        <v>307.90937700000001</v>
      </c>
      <c r="JV7" s="77">
        <v>275.22157700000002</v>
      </c>
      <c r="JW7" s="77">
        <v>581.47599700000001</v>
      </c>
      <c r="JX7" s="77">
        <v>419.16945299999998</v>
      </c>
      <c r="JY7" s="77">
        <v>441.62034699999998</v>
      </c>
      <c r="JZ7" s="77">
        <v>336.343794</v>
      </c>
      <c r="KA7" s="77">
        <v>417.503669</v>
      </c>
      <c r="KB7" s="77">
        <v>611.30467799999997</v>
      </c>
      <c r="KC7" s="77">
        <v>613.95556499999998</v>
      </c>
      <c r="KD7" s="77">
        <v>460.93762800000002</v>
      </c>
      <c r="KE7" s="77">
        <v>477.355165</v>
      </c>
      <c r="KF7" s="77">
        <v>474.154562</v>
      </c>
      <c r="KG7" s="77">
        <v>483.34454199999999</v>
      </c>
      <c r="KH7" s="77">
        <v>464.55587800000001</v>
      </c>
      <c r="KI7" s="77">
        <v>477.157939</v>
      </c>
      <c r="KJ7" s="77">
        <v>475.93874299999999</v>
      </c>
      <c r="KK7" s="77">
        <v>480.73417599999999</v>
      </c>
      <c r="KL7" s="77">
        <v>499.11767099999997</v>
      </c>
      <c r="KM7" s="77">
        <v>504.328081</v>
      </c>
      <c r="KN7" s="77">
        <v>504.24961400000001</v>
      </c>
      <c r="KO7" s="77">
        <v>487.01487300000002</v>
      </c>
      <c r="KP7" s="77">
        <v>512.11069399999997</v>
      </c>
      <c r="KQ7" s="77">
        <v>502.78848799999997</v>
      </c>
      <c r="KR7" s="77">
        <v>456.11044299999998</v>
      </c>
      <c r="KS7" s="77">
        <v>468.69287000000003</v>
      </c>
      <c r="KT7" s="77">
        <v>478.392</v>
      </c>
      <c r="KU7" s="77">
        <v>476.57691899999998</v>
      </c>
      <c r="KV7" s="77">
        <v>459.42318599999999</v>
      </c>
      <c r="KW7" s="77">
        <v>485.874168</v>
      </c>
      <c r="KX7" s="77">
        <v>488.09105399999999</v>
      </c>
      <c r="KY7" s="77">
        <v>467.12558999999999</v>
      </c>
      <c r="KZ7" s="77">
        <v>484.73083100000002</v>
      </c>
      <c r="LA7" s="77">
        <v>482.19579199999998</v>
      </c>
      <c r="LB7" s="77">
        <v>491.21860900000001</v>
      </c>
      <c r="LC7" s="77">
        <v>471.94228199999998</v>
      </c>
      <c r="LD7" s="77">
        <v>485.998716</v>
      </c>
      <c r="LE7" s="77">
        <v>484.52120100000002</v>
      </c>
      <c r="LF7" s="77">
        <v>461.35466300000002</v>
      </c>
      <c r="LG7" s="77">
        <v>479.771411</v>
      </c>
      <c r="LH7" s="77">
        <v>484.04335500000002</v>
      </c>
      <c r="LI7" s="77">
        <v>483.92933299999999</v>
      </c>
      <c r="LJ7" s="77">
        <v>466.68668200000002</v>
      </c>
      <c r="LK7" s="77">
        <v>491.848388</v>
      </c>
      <c r="LL7" s="77">
        <v>482.50101100000001</v>
      </c>
      <c r="LM7" s="77">
        <v>464.663568</v>
      </c>
      <c r="LN7" s="77">
        <v>477.24130600000001</v>
      </c>
      <c r="LO7" s="77">
        <v>487.81907799999999</v>
      </c>
      <c r="LP7" s="77">
        <v>486.01266199999998</v>
      </c>
      <c r="LQ7" s="77">
        <v>468.86082599999997</v>
      </c>
      <c r="LR7" s="77">
        <v>495.29445399999997</v>
      </c>
      <c r="LS7" s="77">
        <v>497.51087100000001</v>
      </c>
      <c r="LT7" s="77">
        <v>442.25663300000002</v>
      </c>
      <c r="LU7" s="77">
        <v>458.07261799999998</v>
      </c>
      <c r="LV7" s="77">
        <v>456.213052</v>
      </c>
      <c r="LW7" s="77">
        <v>465.48774800000001</v>
      </c>
      <c r="LX7" s="77">
        <v>446.94606599999997</v>
      </c>
      <c r="LY7" s="77">
        <v>458.81153699999999</v>
      </c>
      <c r="LZ7" s="77">
        <v>457.72317199999998</v>
      </c>
      <c r="MA7" s="77">
        <v>443.44903499999998</v>
      </c>
      <c r="MB7" s="77">
        <v>460.71595500000001</v>
      </c>
      <c r="MC7" s="77">
        <v>476.26593500000001</v>
      </c>
      <c r="MD7" s="77">
        <v>477.38223699999998</v>
      </c>
      <c r="ME7" s="77">
        <v>460.41162300000002</v>
      </c>
      <c r="MF7" s="77">
        <v>483.29547500000001</v>
      </c>
      <c r="MG7" s="77">
        <v>474.81865599999998</v>
      </c>
      <c r="MH7" s="77">
        <v>483.59628199999997</v>
      </c>
      <c r="MI7" s="77">
        <v>496.30011200000001</v>
      </c>
      <c r="MJ7" s="77">
        <v>493.56664999999998</v>
      </c>
      <c r="MK7" s="77">
        <v>491.52719100000002</v>
      </c>
      <c r="ML7" s="77">
        <v>474.32464700000003</v>
      </c>
      <c r="MM7" s="77">
        <v>501.22493200000002</v>
      </c>
      <c r="MN7" s="77">
        <v>503.45347400000003</v>
      </c>
      <c r="MO7" s="77">
        <v>492.50537000000003</v>
      </c>
      <c r="MP7" s="77">
        <v>508.28443099999998</v>
      </c>
      <c r="MQ7" s="77">
        <v>506.438829</v>
      </c>
      <c r="MR7" s="77">
        <v>515.718706</v>
      </c>
      <c r="MS7" s="77">
        <v>497.19217099999997</v>
      </c>
      <c r="MT7" s="77">
        <v>509.01243699999998</v>
      </c>
      <c r="MU7" s="77">
        <v>507.93207799999999</v>
      </c>
      <c r="MV7" s="77">
        <v>444.66747900000001</v>
      </c>
      <c r="MW7" s="77">
        <v>462.729964</v>
      </c>
      <c r="MX7" s="77">
        <v>471.826325</v>
      </c>
      <c r="MY7" s="77">
        <v>472.09141</v>
      </c>
      <c r="MZ7" s="77">
        <v>454.93258100000003</v>
      </c>
      <c r="NA7" s="77">
        <v>479.39244100000002</v>
      </c>
      <c r="NB7" s="77">
        <v>470.31330100000002</v>
      </c>
      <c r="NC7" s="77">
        <v>448.49270200000001</v>
      </c>
      <c r="ND7" s="77">
        <v>461.39799399999998</v>
      </c>
      <c r="NE7" s="77">
        <v>467.27566100000001</v>
      </c>
      <c r="NF7" s="77">
        <v>464.86372899999998</v>
      </c>
      <c r="NG7" s="77">
        <v>447.58013999999997</v>
      </c>
      <c r="NH7" s="77">
        <v>475.22625699999998</v>
      </c>
      <c r="NI7" s="77">
        <v>477.47420199999999</v>
      </c>
      <c r="NJ7" s="77">
        <v>426.02622000000002</v>
      </c>
      <c r="NK7" s="77">
        <v>441.43500799999998</v>
      </c>
      <c r="NL7" s="77">
        <v>439.72918199999998</v>
      </c>
      <c r="NM7" s="77">
        <v>449.06120600000003</v>
      </c>
      <c r="NN7" s="77">
        <v>430.686711</v>
      </c>
      <c r="NO7" s="77">
        <v>442.05354599999998</v>
      </c>
      <c r="NP7" s="77">
        <v>441.05374699999999</v>
      </c>
      <c r="NQ7" s="77">
        <v>449.17007000000001</v>
      </c>
      <c r="NR7" s="77">
        <v>467.28354300000001</v>
      </c>
      <c r="NS7" s="77">
        <v>465.18087400000002</v>
      </c>
      <c r="NT7" s="77">
        <v>465.39136999999999</v>
      </c>
      <c r="NU7" s="77">
        <v>448.22050300000001</v>
      </c>
      <c r="NV7" s="77">
        <v>472.78138300000001</v>
      </c>
      <c r="NW7" s="77">
        <v>463.66361999999998</v>
      </c>
      <c r="NX7" s="77">
        <v>450.67765600000001</v>
      </c>
      <c r="NY7" s="77">
        <v>463.381103</v>
      </c>
      <c r="NZ7" s="77">
        <v>481.07530200000002</v>
      </c>
      <c r="OA7" s="77">
        <v>479.03647699999999</v>
      </c>
      <c r="OB7" s="77">
        <v>461.83405800000003</v>
      </c>
      <c r="OC7" s="77">
        <v>488.73305499999998</v>
      </c>
      <c r="OD7" s="77">
        <v>490.961567</v>
      </c>
      <c r="OE7" s="77">
        <v>443.71164099999999</v>
      </c>
      <c r="OF7" s="77">
        <v>460.48761000000002</v>
      </c>
      <c r="OG7" s="77">
        <v>458.26562200000001</v>
      </c>
      <c r="OH7" s="77">
        <v>467.40516700000001</v>
      </c>
      <c r="OI7" s="77">
        <v>448.46932500000003</v>
      </c>
      <c r="OJ7" s="77">
        <v>461.51030600000001</v>
      </c>
      <c r="OK7" s="77">
        <v>460.21315299999998</v>
      </c>
      <c r="OL7" s="77">
        <v>454.725641</v>
      </c>
      <c r="OM7" s="77">
        <v>472.352574</v>
      </c>
      <c r="ON7" s="77">
        <v>497.88194099999998</v>
      </c>
      <c r="OO7" s="77">
        <v>498.613021</v>
      </c>
      <c r="OP7" s="77">
        <v>481.55721799999998</v>
      </c>
      <c r="OQ7" s="77">
        <v>505.15427599999998</v>
      </c>
      <c r="OR7" s="77">
        <v>496.40486199999998</v>
      </c>
      <c r="OS7" s="77">
        <v>476.58827200000002</v>
      </c>
      <c r="OT7" s="77">
        <v>490.05487299999999</v>
      </c>
      <c r="OU7" s="77">
        <v>479.70107899999999</v>
      </c>
      <c r="OV7" s="77">
        <v>476.251394</v>
      </c>
      <c r="OW7" s="77">
        <v>458.74197700000002</v>
      </c>
      <c r="OX7" s="77">
        <v>488.46612599999997</v>
      </c>
      <c r="OY7" s="77">
        <v>490.76810799999998</v>
      </c>
      <c r="OZ7" s="77">
        <v>442.21798799999999</v>
      </c>
      <c r="PA7" s="77">
        <v>458.86276299999997</v>
      </c>
      <c r="PB7" s="77">
        <v>456.69032600000003</v>
      </c>
      <c r="PC7" s="77">
        <v>465.848389</v>
      </c>
      <c r="PD7" s="77">
        <v>446.96639399999998</v>
      </c>
      <c r="PE7" s="77">
        <v>459.846698</v>
      </c>
      <c r="PF7" s="77">
        <v>458.57807600000001</v>
      </c>
      <c r="PG7" s="77">
        <v>465.57300500000002</v>
      </c>
      <c r="PH7" s="77">
        <v>483.36456099999998</v>
      </c>
      <c r="PI7" s="77">
        <v>477.05126000000001</v>
      </c>
      <c r="PJ7" s="77">
        <v>477.60622000000001</v>
      </c>
      <c r="PK7" s="77">
        <v>460.51149500000002</v>
      </c>
      <c r="PL7" s="77">
        <v>484.43463800000001</v>
      </c>
      <c r="PM7" s="77">
        <v>475.56060000000002</v>
      </c>
      <c r="PN7" s="77">
        <v>448.40168399999999</v>
      </c>
      <c r="PO7" s="77">
        <v>461.79722099999998</v>
      </c>
      <c r="PP7" s="77">
        <v>483.53951000000001</v>
      </c>
      <c r="PQ7" s="77">
        <v>480.221138</v>
      </c>
      <c r="PR7" s="77">
        <v>462.74037199999998</v>
      </c>
      <c r="PS7" s="77">
        <v>492.20146999999997</v>
      </c>
      <c r="PT7" s="77">
        <v>494.49660799999998</v>
      </c>
      <c r="PU7" s="77">
        <v>449.73017599999997</v>
      </c>
      <c r="PV7" s="77">
        <v>466.398482</v>
      </c>
      <c r="PW7" s="77">
        <v>464.21716900000001</v>
      </c>
      <c r="PX7" s="77">
        <v>473.37187999999998</v>
      </c>
      <c r="PY7" s="77">
        <v>454.480231</v>
      </c>
      <c r="PZ7" s="77">
        <v>467.389366</v>
      </c>
      <c r="QA7" s="77">
        <v>466.115634</v>
      </c>
      <c r="QB7" s="77">
        <v>442.21370999999999</v>
      </c>
      <c r="QC7" s="77">
        <v>460.34447499999999</v>
      </c>
      <c r="QD7" s="77">
        <v>464.45881600000001</v>
      </c>
      <c r="QE7" s="77">
        <v>464.65078799999998</v>
      </c>
      <c r="QF7" s="77">
        <v>447.47576299999997</v>
      </c>
      <c r="QG7" s="77">
        <v>472.07100500000001</v>
      </c>
      <c r="QH7" s="77">
        <v>462.94013699999999</v>
      </c>
      <c r="QI7" s="77">
        <v>453.62423200000001</v>
      </c>
      <c r="QJ7" s="77">
        <v>466.20847500000002</v>
      </c>
      <c r="QK7" s="77">
        <v>476.84035299999999</v>
      </c>
      <c r="QL7" s="77">
        <v>475.02198299999998</v>
      </c>
      <c r="QM7" s="77">
        <v>457.867547</v>
      </c>
      <c r="QN7" s="77">
        <v>484.32514300000003</v>
      </c>
      <c r="QO7" s="77">
        <v>486.54217199999999</v>
      </c>
      <c r="QP7" s="77">
        <v>436.50991699999997</v>
      </c>
      <c r="QQ7" s="77">
        <v>451.68966799999998</v>
      </c>
      <c r="QR7" s="77">
        <v>450.07032400000003</v>
      </c>
      <c r="QS7" s="77">
        <v>459.43460599999997</v>
      </c>
    </row>
    <row r="8" spans="1:461" x14ac:dyDescent="0.25">
      <c r="F8" s="76" t="str">
        <f xml:space="preserve"> _xll.EPMOlapMemberO("[PRDDESCR].[].[HELGAS GFREE MIXED GRAIN 500G]","","HELGAS GFREE MIXED GRAIN 500G","","000")</f>
        <v>HELGAS GFREE MIXED GRAIN 500G</v>
      </c>
      <c r="G8" s="76" t="str">
        <f xml:space="preserve"> _xll.EPMOlapMemberO("[PRDID].[].[168847]","","168847","","000")</f>
        <v>168847</v>
      </c>
      <c r="H8" s="76" t="str">
        <f xml:space="preserve"> _xll.EPMOlapMemberO("[LOCID].[].[6105]","","6105","","000")</f>
        <v>6105</v>
      </c>
      <c r="I8" s="76" t="str">
        <f xml:space="preserve"> _xll.EPMOlapMemberO("[LOCDESCR].[].[QBA-Rydalmere]","","QBA-Rydalmere","","000")</f>
        <v>QBA-Rydalmere</v>
      </c>
      <c r="J8" s="76" t="str">
        <f xml:space="preserve"> _xll.EPMOlapMemberO("[KEY_FIGURES].[].[ZGFAPPROVEDFCSTQTY]","","Approved Forecast","","000")</f>
        <v>Approved Forecast</v>
      </c>
      <c r="K8" s="77">
        <v>369.16683899999998</v>
      </c>
      <c r="L8" s="77">
        <v>230.58412100000001</v>
      </c>
      <c r="M8" s="77">
        <v>314.47314</v>
      </c>
      <c r="N8" s="77">
        <v>248.43276800000001</v>
      </c>
      <c r="O8" s="77">
        <v>363.70854600000001</v>
      </c>
      <c r="P8" s="77">
        <v>230.53039799999999</v>
      </c>
      <c r="Q8" s="77">
        <v>410.38928700000002</v>
      </c>
      <c r="R8" s="77">
        <v>367.63498700000002</v>
      </c>
      <c r="S8" s="77">
        <v>234.26643000000001</v>
      </c>
      <c r="T8" s="77">
        <v>310.679913</v>
      </c>
      <c r="U8" s="77">
        <v>252.23330899999999</v>
      </c>
      <c r="V8" s="77">
        <v>364.89198299999998</v>
      </c>
      <c r="W8" s="77">
        <v>230.299677</v>
      </c>
      <c r="X8" s="77">
        <v>393.398865</v>
      </c>
      <c r="Y8" s="77">
        <v>359.68528300000003</v>
      </c>
      <c r="Z8" s="77">
        <v>226.54630599999999</v>
      </c>
      <c r="AA8" s="77">
        <v>288.71965299999999</v>
      </c>
      <c r="AB8" s="77">
        <v>248.04855699999999</v>
      </c>
      <c r="AC8" s="77">
        <v>367.68076500000001</v>
      </c>
      <c r="AD8" s="77">
        <v>224.43377100000001</v>
      </c>
      <c r="AE8" s="77"/>
      <c r="AF8" s="77"/>
      <c r="AG8" s="77"/>
      <c r="AH8" s="77"/>
      <c r="AI8" s="77"/>
      <c r="AJ8" s="77"/>
      <c r="AK8" s="77"/>
      <c r="AL8" s="77">
        <v>403.87422600000002</v>
      </c>
      <c r="AM8" s="77">
        <v>361.41501899999997</v>
      </c>
      <c r="AN8" s="77">
        <v>241.00352799999999</v>
      </c>
      <c r="AO8" s="77">
        <v>296.063625</v>
      </c>
      <c r="AP8" s="77">
        <v>253.78192000000001</v>
      </c>
      <c r="AQ8" s="77">
        <v>368.29730799999999</v>
      </c>
      <c r="AR8" s="77">
        <v>228.207763</v>
      </c>
      <c r="AS8" s="77">
        <v>397.74741499999999</v>
      </c>
      <c r="AT8" s="77">
        <v>366.70001200000002</v>
      </c>
      <c r="AU8" s="77">
        <v>235.86601899999999</v>
      </c>
      <c r="AV8" s="77">
        <v>292.10315400000002</v>
      </c>
      <c r="AW8" s="77">
        <v>251.03417899999999</v>
      </c>
      <c r="AX8" s="77">
        <v>373.964249</v>
      </c>
      <c r="AY8" s="77">
        <v>225.33284499999999</v>
      </c>
      <c r="AZ8" s="77">
        <v>389.275734</v>
      </c>
      <c r="BA8" s="77">
        <v>353.63442099999997</v>
      </c>
      <c r="BB8" s="77">
        <v>232.21863300000001</v>
      </c>
      <c r="BC8" s="77">
        <v>288.480638</v>
      </c>
      <c r="BD8" s="77">
        <v>242.84375900000001</v>
      </c>
      <c r="BE8" s="77">
        <v>358.72493200000002</v>
      </c>
      <c r="BF8" s="77">
        <v>222.03106700000001</v>
      </c>
      <c r="BG8" s="77">
        <v>417.143349</v>
      </c>
      <c r="BH8" s="77">
        <v>370.33711699999998</v>
      </c>
      <c r="BI8" s="77">
        <v>240.35316399999999</v>
      </c>
      <c r="BJ8" s="77">
        <v>294.87974500000001</v>
      </c>
      <c r="BK8" s="77">
        <v>252.195032</v>
      </c>
      <c r="BL8" s="77">
        <v>365.724447</v>
      </c>
      <c r="BM8" s="77">
        <v>227.273653</v>
      </c>
      <c r="BN8" s="77">
        <v>411.71551799999997</v>
      </c>
      <c r="BO8" s="77">
        <v>372.48163299999999</v>
      </c>
      <c r="BP8" s="77">
        <v>244.61193399999999</v>
      </c>
      <c r="BQ8" s="77">
        <v>299.80521599999997</v>
      </c>
      <c r="BR8" s="77">
        <v>257.44201800000002</v>
      </c>
      <c r="BS8" s="77">
        <v>374.837964</v>
      </c>
      <c r="BT8" s="77">
        <v>234.477192</v>
      </c>
      <c r="BU8" s="77">
        <v>397.07398999999998</v>
      </c>
      <c r="BV8" s="77">
        <v>358.83119199999999</v>
      </c>
      <c r="BW8" s="77">
        <v>247.337538</v>
      </c>
      <c r="BX8" s="77">
        <v>304.02074599999997</v>
      </c>
      <c r="BY8" s="77">
        <v>258.02372100000002</v>
      </c>
      <c r="BZ8" s="77">
        <v>374.66118999999998</v>
      </c>
      <c r="CA8" s="77">
        <v>236.87589500000001</v>
      </c>
      <c r="CB8" s="77">
        <v>418.935903</v>
      </c>
      <c r="CC8" s="77">
        <v>370.62694599999998</v>
      </c>
      <c r="CD8" s="77">
        <v>250.7825</v>
      </c>
      <c r="CE8" s="77">
        <v>306.52258999999998</v>
      </c>
      <c r="CF8" s="77">
        <v>262.86170299999998</v>
      </c>
      <c r="CG8" s="77">
        <v>374.63335799999999</v>
      </c>
      <c r="CH8" s="77">
        <v>238.55886699999999</v>
      </c>
      <c r="CI8" s="77">
        <v>372.515828</v>
      </c>
      <c r="CJ8" s="77">
        <v>332.49429600000002</v>
      </c>
      <c r="CK8" s="77">
        <v>222.609567</v>
      </c>
      <c r="CL8" s="77">
        <v>272.87252999999998</v>
      </c>
      <c r="CM8" s="77">
        <v>231.61175</v>
      </c>
      <c r="CN8" s="77">
        <v>328.63311499999998</v>
      </c>
      <c r="CO8" s="77">
        <v>215.08749599999999</v>
      </c>
      <c r="CP8" s="77">
        <v>369.76748800000001</v>
      </c>
      <c r="CQ8" s="77">
        <v>335.02914500000003</v>
      </c>
      <c r="CR8" s="77">
        <v>221.00742399999999</v>
      </c>
      <c r="CS8" s="77">
        <v>273.33096799999998</v>
      </c>
      <c r="CT8" s="77">
        <v>231.53538599999999</v>
      </c>
      <c r="CU8" s="77">
        <v>337.97587099999998</v>
      </c>
      <c r="CV8" s="77">
        <v>211.09719200000001</v>
      </c>
      <c r="CW8" s="77">
        <v>373.34002900000002</v>
      </c>
      <c r="CX8" s="77">
        <v>333.26442300000002</v>
      </c>
      <c r="CY8" s="77">
        <v>223.18841399999999</v>
      </c>
      <c r="CZ8" s="77">
        <v>273.51380499999999</v>
      </c>
      <c r="DA8" s="77">
        <v>234.83005700000001</v>
      </c>
      <c r="DB8" s="77">
        <v>336.49947400000002</v>
      </c>
      <c r="DC8" s="77">
        <v>211.67008999999999</v>
      </c>
      <c r="DD8" s="77">
        <v>375.81221699999998</v>
      </c>
      <c r="DE8" s="77">
        <v>338.96337599999998</v>
      </c>
      <c r="DF8" s="77">
        <v>234.11843999999999</v>
      </c>
      <c r="DG8" s="77">
        <v>286.83060999999998</v>
      </c>
      <c r="DH8" s="77">
        <v>245.41647399999999</v>
      </c>
      <c r="DI8" s="77">
        <v>348.86085800000001</v>
      </c>
      <c r="DJ8" s="77">
        <v>226.02745899999999</v>
      </c>
      <c r="DK8" s="77">
        <v>380.20516600000002</v>
      </c>
      <c r="DL8" s="77">
        <v>343.74338999999998</v>
      </c>
      <c r="DM8" s="77">
        <v>217.59261599999999</v>
      </c>
      <c r="DN8" s="77">
        <v>270.83692000000002</v>
      </c>
      <c r="DO8" s="77">
        <v>228.094076</v>
      </c>
      <c r="DP8" s="77">
        <v>336.39181500000001</v>
      </c>
      <c r="DQ8" s="77">
        <v>207.68265099999999</v>
      </c>
      <c r="DR8" s="77">
        <v>375.631303</v>
      </c>
      <c r="DS8" s="77">
        <v>335.69023800000002</v>
      </c>
      <c r="DT8" s="77">
        <v>224.21384900000001</v>
      </c>
      <c r="DU8" s="77">
        <v>275.60884499999997</v>
      </c>
      <c r="DV8" s="77">
        <v>235.20747700000001</v>
      </c>
      <c r="DW8" s="77">
        <v>339.51513699999998</v>
      </c>
      <c r="DX8" s="77">
        <v>212.92194599999999</v>
      </c>
      <c r="DY8" s="77">
        <v>400.63890900000001</v>
      </c>
      <c r="DZ8" s="77">
        <v>362.54353500000002</v>
      </c>
      <c r="EA8" s="77">
        <v>234.11905999999999</v>
      </c>
      <c r="EB8" s="77">
        <v>287.50620700000002</v>
      </c>
      <c r="EC8" s="77">
        <v>246.806907</v>
      </c>
      <c r="ED8" s="77">
        <v>359.99433299999998</v>
      </c>
      <c r="EE8" s="77">
        <v>223.984014</v>
      </c>
      <c r="EF8" s="77">
        <v>400.73729100000003</v>
      </c>
      <c r="EG8" s="77">
        <v>359.147831</v>
      </c>
      <c r="EH8" s="77">
        <v>245.424712</v>
      </c>
      <c r="EI8" s="77">
        <v>299.65815500000002</v>
      </c>
      <c r="EJ8" s="77">
        <v>256.07296400000001</v>
      </c>
      <c r="EK8" s="77">
        <v>367.29411199999998</v>
      </c>
      <c r="EL8" s="77">
        <v>234.72413</v>
      </c>
      <c r="EM8" s="77">
        <v>428.85469899999998</v>
      </c>
      <c r="EN8" s="77">
        <v>381.664151</v>
      </c>
      <c r="EO8" s="77">
        <v>256.58581299999997</v>
      </c>
      <c r="EP8" s="77">
        <v>312.83163500000001</v>
      </c>
      <c r="EQ8" s="77">
        <v>270.36900400000002</v>
      </c>
      <c r="ER8" s="77">
        <v>389.61440800000003</v>
      </c>
      <c r="ES8" s="77">
        <v>242.09520000000001</v>
      </c>
      <c r="ET8" s="77">
        <v>393.02317099999999</v>
      </c>
      <c r="EU8" s="77">
        <v>355.479151</v>
      </c>
      <c r="EV8" s="77">
        <v>234.02610799999999</v>
      </c>
      <c r="EW8" s="77">
        <v>288.27996000000002</v>
      </c>
      <c r="EX8" s="77">
        <v>245.74303599999999</v>
      </c>
      <c r="EY8" s="77">
        <v>356.80301900000001</v>
      </c>
      <c r="EZ8" s="77">
        <v>224.79299700000001</v>
      </c>
      <c r="FA8" s="77">
        <v>417.31735800000001</v>
      </c>
      <c r="FB8" s="77">
        <v>374.68412899999998</v>
      </c>
      <c r="FC8" s="77">
        <v>242.462694</v>
      </c>
      <c r="FD8" s="77">
        <v>302.29465599999997</v>
      </c>
      <c r="FE8" s="77">
        <v>252.76200900000001</v>
      </c>
      <c r="FF8" s="77">
        <v>370.652693</v>
      </c>
      <c r="FG8" s="77">
        <v>232.45889299999999</v>
      </c>
      <c r="FH8" s="77">
        <v>423.25092799999999</v>
      </c>
      <c r="FI8" s="77">
        <v>375.69405399999999</v>
      </c>
      <c r="FJ8" s="77">
        <v>261.12197099999997</v>
      </c>
      <c r="FK8" s="77">
        <v>316.88523500000002</v>
      </c>
      <c r="FL8" s="77">
        <v>274.14522399999998</v>
      </c>
      <c r="FM8" s="77">
        <v>390.39074499999998</v>
      </c>
      <c r="FN8" s="77">
        <v>247.257012</v>
      </c>
      <c r="FO8" s="77">
        <v>410.42805299999998</v>
      </c>
      <c r="FP8" s="77">
        <v>373.60282799999999</v>
      </c>
      <c r="FQ8" s="77">
        <v>245.001722</v>
      </c>
      <c r="FR8" s="77">
        <v>305.06064600000002</v>
      </c>
      <c r="FS8" s="77">
        <v>258.54118599999998</v>
      </c>
      <c r="FT8" s="77">
        <v>382.16627499999998</v>
      </c>
      <c r="FU8" s="77">
        <v>235.07574600000001</v>
      </c>
      <c r="FV8" s="77">
        <v>380.88572499999998</v>
      </c>
      <c r="FW8" s="77">
        <v>346.37006700000001</v>
      </c>
      <c r="FX8" s="77">
        <v>225.36499699999999</v>
      </c>
      <c r="FY8" s="77">
        <v>282.15254199999998</v>
      </c>
      <c r="FZ8" s="77">
        <v>235.488856</v>
      </c>
      <c r="GA8" s="77">
        <v>346.21047399999998</v>
      </c>
      <c r="GB8" s="77">
        <v>216.321405</v>
      </c>
      <c r="GC8" s="77">
        <v>395.56027699999999</v>
      </c>
      <c r="GD8" s="77">
        <v>352.78590400000002</v>
      </c>
      <c r="GE8" s="77">
        <v>249.28756000000001</v>
      </c>
      <c r="GF8" s="77">
        <v>303.98594000000003</v>
      </c>
      <c r="GG8" s="77">
        <v>261.60291999999998</v>
      </c>
      <c r="GH8" s="77">
        <v>371.40137099999998</v>
      </c>
      <c r="GI8" s="77">
        <v>237.14301599999999</v>
      </c>
      <c r="GJ8" s="77">
        <v>426.40296999999998</v>
      </c>
      <c r="GK8" s="77">
        <v>379.84267599999998</v>
      </c>
      <c r="GL8" s="77">
        <v>241.042967</v>
      </c>
      <c r="GM8" s="77">
        <v>295.66894200000002</v>
      </c>
      <c r="GN8" s="77">
        <v>252.604432</v>
      </c>
      <c r="GO8" s="77">
        <v>364.13680299999999</v>
      </c>
      <c r="GP8" s="77">
        <v>231.48351400000001</v>
      </c>
      <c r="GQ8" s="77">
        <v>380.57149600000002</v>
      </c>
      <c r="GR8" s="77">
        <v>343.06575600000002</v>
      </c>
      <c r="GS8" s="77">
        <v>227.50752499999999</v>
      </c>
      <c r="GT8" s="77">
        <v>281.49491</v>
      </c>
      <c r="GU8" s="77">
        <v>236.83225200000001</v>
      </c>
      <c r="GV8" s="77">
        <v>345.45928900000001</v>
      </c>
      <c r="GW8" s="77">
        <v>217.67574200000001</v>
      </c>
      <c r="GX8" s="77">
        <v>387.72950200000002</v>
      </c>
      <c r="GY8" s="77">
        <v>343.257902</v>
      </c>
      <c r="GZ8" s="77">
        <v>232.47603899999999</v>
      </c>
      <c r="HA8" s="77">
        <v>283.938512</v>
      </c>
      <c r="HB8" s="77">
        <v>242.81851700000001</v>
      </c>
      <c r="HC8" s="77">
        <v>346.20247699999999</v>
      </c>
      <c r="HD8" s="77">
        <v>220.67416299999999</v>
      </c>
      <c r="HE8" s="77">
        <v>415.138689</v>
      </c>
      <c r="HF8" s="77">
        <v>370.286765</v>
      </c>
      <c r="HG8" s="77">
        <v>248.08600999999999</v>
      </c>
      <c r="HH8" s="77">
        <v>302.13233400000001</v>
      </c>
      <c r="HI8" s="77">
        <v>259.89369699999997</v>
      </c>
      <c r="HJ8" s="77">
        <v>369.06900400000001</v>
      </c>
      <c r="HK8" s="77">
        <v>238.790482</v>
      </c>
      <c r="HL8" s="77">
        <v>415.83798000000002</v>
      </c>
      <c r="HM8" s="77">
        <v>370.87310300000001</v>
      </c>
      <c r="HN8" s="77">
        <v>247.81250199999999</v>
      </c>
      <c r="HO8" s="77">
        <v>304.25870500000002</v>
      </c>
      <c r="HP8" s="77">
        <v>256.50606199999999</v>
      </c>
      <c r="HQ8" s="77">
        <v>375.321774</v>
      </c>
      <c r="HR8" s="77">
        <v>236.35097500000001</v>
      </c>
      <c r="HS8" s="77">
        <v>412.04591900000003</v>
      </c>
      <c r="HT8" s="77">
        <v>369.57109800000001</v>
      </c>
      <c r="HU8" s="77">
        <v>242.758015</v>
      </c>
      <c r="HV8" s="77">
        <v>297.75119000000001</v>
      </c>
      <c r="HW8" s="77">
        <v>255.862065</v>
      </c>
      <c r="HX8" s="77">
        <v>370.62441899999999</v>
      </c>
      <c r="HY8" s="77">
        <v>229.918858</v>
      </c>
      <c r="HZ8" s="77">
        <v>426.28251499999999</v>
      </c>
      <c r="IA8" s="77">
        <v>395.92625099999998</v>
      </c>
      <c r="IB8" s="77">
        <v>257.07883700000002</v>
      </c>
      <c r="IC8" s="77">
        <v>314.792373</v>
      </c>
      <c r="ID8" s="77">
        <v>276.831639</v>
      </c>
      <c r="IE8" s="77">
        <v>415.22167100000001</v>
      </c>
      <c r="IF8" s="77">
        <v>243.14485999999999</v>
      </c>
      <c r="IG8" s="77">
        <v>457.093613</v>
      </c>
      <c r="IH8" s="77">
        <v>414.93084399999998</v>
      </c>
      <c r="II8" s="77">
        <v>274.86056300000001</v>
      </c>
      <c r="IJ8" s="77">
        <v>335.32301899999999</v>
      </c>
      <c r="IK8" s="77">
        <v>291.27372700000001</v>
      </c>
      <c r="IL8" s="77">
        <v>428.30287900000002</v>
      </c>
      <c r="IM8" s="77">
        <v>260.08392400000002</v>
      </c>
      <c r="IN8" s="77">
        <v>445.30392399999999</v>
      </c>
      <c r="IO8" s="77">
        <v>403.28946000000002</v>
      </c>
      <c r="IP8" s="77">
        <v>267.11308500000001</v>
      </c>
      <c r="IQ8" s="77">
        <v>324.099334</v>
      </c>
      <c r="IR8" s="77">
        <v>287.07420000000002</v>
      </c>
      <c r="IS8" s="77">
        <v>421.44747000000001</v>
      </c>
      <c r="IT8" s="77">
        <v>249.142458</v>
      </c>
      <c r="IU8" s="77">
        <v>440.31609500000002</v>
      </c>
      <c r="IV8" s="77">
        <v>404.72320400000001</v>
      </c>
      <c r="IW8" s="77">
        <v>259.61451299999999</v>
      </c>
      <c r="IX8" s="77">
        <v>318.78024900000003</v>
      </c>
      <c r="IY8" s="77">
        <v>278.41908699999999</v>
      </c>
      <c r="IZ8" s="77">
        <v>411.53804200000002</v>
      </c>
      <c r="JA8" s="77">
        <v>246.81696299999999</v>
      </c>
      <c r="JB8" s="77">
        <v>452.25527699999998</v>
      </c>
      <c r="JC8" s="77">
        <v>412.59160400000002</v>
      </c>
      <c r="JD8" s="77">
        <v>272.297012</v>
      </c>
      <c r="JE8" s="77">
        <v>332.91016000000002</v>
      </c>
      <c r="JF8" s="77">
        <v>289.29709400000002</v>
      </c>
      <c r="JG8" s="77">
        <v>428.14924500000001</v>
      </c>
      <c r="JH8" s="77">
        <v>256.96670599999999</v>
      </c>
      <c r="JI8" s="77">
        <v>441.94925999999998</v>
      </c>
      <c r="JJ8" s="77">
        <v>398.60374200000001</v>
      </c>
      <c r="JK8" s="77">
        <v>269.42878899999999</v>
      </c>
      <c r="JL8" s="77">
        <v>326.60668700000002</v>
      </c>
      <c r="JM8" s="77">
        <v>287.66863000000001</v>
      </c>
      <c r="JN8" s="77">
        <v>418.17810500000002</v>
      </c>
      <c r="JO8" s="77">
        <v>252.459767</v>
      </c>
      <c r="JP8" s="77">
        <v>439.40103399999998</v>
      </c>
      <c r="JQ8" s="77">
        <v>403.07419599999997</v>
      </c>
      <c r="JR8" s="77">
        <v>260.21943700000003</v>
      </c>
      <c r="JS8" s="77">
        <v>319.785887</v>
      </c>
      <c r="JT8" s="77">
        <v>279.06174199999998</v>
      </c>
      <c r="JU8" s="77">
        <v>420.00232399999999</v>
      </c>
      <c r="JV8" s="77">
        <v>245.621182</v>
      </c>
      <c r="JW8" s="77">
        <v>330.73375900000002</v>
      </c>
      <c r="JX8" s="77">
        <v>509.86568199999999</v>
      </c>
      <c r="JY8" s="77">
        <v>229.42745600000001</v>
      </c>
      <c r="JZ8" s="77">
        <v>286.47917699999999</v>
      </c>
      <c r="KA8" s="77">
        <v>235.78326899999999</v>
      </c>
      <c r="KB8" s="77">
        <v>333.463842</v>
      </c>
      <c r="KC8" s="77">
        <v>345.344785</v>
      </c>
      <c r="KD8" s="77">
        <v>327.69541600000002</v>
      </c>
      <c r="KE8" s="77">
        <v>325.14927299999999</v>
      </c>
      <c r="KF8" s="77">
        <v>345.2072</v>
      </c>
      <c r="KG8" s="77">
        <v>335.48933299999999</v>
      </c>
      <c r="KH8" s="77">
        <v>327.901071</v>
      </c>
      <c r="KI8" s="77">
        <v>328.373221</v>
      </c>
      <c r="KJ8" s="77">
        <v>333.14496000000003</v>
      </c>
      <c r="KK8" s="77">
        <v>322.94375700000001</v>
      </c>
      <c r="KL8" s="77">
        <v>324.64822900000001</v>
      </c>
      <c r="KM8" s="77">
        <v>343.76795299999998</v>
      </c>
      <c r="KN8" s="77">
        <v>336.417529</v>
      </c>
      <c r="KO8" s="77">
        <v>328.06903299999999</v>
      </c>
      <c r="KP8" s="77">
        <v>329.99946699999998</v>
      </c>
      <c r="KQ8" s="77">
        <v>343.48823299999998</v>
      </c>
      <c r="KR8" s="77">
        <v>315.02088800000001</v>
      </c>
      <c r="KS8" s="77">
        <v>315.75861500000002</v>
      </c>
      <c r="KT8" s="77">
        <v>331.58853299999998</v>
      </c>
      <c r="KU8" s="77">
        <v>325.617142</v>
      </c>
      <c r="KV8" s="77">
        <v>313.36548499999998</v>
      </c>
      <c r="KW8" s="77">
        <v>317.21732400000002</v>
      </c>
      <c r="KX8" s="77">
        <v>329.18070499999999</v>
      </c>
      <c r="KY8" s="77">
        <v>317.16808099999997</v>
      </c>
      <c r="KZ8" s="77">
        <v>314.758217</v>
      </c>
      <c r="LA8" s="77">
        <v>336.49409600000001</v>
      </c>
      <c r="LB8" s="77">
        <v>327.26840199999998</v>
      </c>
      <c r="LC8" s="77">
        <v>319.895264</v>
      </c>
      <c r="LD8" s="77">
        <v>320.34175399999998</v>
      </c>
      <c r="LE8" s="77">
        <v>324.92748899999998</v>
      </c>
      <c r="LF8" s="77">
        <v>321.61710399999998</v>
      </c>
      <c r="LG8" s="77">
        <v>323.45165600000001</v>
      </c>
      <c r="LH8" s="77">
        <v>343.03135300000002</v>
      </c>
      <c r="LI8" s="77">
        <v>335.37910099999999</v>
      </c>
      <c r="LJ8" s="77">
        <v>326.49960099999998</v>
      </c>
      <c r="LK8" s="77">
        <v>328.50064600000002</v>
      </c>
      <c r="LL8" s="77">
        <v>342.56708900000001</v>
      </c>
      <c r="LM8" s="77">
        <v>329.26973199999998</v>
      </c>
      <c r="LN8" s="77">
        <v>330.16549800000001</v>
      </c>
      <c r="LO8" s="77">
        <v>347.61490700000002</v>
      </c>
      <c r="LP8" s="77">
        <v>341.43806899999998</v>
      </c>
      <c r="LQ8" s="77">
        <v>328.33670899999998</v>
      </c>
      <c r="LR8" s="77">
        <v>332.26598899999999</v>
      </c>
      <c r="LS8" s="77">
        <v>344.69071300000002</v>
      </c>
      <c r="LT8" s="77">
        <v>302.50262800000002</v>
      </c>
      <c r="LU8" s="77">
        <v>300.40961700000003</v>
      </c>
      <c r="LV8" s="77">
        <v>320.40689300000003</v>
      </c>
      <c r="LW8" s="77">
        <v>312.05899099999999</v>
      </c>
      <c r="LX8" s="77">
        <v>305.11839800000001</v>
      </c>
      <c r="LY8" s="77">
        <v>305.519677</v>
      </c>
      <c r="LZ8" s="77">
        <v>309.75753600000002</v>
      </c>
      <c r="MA8" s="77">
        <v>300.57888700000001</v>
      </c>
      <c r="MB8" s="77">
        <v>302.13938899999999</v>
      </c>
      <c r="MC8" s="77">
        <v>328.786542</v>
      </c>
      <c r="MD8" s="77">
        <v>321.55251500000003</v>
      </c>
      <c r="ME8" s="77">
        <v>313.21980000000002</v>
      </c>
      <c r="MF8" s="77">
        <v>315.11430300000001</v>
      </c>
      <c r="MG8" s="77">
        <v>328.40420399999999</v>
      </c>
      <c r="MH8" s="77">
        <v>302.58920699999999</v>
      </c>
      <c r="MI8" s="77">
        <v>303.31510600000001</v>
      </c>
      <c r="MJ8" s="77">
        <v>311.148008</v>
      </c>
      <c r="MK8" s="77">
        <v>305.18172499999997</v>
      </c>
      <c r="ML8" s="77">
        <v>293.39981499999999</v>
      </c>
      <c r="MM8" s="77">
        <v>297.30743999999999</v>
      </c>
      <c r="MN8" s="77">
        <v>309.20720799999998</v>
      </c>
      <c r="MO8" s="77">
        <v>317.30549300000001</v>
      </c>
      <c r="MP8" s="77">
        <v>315.134613</v>
      </c>
      <c r="MQ8" s="77">
        <v>337.72907199999997</v>
      </c>
      <c r="MR8" s="77">
        <v>328.515647</v>
      </c>
      <c r="MS8" s="77">
        <v>320.42780699999997</v>
      </c>
      <c r="MT8" s="77">
        <v>320.86632900000001</v>
      </c>
      <c r="MU8" s="77">
        <v>325.68420600000002</v>
      </c>
      <c r="MV8" s="77">
        <v>312.80220800000001</v>
      </c>
      <c r="MW8" s="77">
        <v>314.68643100000003</v>
      </c>
      <c r="MX8" s="77">
        <v>338.26132000000001</v>
      </c>
      <c r="MY8" s="77">
        <v>331.231967</v>
      </c>
      <c r="MZ8" s="77">
        <v>322.004977</v>
      </c>
      <c r="NA8" s="77">
        <v>323.79377099999999</v>
      </c>
      <c r="NB8" s="77">
        <v>336.85053299999998</v>
      </c>
      <c r="NC8" s="77">
        <v>286.91341199999999</v>
      </c>
      <c r="ND8" s="77">
        <v>287.73298599999998</v>
      </c>
      <c r="NE8" s="77">
        <v>299.79267199999998</v>
      </c>
      <c r="NF8" s="77">
        <v>294.24403100000001</v>
      </c>
      <c r="NG8" s="77">
        <v>282.62722100000002</v>
      </c>
      <c r="NH8" s="77">
        <v>286.17649999999998</v>
      </c>
      <c r="NI8" s="77">
        <v>297.31993399999999</v>
      </c>
      <c r="NJ8" s="77">
        <v>293.00228199999998</v>
      </c>
      <c r="NK8" s="77">
        <v>290.593681</v>
      </c>
      <c r="NL8" s="77">
        <v>311.49993799999999</v>
      </c>
      <c r="NM8" s="77">
        <v>302.52411999999998</v>
      </c>
      <c r="NN8" s="77">
        <v>295.54736800000001</v>
      </c>
      <c r="NO8" s="77">
        <v>295.98379999999997</v>
      </c>
      <c r="NP8" s="77">
        <v>300.38062100000002</v>
      </c>
      <c r="NQ8" s="77">
        <v>306.95684</v>
      </c>
      <c r="NR8" s="77">
        <v>308.67932200000001</v>
      </c>
      <c r="NS8" s="77">
        <v>322.39716499999997</v>
      </c>
      <c r="NT8" s="77">
        <v>314.66408300000001</v>
      </c>
      <c r="NU8" s="77">
        <v>306.55706400000003</v>
      </c>
      <c r="NV8" s="77">
        <v>308.61918100000003</v>
      </c>
      <c r="NW8" s="77">
        <v>322.72470299999998</v>
      </c>
      <c r="NX8" s="77">
        <v>308.87220200000002</v>
      </c>
      <c r="NY8" s="77">
        <v>309.696034</v>
      </c>
      <c r="NZ8" s="77">
        <v>332.990702</v>
      </c>
      <c r="OA8" s="77">
        <v>326.54689500000001</v>
      </c>
      <c r="OB8" s="77">
        <v>312.915346</v>
      </c>
      <c r="OC8" s="77">
        <v>317.01911200000001</v>
      </c>
      <c r="OD8" s="77">
        <v>329.97667300000001</v>
      </c>
      <c r="OE8" s="77">
        <v>304.63421599999998</v>
      </c>
      <c r="OF8" s="77">
        <v>302.48217</v>
      </c>
      <c r="OG8" s="77">
        <v>324.02069</v>
      </c>
      <c r="OH8" s="77">
        <v>315.144701</v>
      </c>
      <c r="OI8" s="77">
        <v>307.53954199999998</v>
      </c>
      <c r="OJ8" s="77">
        <v>307.96391999999997</v>
      </c>
      <c r="OK8" s="77">
        <v>312.54403200000002</v>
      </c>
      <c r="OL8" s="77">
        <v>302.74943100000002</v>
      </c>
      <c r="OM8" s="77">
        <v>304.31831699999998</v>
      </c>
      <c r="ON8" s="77">
        <v>338.69961899999998</v>
      </c>
      <c r="OO8" s="77">
        <v>331.47552300000001</v>
      </c>
      <c r="OP8" s="77">
        <v>322.59633100000002</v>
      </c>
      <c r="OQ8" s="77">
        <v>324.46249699999998</v>
      </c>
      <c r="OR8" s="77">
        <v>337.80465099999998</v>
      </c>
      <c r="OS8" s="77">
        <v>316.66524800000002</v>
      </c>
      <c r="OT8" s="77">
        <v>317.38288499999999</v>
      </c>
      <c r="OU8" s="77">
        <v>319.15726000000001</v>
      </c>
      <c r="OV8" s="77">
        <v>312.79415799999998</v>
      </c>
      <c r="OW8" s="77">
        <v>300.73929299999998</v>
      </c>
      <c r="OX8" s="77">
        <v>304.97251699999998</v>
      </c>
      <c r="OY8" s="77">
        <v>317.60442399999999</v>
      </c>
      <c r="OZ8" s="77">
        <v>293.85067199999997</v>
      </c>
      <c r="PA8" s="77">
        <v>291.367617</v>
      </c>
      <c r="PB8" s="77">
        <v>311.75069400000001</v>
      </c>
      <c r="PC8" s="77">
        <v>302.84760599999998</v>
      </c>
      <c r="PD8" s="77">
        <v>296.216183</v>
      </c>
      <c r="PE8" s="77">
        <v>296.65200900000002</v>
      </c>
      <c r="PF8" s="77">
        <v>300.918252</v>
      </c>
      <c r="PG8" s="77">
        <v>311.24285200000003</v>
      </c>
      <c r="PH8" s="77">
        <v>313.01049899999998</v>
      </c>
      <c r="PI8" s="77">
        <v>323.79166199999997</v>
      </c>
      <c r="PJ8" s="77">
        <v>316.60923200000002</v>
      </c>
      <c r="PK8" s="77">
        <v>308.62445300000002</v>
      </c>
      <c r="PL8" s="77">
        <v>310.51876299999998</v>
      </c>
      <c r="PM8" s="77">
        <v>323.67743000000002</v>
      </c>
      <c r="PN8" s="77">
        <v>313.60688599999997</v>
      </c>
      <c r="PO8" s="77">
        <v>314.41703100000001</v>
      </c>
      <c r="PP8" s="77">
        <v>340.00289600000002</v>
      </c>
      <c r="PQ8" s="77">
        <v>333.68429600000002</v>
      </c>
      <c r="PR8" s="77">
        <v>320.16408000000001</v>
      </c>
      <c r="PS8" s="77">
        <v>324.16838000000001</v>
      </c>
      <c r="PT8" s="77">
        <v>336.89200099999999</v>
      </c>
      <c r="PU8" s="77">
        <v>309.95361100000002</v>
      </c>
      <c r="PV8" s="77">
        <v>307.85934200000003</v>
      </c>
      <c r="PW8" s="77">
        <v>329.325264</v>
      </c>
      <c r="PX8" s="77">
        <v>320.53616899999997</v>
      </c>
      <c r="PY8" s="77">
        <v>312.89259399999997</v>
      </c>
      <c r="PZ8" s="77">
        <v>313.311666</v>
      </c>
      <c r="QA8" s="77">
        <v>317.88404800000001</v>
      </c>
      <c r="QB8" s="77">
        <v>312.42614400000002</v>
      </c>
      <c r="QC8" s="77">
        <v>314.145982</v>
      </c>
      <c r="QD8" s="77">
        <v>329.96020900000002</v>
      </c>
      <c r="QE8" s="77">
        <v>323.217555</v>
      </c>
      <c r="QF8" s="77">
        <v>315.12876899999998</v>
      </c>
      <c r="QG8" s="77">
        <v>316.87974700000001</v>
      </c>
      <c r="QH8" s="77">
        <v>329.30763300000001</v>
      </c>
      <c r="QI8" s="77">
        <v>277.012585</v>
      </c>
      <c r="QJ8" s="77">
        <v>277.70582999999999</v>
      </c>
      <c r="QK8" s="77">
        <v>294.08067599999998</v>
      </c>
      <c r="QL8" s="77">
        <v>288.82728100000003</v>
      </c>
      <c r="QM8" s="77">
        <v>277.79395899999997</v>
      </c>
      <c r="QN8" s="77">
        <v>281.149899</v>
      </c>
      <c r="QO8" s="77">
        <v>291.70442100000002</v>
      </c>
      <c r="QP8" s="77">
        <v>278.70531199999999</v>
      </c>
      <c r="QQ8" s="77">
        <v>276.66880600000002</v>
      </c>
      <c r="QR8" s="77">
        <v>295.17809199999999</v>
      </c>
      <c r="QS8" s="77">
        <v>287.33952399999998</v>
      </c>
    </row>
    <row r="9" spans="1:461" x14ac:dyDescent="0.25">
      <c r="F9" s="76" t="str">
        <f xml:space="preserve"> _xll.EPMOlapMemberO("[PRDDESCR].[].[HELGAS GFREE MIXED GRAIN 500G]","","HELGAS GFREE MIXED GRAIN 500G","","000")</f>
        <v>HELGAS GFREE MIXED GRAIN 500G</v>
      </c>
      <c r="G9" s="76" t="str">
        <f xml:space="preserve"> _xll.EPMOlapMemberO("[PRDID].[].[168847]","","168847","","000")</f>
        <v>168847</v>
      </c>
      <c r="H9" s="76" t="str">
        <f xml:space="preserve"> _xll.EPMOlapMemberO("[LOCID].[].[6110]","","6110","","000")</f>
        <v>6110</v>
      </c>
      <c r="I9" s="76" t="str">
        <f xml:space="preserve"> _xll.EPMOlapMemberO("[LOCDESCR].[].[QBA-Burleigh Heads]","","QBA-Burleigh Heads","","000")</f>
        <v>QBA-Burleigh Heads</v>
      </c>
      <c r="J9" s="76" t="str">
        <f xml:space="preserve"> _xll.EPMOlapMemberO("[KEY_FIGURES].[].[ZGFAPPROVEDFCSTQTY]","","Approved Forecast","","000")</f>
        <v>Approved Forecast</v>
      </c>
      <c r="K9" s="77">
        <v>1019.912722</v>
      </c>
      <c r="L9" s="77">
        <v>517.28685700000005</v>
      </c>
      <c r="M9" s="77">
        <v>822.43893400000002</v>
      </c>
      <c r="N9" s="77">
        <v>501.20675699999998</v>
      </c>
      <c r="O9" s="77">
        <v>840.11567100000002</v>
      </c>
      <c r="P9" s="77">
        <v>618.55735300000003</v>
      </c>
      <c r="Q9" s="77">
        <v>0.215478</v>
      </c>
      <c r="R9" s="77">
        <v>1020.2111599999999</v>
      </c>
      <c r="S9" s="77">
        <v>521.37708799999996</v>
      </c>
      <c r="T9" s="77">
        <v>834.03889800000002</v>
      </c>
      <c r="U9" s="77">
        <v>509.44575400000002</v>
      </c>
      <c r="V9" s="77">
        <v>846.42845599999998</v>
      </c>
      <c r="W9" s="77">
        <v>623.41977799999995</v>
      </c>
      <c r="X9" s="77">
        <v>0</v>
      </c>
      <c r="Y9" s="77">
        <v>1014.792994</v>
      </c>
      <c r="Z9" s="77">
        <v>525.591859</v>
      </c>
      <c r="AA9" s="77">
        <v>819.46571600000004</v>
      </c>
      <c r="AB9" s="77">
        <v>544.96785499999999</v>
      </c>
      <c r="AC9" s="77">
        <v>844.02081999999996</v>
      </c>
      <c r="AD9" s="77">
        <v>622.73846200000003</v>
      </c>
      <c r="AE9" s="77"/>
      <c r="AF9" s="77"/>
      <c r="AG9" s="77"/>
      <c r="AH9" s="77"/>
      <c r="AI9" s="77"/>
      <c r="AJ9" s="77"/>
      <c r="AK9" s="77"/>
      <c r="AL9" s="77">
        <v>0</v>
      </c>
      <c r="AM9" s="77">
        <v>945.04656399999999</v>
      </c>
      <c r="AN9" s="77">
        <v>489.96094099999999</v>
      </c>
      <c r="AO9" s="77">
        <v>761.93761700000005</v>
      </c>
      <c r="AP9" s="77">
        <v>512.16694399999994</v>
      </c>
      <c r="AQ9" s="77">
        <v>780.24952800000005</v>
      </c>
      <c r="AR9" s="77">
        <v>568.12252799999999</v>
      </c>
      <c r="AS9" s="77">
        <v>0</v>
      </c>
      <c r="AT9" s="77">
        <v>919.57439699999998</v>
      </c>
      <c r="AU9" s="77">
        <v>476.68654600000002</v>
      </c>
      <c r="AV9" s="77">
        <v>740.90701100000001</v>
      </c>
      <c r="AW9" s="77">
        <v>496.89052500000003</v>
      </c>
      <c r="AX9" s="77">
        <v>758.91261799999995</v>
      </c>
      <c r="AY9" s="77">
        <v>551.45542399999999</v>
      </c>
      <c r="AZ9" s="77">
        <v>0</v>
      </c>
      <c r="BA9" s="77">
        <v>944.654989</v>
      </c>
      <c r="BB9" s="77">
        <v>493.82928600000002</v>
      </c>
      <c r="BC9" s="77">
        <v>760.476223</v>
      </c>
      <c r="BD9" s="77">
        <v>514.260626</v>
      </c>
      <c r="BE9" s="77">
        <v>779.29580099999998</v>
      </c>
      <c r="BF9" s="77">
        <v>563.52095099999997</v>
      </c>
      <c r="BG9" s="77">
        <v>0</v>
      </c>
      <c r="BH9" s="77">
        <v>1060.609007</v>
      </c>
      <c r="BI9" s="77">
        <v>536.60225700000001</v>
      </c>
      <c r="BJ9" s="77">
        <v>822.89087099999995</v>
      </c>
      <c r="BK9" s="77">
        <v>561.09602800000005</v>
      </c>
      <c r="BL9" s="77">
        <v>841.48877000000005</v>
      </c>
      <c r="BM9" s="77">
        <v>610.31934699999999</v>
      </c>
      <c r="BN9" s="77">
        <v>0</v>
      </c>
      <c r="BO9" s="77">
        <v>1034.8235870000001</v>
      </c>
      <c r="BP9" s="77">
        <v>540.61758699999996</v>
      </c>
      <c r="BQ9" s="77">
        <v>832.86827200000005</v>
      </c>
      <c r="BR9" s="77">
        <v>565.78850499999999</v>
      </c>
      <c r="BS9" s="77">
        <v>851.13659900000005</v>
      </c>
      <c r="BT9" s="77">
        <v>620.46389199999999</v>
      </c>
      <c r="BU9" s="77">
        <v>0</v>
      </c>
      <c r="BV9" s="77">
        <v>959.26753599999995</v>
      </c>
      <c r="BW9" s="77">
        <v>520.31496900000002</v>
      </c>
      <c r="BX9" s="77">
        <v>805.41350499999999</v>
      </c>
      <c r="BY9" s="77">
        <v>544.48146599999995</v>
      </c>
      <c r="BZ9" s="77">
        <v>824.49171799999999</v>
      </c>
      <c r="CA9" s="77">
        <v>601.18666800000005</v>
      </c>
      <c r="CB9" s="77">
        <v>0</v>
      </c>
      <c r="CC9" s="77">
        <v>954.65972899999997</v>
      </c>
      <c r="CD9" s="77">
        <v>493.25447100000002</v>
      </c>
      <c r="CE9" s="77">
        <v>770.64119100000005</v>
      </c>
      <c r="CF9" s="77">
        <v>515.865723</v>
      </c>
      <c r="CG9" s="77">
        <v>788.65002800000002</v>
      </c>
      <c r="CH9" s="77">
        <v>577.29789100000005</v>
      </c>
      <c r="CI9" s="77">
        <v>0</v>
      </c>
      <c r="CJ9" s="77">
        <v>974.40548799999999</v>
      </c>
      <c r="CK9" s="77">
        <v>510.63023800000002</v>
      </c>
      <c r="CL9" s="77">
        <v>784.64290400000004</v>
      </c>
      <c r="CM9" s="77">
        <v>532.97268399999996</v>
      </c>
      <c r="CN9" s="77">
        <v>804.00734799999998</v>
      </c>
      <c r="CO9" s="77">
        <v>581.47926800000005</v>
      </c>
      <c r="CP9" s="77">
        <v>0</v>
      </c>
      <c r="CQ9" s="77">
        <v>1044.4940409999999</v>
      </c>
      <c r="CR9" s="77">
        <v>540.42689700000005</v>
      </c>
      <c r="CS9" s="77">
        <v>845.18975899999998</v>
      </c>
      <c r="CT9" s="77">
        <v>568.13728900000001</v>
      </c>
      <c r="CU9" s="77">
        <v>863.98583599999995</v>
      </c>
      <c r="CV9" s="77">
        <v>637.45470299999999</v>
      </c>
      <c r="CW9" s="77">
        <v>0</v>
      </c>
      <c r="CX9" s="77">
        <v>1028.480135</v>
      </c>
      <c r="CY9" s="77">
        <v>536.00079700000003</v>
      </c>
      <c r="CZ9" s="77">
        <v>830.57196899999997</v>
      </c>
      <c r="DA9" s="77">
        <v>561.91203499999995</v>
      </c>
      <c r="DB9" s="77">
        <v>849.88074300000005</v>
      </c>
      <c r="DC9" s="77">
        <v>621.68884200000002</v>
      </c>
      <c r="DD9" s="77">
        <v>0</v>
      </c>
      <c r="DE9" s="77">
        <v>967.62350500000002</v>
      </c>
      <c r="DF9" s="77">
        <v>522.79086500000005</v>
      </c>
      <c r="DG9" s="77">
        <v>813.89509799999996</v>
      </c>
      <c r="DH9" s="77">
        <v>548.19626100000005</v>
      </c>
      <c r="DI9" s="77">
        <v>832.69164699999999</v>
      </c>
      <c r="DJ9" s="77">
        <v>610.30365099999995</v>
      </c>
      <c r="DK9" s="77">
        <v>0</v>
      </c>
      <c r="DL9" s="77">
        <v>949.10520299999996</v>
      </c>
      <c r="DM9" s="77">
        <v>474.956795</v>
      </c>
      <c r="DN9" s="77">
        <v>736.15207799999996</v>
      </c>
      <c r="DO9" s="77">
        <v>495.77795700000001</v>
      </c>
      <c r="DP9" s="77">
        <v>754.46815500000002</v>
      </c>
      <c r="DQ9" s="77">
        <v>545.88138000000004</v>
      </c>
      <c r="DR9" s="77">
        <v>0</v>
      </c>
      <c r="DS9" s="77">
        <v>965.02466200000003</v>
      </c>
      <c r="DT9" s="77">
        <v>500.56366500000001</v>
      </c>
      <c r="DU9" s="77">
        <v>778.43458099999998</v>
      </c>
      <c r="DV9" s="77">
        <v>524.04746599999999</v>
      </c>
      <c r="DW9" s="77">
        <v>796.97129399999994</v>
      </c>
      <c r="DX9" s="77">
        <v>581.19462799999997</v>
      </c>
      <c r="DY9" s="77">
        <v>0</v>
      </c>
      <c r="DZ9" s="77">
        <v>1055.124828</v>
      </c>
      <c r="EA9" s="77">
        <v>536.77954399999999</v>
      </c>
      <c r="EB9" s="77">
        <v>836.55497400000002</v>
      </c>
      <c r="EC9" s="77">
        <v>563.17908599999998</v>
      </c>
      <c r="ED9" s="77">
        <v>855.44459800000004</v>
      </c>
      <c r="EE9" s="77">
        <v>629.24069099999997</v>
      </c>
      <c r="EF9" s="77">
        <v>0</v>
      </c>
      <c r="EG9" s="77">
        <v>969.66410800000006</v>
      </c>
      <c r="EH9" s="77">
        <v>512.85493499999995</v>
      </c>
      <c r="EI9" s="77">
        <v>796.44386899999995</v>
      </c>
      <c r="EJ9" s="77">
        <v>537.08551399999999</v>
      </c>
      <c r="EK9" s="77">
        <v>815.24124700000004</v>
      </c>
      <c r="EL9" s="77">
        <v>595.19042300000001</v>
      </c>
      <c r="EM9" s="77">
        <v>0</v>
      </c>
      <c r="EN9" s="77">
        <v>962.12743399999999</v>
      </c>
      <c r="EO9" s="77">
        <v>504.99790000000002</v>
      </c>
      <c r="EP9" s="77">
        <v>774.19283499999995</v>
      </c>
      <c r="EQ9" s="77">
        <v>526.419622</v>
      </c>
      <c r="ER9" s="77">
        <v>793.57601599999998</v>
      </c>
      <c r="ES9" s="77">
        <v>572.26622299999997</v>
      </c>
      <c r="ET9" s="77">
        <v>0</v>
      </c>
      <c r="EU9" s="77">
        <v>961.01127299999996</v>
      </c>
      <c r="EV9" s="77">
        <v>504.29766000000001</v>
      </c>
      <c r="EW9" s="77">
        <v>773.52448700000002</v>
      </c>
      <c r="EX9" s="77">
        <v>524.851135</v>
      </c>
      <c r="EY9" s="77">
        <v>792.72321199999999</v>
      </c>
      <c r="EZ9" s="77">
        <v>572.46902499999999</v>
      </c>
      <c r="FA9" s="77">
        <v>0</v>
      </c>
      <c r="FB9" s="77">
        <v>1081.2020560000001</v>
      </c>
      <c r="FC9" s="77">
        <v>549.69593399999997</v>
      </c>
      <c r="FD9" s="77">
        <v>848.40561100000002</v>
      </c>
      <c r="FE9" s="77">
        <v>575.79852900000003</v>
      </c>
      <c r="FF9" s="77">
        <v>868.13649299999997</v>
      </c>
      <c r="FG9" s="77">
        <v>634.46939699999996</v>
      </c>
      <c r="FH9" s="77">
        <v>0</v>
      </c>
      <c r="FI9" s="77">
        <v>1046.9370449999999</v>
      </c>
      <c r="FJ9" s="77">
        <v>566.54012899999998</v>
      </c>
      <c r="FK9" s="77">
        <v>869.39574300000004</v>
      </c>
      <c r="FL9" s="77">
        <v>591.75793699999997</v>
      </c>
      <c r="FM9" s="77">
        <v>889.56559300000004</v>
      </c>
      <c r="FN9" s="77">
        <v>649.50161300000002</v>
      </c>
      <c r="FO9" s="77">
        <v>0</v>
      </c>
      <c r="FP9" s="77">
        <v>999.12885700000004</v>
      </c>
      <c r="FQ9" s="77">
        <v>539.98115099999995</v>
      </c>
      <c r="FR9" s="77">
        <v>811.55933700000003</v>
      </c>
      <c r="FS9" s="77">
        <v>560.72641799999997</v>
      </c>
      <c r="FT9" s="77">
        <v>832.69028900000001</v>
      </c>
      <c r="FU9" s="77">
        <v>593.89015099999995</v>
      </c>
      <c r="FV9" s="77">
        <v>0</v>
      </c>
      <c r="FW9" s="77">
        <v>982.92752299999995</v>
      </c>
      <c r="FX9" s="77">
        <v>510.42323299999998</v>
      </c>
      <c r="FY9" s="77">
        <v>782.49278100000004</v>
      </c>
      <c r="FZ9" s="77">
        <v>532.72123299999998</v>
      </c>
      <c r="GA9" s="77">
        <v>802.04099599999995</v>
      </c>
      <c r="GB9" s="77">
        <v>578.62070500000004</v>
      </c>
      <c r="GC9" s="77">
        <v>0</v>
      </c>
      <c r="GD9" s="77">
        <v>946.66581799999994</v>
      </c>
      <c r="GE9" s="77">
        <v>518.07813999999996</v>
      </c>
      <c r="GF9" s="77">
        <v>800.36877900000002</v>
      </c>
      <c r="GG9" s="77">
        <v>540.15103399999998</v>
      </c>
      <c r="GH9" s="77">
        <v>819.27280900000005</v>
      </c>
      <c r="GI9" s="77">
        <v>597.27246200000002</v>
      </c>
      <c r="GJ9" s="77">
        <v>0</v>
      </c>
      <c r="GK9" s="77">
        <v>1016.015789</v>
      </c>
      <c r="GL9" s="77">
        <v>505.64069499999999</v>
      </c>
      <c r="GM9" s="77">
        <v>779.46627599999999</v>
      </c>
      <c r="GN9" s="77">
        <v>527.815155</v>
      </c>
      <c r="GO9" s="77">
        <v>798.52330600000005</v>
      </c>
      <c r="GP9" s="77">
        <v>578.77059899999995</v>
      </c>
      <c r="GQ9" s="77">
        <v>0</v>
      </c>
      <c r="GR9" s="77">
        <v>938.58310300000005</v>
      </c>
      <c r="GS9" s="77">
        <v>491.07283899999999</v>
      </c>
      <c r="GT9" s="77">
        <v>755.17783499999996</v>
      </c>
      <c r="GU9" s="77">
        <v>511.50071100000002</v>
      </c>
      <c r="GV9" s="77">
        <v>774.09665700000005</v>
      </c>
      <c r="GW9" s="77">
        <v>558.48337800000002</v>
      </c>
      <c r="GX9" s="77">
        <v>0</v>
      </c>
      <c r="GY9" s="77">
        <v>1013.589704</v>
      </c>
      <c r="GZ9" s="77">
        <v>528.26723300000003</v>
      </c>
      <c r="HA9" s="77">
        <v>820.12055899999996</v>
      </c>
      <c r="HB9" s="77">
        <v>552.43190000000004</v>
      </c>
      <c r="HC9" s="77">
        <v>838.97064799999998</v>
      </c>
      <c r="HD9" s="77">
        <v>614.89919799999996</v>
      </c>
      <c r="HE9" s="77">
        <v>0</v>
      </c>
      <c r="HF9" s="77">
        <v>1030.668936</v>
      </c>
      <c r="HG9" s="77">
        <v>538.08606299999997</v>
      </c>
      <c r="HH9" s="77">
        <v>830.80742099999998</v>
      </c>
      <c r="HI9" s="77">
        <v>562.13534300000003</v>
      </c>
      <c r="HJ9" s="77">
        <v>850.13930200000004</v>
      </c>
      <c r="HK9" s="77">
        <v>621.209292</v>
      </c>
      <c r="HL9" s="77">
        <v>0</v>
      </c>
      <c r="HM9" s="77">
        <v>969.92265299999997</v>
      </c>
      <c r="HN9" s="77">
        <v>514.18598499999996</v>
      </c>
      <c r="HO9" s="77">
        <v>780.73064799999997</v>
      </c>
      <c r="HP9" s="77">
        <v>534.72385799999995</v>
      </c>
      <c r="HQ9" s="77">
        <v>800.29982500000006</v>
      </c>
      <c r="HR9" s="77">
        <v>575.43926499999998</v>
      </c>
      <c r="HS9" s="77">
        <v>0</v>
      </c>
      <c r="HT9" s="77">
        <v>961.91264000000001</v>
      </c>
      <c r="HU9" s="77">
        <v>498.45304099999998</v>
      </c>
      <c r="HV9" s="77">
        <v>757.08246199999996</v>
      </c>
      <c r="HW9" s="77">
        <v>517.94305199999997</v>
      </c>
      <c r="HX9" s="77">
        <v>776.29233699999997</v>
      </c>
      <c r="HY9" s="77">
        <v>556.984871</v>
      </c>
      <c r="HZ9" s="77">
        <v>0</v>
      </c>
      <c r="IA9" s="77">
        <v>1002.009752</v>
      </c>
      <c r="IB9" s="77">
        <v>535.58860900000002</v>
      </c>
      <c r="IC9" s="77">
        <v>819.50307699999996</v>
      </c>
      <c r="ID9" s="77">
        <v>558.80034000000001</v>
      </c>
      <c r="IE9" s="77">
        <v>839.47210600000005</v>
      </c>
      <c r="IF9" s="77">
        <v>607.83667700000001</v>
      </c>
      <c r="IG9" s="77">
        <v>0</v>
      </c>
      <c r="IH9" s="77">
        <v>1104.911441</v>
      </c>
      <c r="II9" s="77">
        <v>573.47148600000003</v>
      </c>
      <c r="IJ9" s="77">
        <v>899.32344499999999</v>
      </c>
      <c r="IK9" s="77">
        <v>603.39201400000002</v>
      </c>
      <c r="IL9" s="77">
        <v>918.25446899999997</v>
      </c>
      <c r="IM9" s="77">
        <v>683.13716099999999</v>
      </c>
      <c r="IN9" s="77">
        <v>0</v>
      </c>
      <c r="IO9" s="77">
        <v>1083.310041</v>
      </c>
      <c r="IP9" s="77">
        <v>566.77089999999998</v>
      </c>
      <c r="IQ9" s="77">
        <v>881.37791200000004</v>
      </c>
      <c r="IR9" s="77">
        <v>595.04648199999997</v>
      </c>
      <c r="IS9" s="77">
        <v>900.81971399999998</v>
      </c>
      <c r="IT9" s="77">
        <v>664.61565800000005</v>
      </c>
      <c r="IU9" s="77">
        <v>0</v>
      </c>
      <c r="IV9" s="77">
        <v>1057.789035</v>
      </c>
      <c r="IW9" s="77">
        <v>544.27792399999998</v>
      </c>
      <c r="IX9" s="77">
        <v>845.76187900000002</v>
      </c>
      <c r="IY9" s="77">
        <v>570.608339</v>
      </c>
      <c r="IZ9" s="77">
        <v>864.91296</v>
      </c>
      <c r="JA9" s="77">
        <v>635.54385300000001</v>
      </c>
      <c r="JB9" s="77">
        <v>0</v>
      </c>
      <c r="JC9" s="77">
        <v>998.81598099999997</v>
      </c>
      <c r="JD9" s="77">
        <v>523.67908</v>
      </c>
      <c r="JE9" s="77">
        <v>810.36684600000001</v>
      </c>
      <c r="JF9" s="77">
        <v>547.66852700000004</v>
      </c>
      <c r="JG9" s="77">
        <v>829.45317399999999</v>
      </c>
      <c r="JH9" s="77">
        <v>605.27820799999995</v>
      </c>
      <c r="JI9" s="77">
        <v>0</v>
      </c>
      <c r="JJ9" s="77">
        <v>1030.3766149999999</v>
      </c>
      <c r="JK9" s="77">
        <v>549.13004799999999</v>
      </c>
      <c r="JL9" s="77">
        <v>847.51963899999998</v>
      </c>
      <c r="JM9" s="77">
        <v>573.47351800000001</v>
      </c>
      <c r="JN9" s="77">
        <v>866.97004000000004</v>
      </c>
      <c r="JO9" s="77">
        <v>634.76650700000005</v>
      </c>
      <c r="JP9" s="77">
        <v>0</v>
      </c>
      <c r="JQ9" s="77">
        <v>980.21050000000002</v>
      </c>
      <c r="JR9" s="77">
        <v>536.025711</v>
      </c>
      <c r="JS9" s="77">
        <v>793.37807099999998</v>
      </c>
      <c r="JT9" s="77">
        <v>552.63455899999997</v>
      </c>
      <c r="JU9" s="77">
        <v>815.10017200000004</v>
      </c>
      <c r="JV9" s="77">
        <v>573.97982300000001</v>
      </c>
      <c r="JW9" s="77">
        <v>0.32594200000000001</v>
      </c>
      <c r="JX9" s="77">
        <v>1653.3627509999999</v>
      </c>
      <c r="JY9" s="77">
        <v>815.46974999999998</v>
      </c>
      <c r="JZ9" s="77">
        <v>1322.081968</v>
      </c>
      <c r="KA9" s="77">
        <v>834.70658900000001</v>
      </c>
      <c r="KB9" s="77">
        <v>0.31490800000000002</v>
      </c>
      <c r="KC9" s="77">
        <v>0.40405799999999997</v>
      </c>
      <c r="KD9" s="77">
        <v>629.20802600000002</v>
      </c>
      <c r="KE9" s="77">
        <v>672.96948699999996</v>
      </c>
      <c r="KF9" s="77">
        <v>699.55312400000003</v>
      </c>
      <c r="KG9" s="77">
        <v>703.72899199999995</v>
      </c>
      <c r="KH9" s="77">
        <v>691.43534399999999</v>
      </c>
      <c r="KI9" s="77">
        <v>647.97056899999995</v>
      </c>
      <c r="KJ9" s="77">
        <v>688.96079499999996</v>
      </c>
      <c r="KK9" s="77">
        <v>620.05038999999999</v>
      </c>
      <c r="KL9" s="77">
        <v>663.43238099999996</v>
      </c>
      <c r="KM9" s="77">
        <v>702.89149099999997</v>
      </c>
      <c r="KN9" s="77">
        <v>707.033188</v>
      </c>
      <c r="KO9" s="77">
        <v>694.49967900000001</v>
      </c>
      <c r="KP9" s="77">
        <v>651.04560000000004</v>
      </c>
      <c r="KQ9" s="77">
        <v>692.53241100000002</v>
      </c>
      <c r="KR9" s="77">
        <v>581.195019</v>
      </c>
      <c r="KS9" s="77">
        <v>622.54453899999999</v>
      </c>
      <c r="KT9" s="77">
        <v>647.01958999999999</v>
      </c>
      <c r="KU9" s="77">
        <v>651.97436700000003</v>
      </c>
      <c r="KV9" s="77">
        <v>638.42733099999998</v>
      </c>
      <c r="KW9" s="77">
        <v>599.89240400000006</v>
      </c>
      <c r="KX9" s="77">
        <v>639.744866</v>
      </c>
      <c r="KY9" s="77">
        <v>573.45026299999995</v>
      </c>
      <c r="KZ9" s="77">
        <v>614.259365</v>
      </c>
      <c r="LA9" s="77">
        <v>643.529225</v>
      </c>
      <c r="LB9" s="77">
        <v>648.51095599999996</v>
      </c>
      <c r="LC9" s="77">
        <v>635.49489400000004</v>
      </c>
      <c r="LD9" s="77">
        <v>596.68856100000005</v>
      </c>
      <c r="LE9" s="77">
        <v>635.63161200000002</v>
      </c>
      <c r="LF9" s="77">
        <v>577.90100800000005</v>
      </c>
      <c r="LG9" s="77">
        <v>618.16056300000002</v>
      </c>
      <c r="LH9" s="77">
        <v>651.72688000000005</v>
      </c>
      <c r="LI9" s="77">
        <v>656.43974300000002</v>
      </c>
      <c r="LJ9" s="77">
        <v>646.91765799999996</v>
      </c>
      <c r="LK9" s="77">
        <v>604.054169</v>
      </c>
      <c r="LL9" s="77">
        <v>638.75223300000005</v>
      </c>
      <c r="LM9" s="77">
        <v>589.42225499999995</v>
      </c>
      <c r="LN9" s="77">
        <v>631.33399699999995</v>
      </c>
      <c r="LO9" s="77">
        <v>657.73404600000003</v>
      </c>
      <c r="LP9" s="77">
        <v>662.56195300000002</v>
      </c>
      <c r="LQ9" s="77">
        <v>648.60397799999998</v>
      </c>
      <c r="LR9" s="77">
        <v>609.73945400000002</v>
      </c>
      <c r="LS9" s="77">
        <v>650.70900600000004</v>
      </c>
      <c r="LT9" s="77">
        <v>573.16171599999996</v>
      </c>
      <c r="LU9" s="77">
        <v>614.193713</v>
      </c>
      <c r="LV9" s="77">
        <v>643.63180399999999</v>
      </c>
      <c r="LW9" s="77">
        <v>648.648909</v>
      </c>
      <c r="LX9" s="77">
        <v>634.705963</v>
      </c>
      <c r="LY9" s="77">
        <v>596.79302800000005</v>
      </c>
      <c r="LZ9" s="77">
        <v>637.002251</v>
      </c>
      <c r="MA9" s="77">
        <v>572.81273699999997</v>
      </c>
      <c r="MB9" s="77">
        <v>613.808853</v>
      </c>
      <c r="MC9" s="77">
        <v>666.60813299999995</v>
      </c>
      <c r="MD9" s="77">
        <v>671.28982099999996</v>
      </c>
      <c r="ME9" s="77">
        <v>657.92957999999999</v>
      </c>
      <c r="MF9" s="77">
        <v>617.86054100000001</v>
      </c>
      <c r="MG9" s="77">
        <v>658.49470299999996</v>
      </c>
      <c r="MH9" s="77">
        <v>634.61472900000001</v>
      </c>
      <c r="MI9" s="77">
        <v>678.77582099999995</v>
      </c>
      <c r="MJ9" s="77">
        <v>685.41291699999999</v>
      </c>
      <c r="MK9" s="77">
        <v>689.82740200000001</v>
      </c>
      <c r="ML9" s="77">
        <v>676.57121500000005</v>
      </c>
      <c r="MM9" s="77">
        <v>635.06178999999997</v>
      </c>
      <c r="MN9" s="77">
        <v>676.57995400000004</v>
      </c>
      <c r="MO9" s="77">
        <v>581.69734300000005</v>
      </c>
      <c r="MP9" s="77">
        <v>622.88838699999997</v>
      </c>
      <c r="MQ9" s="77">
        <v>652.746216</v>
      </c>
      <c r="MR9" s="77">
        <v>657.58709799999997</v>
      </c>
      <c r="MS9" s="77">
        <v>644.909493</v>
      </c>
      <c r="MT9" s="77">
        <v>605.12582399999997</v>
      </c>
      <c r="MU9" s="77">
        <v>644.10510399999998</v>
      </c>
      <c r="MV9" s="77">
        <v>595.38298599999996</v>
      </c>
      <c r="MW9" s="77">
        <v>637.67714599999999</v>
      </c>
      <c r="MX9" s="77">
        <v>682.11416599999995</v>
      </c>
      <c r="MY9" s="77">
        <v>686.58918200000005</v>
      </c>
      <c r="MZ9" s="77">
        <v>672.96148200000005</v>
      </c>
      <c r="NA9" s="77">
        <v>632.04614800000002</v>
      </c>
      <c r="NB9" s="77">
        <v>673.89113199999997</v>
      </c>
      <c r="NC9" s="77">
        <v>595.41705899999999</v>
      </c>
      <c r="ND9" s="77">
        <v>637.38583300000005</v>
      </c>
      <c r="NE9" s="77">
        <v>655.41367300000002</v>
      </c>
      <c r="NF9" s="77">
        <v>660.234466</v>
      </c>
      <c r="NG9" s="77">
        <v>647.19658600000002</v>
      </c>
      <c r="NH9" s="77">
        <v>607.58779300000003</v>
      </c>
      <c r="NI9" s="77">
        <v>647.19124199999999</v>
      </c>
      <c r="NJ9" s="77">
        <v>559.15767800000003</v>
      </c>
      <c r="NK9" s="77">
        <v>599.31670099999997</v>
      </c>
      <c r="NL9" s="77">
        <v>627.56533999999999</v>
      </c>
      <c r="NM9" s="77">
        <v>632.80059500000004</v>
      </c>
      <c r="NN9" s="77">
        <v>619.07603600000004</v>
      </c>
      <c r="NO9" s="77">
        <v>582.10551999999996</v>
      </c>
      <c r="NP9" s="77">
        <v>621.13353099999995</v>
      </c>
      <c r="NQ9" s="77">
        <v>592.78036199999997</v>
      </c>
      <c r="NR9" s="77">
        <v>634.77624000000003</v>
      </c>
      <c r="NS9" s="77">
        <v>658.99321999999995</v>
      </c>
      <c r="NT9" s="77">
        <v>663.780936</v>
      </c>
      <c r="NU9" s="77">
        <v>650.26182100000005</v>
      </c>
      <c r="NV9" s="77">
        <v>610.85479499999997</v>
      </c>
      <c r="NW9" s="77">
        <v>651.31630399999995</v>
      </c>
      <c r="NX9" s="77">
        <v>601.34735899999998</v>
      </c>
      <c r="NY9" s="77">
        <v>643.30578700000001</v>
      </c>
      <c r="NZ9" s="77">
        <v>681.848792</v>
      </c>
      <c r="OA9" s="77">
        <v>686.20252000000005</v>
      </c>
      <c r="OB9" s="77">
        <v>675.30293099999994</v>
      </c>
      <c r="OC9" s="77">
        <v>631.67094099999997</v>
      </c>
      <c r="OD9" s="77">
        <v>669.85594500000002</v>
      </c>
      <c r="OE9" s="77">
        <v>550.10068100000001</v>
      </c>
      <c r="OF9" s="77">
        <v>589.723433</v>
      </c>
      <c r="OG9" s="77">
        <v>617.24450200000001</v>
      </c>
      <c r="OH9" s="77">
        <v>622.61169600000005</v>
      </c>
      <c r="OI9" s="77">
        <v>609.04089599999998</v>
      </c>
      <c r="OJ9" s="77">
        <v>572.62373500000001</v>
      </c>
      <c r="OK9" s="77">
        <v>610.90446899999995</v>
      </c>
      <c r="OL9" s="77">
        <v>534.61080300000003</v>
      </c>
      <c r="OM9" s="77">
        <v>573.05782899999997</v>
      </c>
      <c r="ON9" s="77">
        <v>634.23834399999998</v>
      </c>
      <c r="OO9" s="77">
        <v>639.26241800000003</v>
      </c>
      <c r="OP9" s="77">
        <v>628.00049200000001</v>
      </c>
      <c r="OQ9" s="77">
        <v>588.05994299999998</v>
      </c>
      <c r="OR9" s="77">
        <v>624.18064200000003</v>
      </c>
      <c r="OS9" s="77">
        <v>548.87249999999995</v>
      </c>
      <c r="OT9" s="77">
        <v>587.86271699999998</v>
      </c>
      <c r="OU9" s="77">
        <v>582.126665</v>
      </c>
      <c r="OV9" s="77">
        <v>587.91726400000005</v>
      </c>
      <c r="OW9" s="77">
        <v>575.768597</v>
      </c>
      <c r="OX9" s="77">
        <v>540.412555</v>
      </c>
      <c r="OY9" s="77">
        <v>574.88834899999995</v>
      </c>
      <c r="OZ9" s="77">
        <v>534.20331199999998</v>
      </c>
      <c r="PA9" s="77">
        <v>572.82329400000003</v>
      </c>
      <c r="PB9" s="77">
        <v>599.00272299999995</v>
      </c>
      <c r="PC9" s="77">
        <v>604.60385099999996</v>
      </c>
      <c r="PD9" s="77">
        <v>591.44291999999996</v>
      </c>
      <c r="PE9" s="77">
        <v>555.901387</v>
      </c>
      <c r="PF9" s="77">
        <v>592.64917400000002</v>
      </c>
      <c r="PG9" s="77">
        <v>602.25228000000004</v>
      </c>
      <c r="PH9" s="77">
        <v>644.77060200000005</v>
      </c>
      <c r="PI9" s="77">
        <v>663.89044699999999</v>
      </c>
      <c r="PJ9" s="77">
        <v>668.59999600000003</v>
      </c>
      <c r="PK9" s="77">
        <v>655.12986000000001</v>
      </c>
      <c r="PL9" s="77">
        <v>615.28732300000001</v>
      </c>
      <c r="PM9" s="77">
        <v>655.97925799999996</v>
      </c>
      <c r="PN9" s="77">
        <v>600.78518599999995</v>
      </c>
      <c r="PO9" s="77">
        <v>643.11613</v>
      </c>
      <c r="PP9" s="77">
        <v>687.73002799999995</v>
      </c>
      <c r="PQ9" s="77">
        <v>692.06152799999995</v>
      </c>
      <c r="PR9" s="77">
        <v>679.71765500000004</v>
      </c>
      <c r="PS9" s="77">
        <v>637.08397200000002</v>
      </c>
      <c r="PT9" s="77">
        <v>677.543451</v>
      </c>
      <c r="PU9" s="77">
        <v>565.73175600000002</v>
      </c>
      <c r="PV9" s="77">
        <v>606.07070699999997</v>
      </c>
      <c r="PW9" s="77">
        <v>634.72467900000004</v>
      </c>
      <c r="PX9" s="77">
        <v>639.80726100000004</v>
      </c>
      <c r="PY9" s="77">
        <v>627.06775700000003</v>
      </c>
      <c r="PZ9" s="77">
        <v>588.56209000000001</v>
      </c>
      <c r="QA9" s="77">
        <v>626.69296599999996</v>
      </c>
      <c r="QB9" s="77">
        <v>540.474288</v>
      </c>
      <c r="QC9" s="77">
        <v>579.08011999999997</v>
      </c>
      <c r="QD9" s="77">
        <v>605.48470599999996</v>
      </c>
      <c r="QE9" s="77">
        <v>610.92509299999995</v>
      </c>
      <c r="QF9" s="77">
        <v>599.33896400000003</v>
      </c>
      <c r="QG9" s="77">
        <v>561.76716099999999</v>
      </c>
      <c r="QH9" s="77">
        <v>596.75604599999997</v>
      </c>
      <c r="QI9" s="77">
        <v>551.49557800000002</v>
      </c>
      <c r="QJ9" s="77">
        <v>591.23443299999997</v>
      </c>
      <c r="QK9" s="77">
        <v>618.91026199999999</v>
      </c>
      <c r="QL9" s="77">
        <v>624.25072299999999</v>
      </c>
      <c r="QM9" s="77">
        <v>610.62923899999998</v>
      </c>
      <c r="QN9" s="77">
        <v>574.11496699999998</v>
      </c>
      <c r="QO9" s="77">
        <v>612.57671500000004</v>
      </c>
      <c r="QP9" s="77">
        <v>593.20088099999998</v>
      </c>
      <c r="QQ9" s="77">
        <v>634.81777699999998</v>
      </c>
      <c r="QR9" s="77">
        <v>665.45555000000002</v>
      </c>
      <c r="QS9" s="77">
        <v>670.05577000000005</v>
      </c>
    </row>
    <row r="10" spans="1:461" x14ac:dyDescent="0.25">
      <c r="F10" s="76" t="str">
        <f xml:space="preserve"> _xll.EPMOlapMemberO("[PRDDESCR].[].[HELGAS GFREE MIXED GRAIN 500G]","","HELGAS GFREE MIXED GRAIN 500G","","000")</f>
        <v>HELGAS GFREE MIXED GRAIN 500G</v>
      </c>
      <c r="G10" s="76" t="str">
        <f xml:space="preserve"> _xll.EPMOlapMemberO("[PRDID].[].[168847]","","168847","","000")</f>
        <v>168847</v>
      </c>
      <c r="H10" s="76" t="str">
        <f xml:space="preserve"> _xll.EPMOlapMemberO("[LOCID].[].[6120]","","6120","","000")</f>
        <v>6120</v>
      </c>
      <c r="I10" s="76" t="str">
        <f xml:space="preserve"> _xll.EPMOlapMemberO("[LOCDESCR].[].[QBA-Hobart]","","QBA-Hobart","","000")</f>
        <v>QBA-Hobart</v>
      </c>
      <c r="J10" s="76" t="str">
        <f xml:space="preserve"> _xll.EPMOlapMemberO("[KEY_FIGURES].[].[ZGFAPPROVEDFCSTQTY]","","Approved Forecast","","000")</f>
        <v>Approved Forecast</v>
      </c>
      <c r="K10" s="77">
        <v>9.5734E-2</v>
      </c>
      <c r="L10" s="77">
        <v>155.160909</v>
      </c>
      <c r="M10" s="77">
        <v>0.467283</v>
      </c>
      <c r="N10" s="77">
        <v>158.25097600000001</v>
      </c>
      <c r="O10" s="77">
        <v>11.369199999999999</v>
      </c>
      <c r="P10" s="77">
        <v>8.9182999999999998E-2</v>
      </c>
      <c r="Q10" s="77">
        <v>181.72434999999999</v>
      </c>
      <c r="R10" s="77">
        <v>9.2716999999999994E-2</v>
      </c>
      <c r="S10" s="77">
        <v>161.207888</v>
      </c>
      <c r="T10" s="77">
        <v>0.469281</v>
      </c>
      <c r="U10" s="77">
        <v>162.28374400000001</v>
      </c>
      <c r="V10" s="77">
        <v>11.417457000000001</v>
      </c>
      <c r="W10" s="77">
        <v>8.9562000000000003E-2</v>
      </c>
      <c r="X10" s="77">
        <v>188.39110299999999</v>
      </c>
      <c r="Y10" s="77">
        <v>0.18992500000000001</v>
      </c>
      <c r="Z10" s="77">
        <v>171.81524899999999</v>
      </c>
      <c r="AA10" s="77">
        <v>0.47993200000000003</v>
      </c>
      <c r="AB10" s="77">
        <v>187.949375</v>
      </c>
      <c r="AC10" s="77">
        <v>0</v>
      </c>
      <c r="AD10" s="77">
        <v>0</v>
      </c>
      <c r="AE10" s="77"/>
      <c r="AF10" s="77"/>
      <c r="AG10" s="77"/>
      <c r="AH10" s="77"/>
      <c r="AI10" s="77"/>
      <c r="AJ10" s="77"/>
      <c r="AK10" s="77"/>
      <c r="AL10" s="77">
        <v>213.41317900000001</v>
      </c>
      <c r="AM10" s="77">
        <v>0.18604200000000001</v>
      </c>
      <c r="AN10" s="77">
        <v>201.281327</v>
      </c>
      <c r="AO10" s="77">
        <v>0.47012199999999998</v>
      </c>
      <c r="AP10" s="77">
        <v>220.22168400000001</v>
      </c>
      <c r="AQ10" s="77">
        <v>0</v>
      </c>
      <c r="AR10" s="77">
        <v>0</v>
      </c>
      <c r="AS10" s="77">
        <v>215.52077600000001</v>
      </c>
      <c r="AT10" s="77">
        <v>0.19902700000000001</v>
      </c>
      <c r="AU10" s="77">
        <v>207.89104900000001</v>
      </c>
      <c r="AV10" s="77">
        <v>0.50293399999999999</v>
      </c>
      <c r="AW10" s="77">
        <v>224.282355</v>
      </c>
      <c r="AX10" s="77">
        <v>0</v>
      </c>
      <c r="AY10" s="77">
        <v>0</v>
      </c>
      <c r="AZ10" s="77">
        <v>210.93644499999999</v>
      </c>
      <c r="BA10" s="77">
        <v>0.187776</v>
      </c>
      <c r="BB10" s="77">
        <v>198.19457199999999</v>
      </c>
      <c r="BC10" s="77">
        <v>0.47450500000000001</v>
      </c>
      <c r="BD10" s="77">
        <v>216.87868499999999</v>
      </c>
      <c r="BE10" s="77">
        <v>0</v>
      </c>
      <c r="BF10" s="77">
        <v>0</v>
      </c>
      <c r="BG10" s="77">
        <v>211.815642</v>
      </c>
      <c r="BH10" s="77">
        <v>0.18468000000000001</v>
      </c>
      <c r="BI10" s="77">
        <v>201.45783900000001</v>
      </c>
      <c r="BJ10" s="77">
        <v>0.46667900000000001</v>
      </c>
      <c r="BK10" s="77">
        <v>216.816</v>
      </c>
      <c r="BL10" s="77">
        <v>0</v>
      </c>
      <c r="BM10" s="77">
        <v>0</v>
      </c>
      <c r="BN10" s="77">
        <v>200.12552299999999</v>
      </c>
      <c r="BO10" s="77">
        <v>0.16961100000000001</v>
      </c>
      <c r="BP10" s="77">
        <v>188.72446400000001</v>
      </c>
      <c r="BQ10" s="77">
        <v>0.42860300000000001</v>
      </c>
      <c r="BR10" s="77">
        <v>207.37436299999999</v>
      </c>
      <c r="BS10" s="77">
        <v>0</v>
      </c>
      <c r="BT10" s="77">
        <v>0</v>
      </c>
      <c r="BU10" s="77">
        <v>192.711871</v>
      </c>
      <c r="BV10" s="77">
        <v>0.17505200000000001</v>
      </c>
      <c r="BW10" s="77">
        <v>192.80860300000001</v>
      </c>
      <c r="BX10" s="77">
        <v>0.44235099999999999</v>
      </c>
      <c r="BY10" s="77">
        <v>207.69062600000001</v>
      </c>
      <c r="BZ10" s="77">
        <v>0</v>
      </c>
      <c r="CA10" s="77">
        <v>0</v>
      </c>
      <c r="CB10" s="77">
        <v>185.69318100000001</v>
      </c>
      <c r="CC10" s="77">
        <v>0.154029</v>
      </c>
      <c r="CD10" s="77">
        <v>176.65004400000001</v>
      </c>
      <c r="CE10" s="77">
        <v>0.38922899999999999</v>
      </c>
      <c r="CF10" s="77">
        <v>193.203676</v>
      </c>
      <c r="CG10" s="77">
        <v>0</v>
      </c>
      <c r="CH10" s="77">
        <v>0</v>
      </c>
      <c r="CI10" s="77">
        <v>149.66259700000001</v>
      </c>
      <c r="CJ10" s="77">
        <v>0.13944400000000001</v>
      </c>
      <c r="CK10" s="77">
        <v>144.02989600000001</v>
      </c>
      <c r="CL10" s="77">
        <v>0.35236899999999999</v>
      </c>
      <c r="CM10" s="77">
        <v>155.43827200000001</v>
      </c>
      <c r="CN10" s="77">
        <v>0</v>
      </c>
      <c r="CO10" s="77">
        <v>0</v>
      </c>
      <c r="CP10" s="77">
        <v>239.33231799999999</v>
      </c>
      <c r="CQ10" s="77">
        <v>0.19267799999999999</v>
      </c>
      <c r="CR10" s="77">
        <v>228.80394200000001</v>
      </c>
      <c r="CS10" s="77">
        <v>0.48689199999999999</v>
      </c>
      <c r="CT10" s="77">
        <v>250.193929</v>
      </c>
      <c r="CU10" s="77">
        <v>0</v>
      </c>
      <c r="CV10" s="77">
        <v>0</v>
      </c>
      <c r="CW10" s="77">
        <v>250.404661</v>
      </c>
      <c r="CX10" s="77">
        <v>0.16869200000000001</v>
      </c>
      <c r="CY10" s="77">
        <v>258.72682400000002</v>
      </c>
      <c r="CZ10" s="77">
        <v>0.426284</v>
      </c>
      <c r="DA10" s="77">
        <v>276.154741</v>
      </c>
      <c r="DB10" s="77">
        <v>0</v>
      </c>
      <c r="DC10" s="77">
        <v>0</v>
      </c>
      <c r="DD10" s="77">
        <v>266.28775999999999</v>
      </c>
      <c r="DE10" s="77">
        <v>0.15537200000000001</v>
      </c>
      <c r="DF10" s="77">
        <v>286.187591</v>
      </c>
      <c r="DG10" s="77">
        <v>0.392623</v>
      </c>
      <c r="DH10" s="77">
        <v>312.30366600000002</v>
      </c>
      <c r="DI10" s="77">
        <v>0</v>
      </c>
      <c r="DJ10" s="77">
        <v>0</v>
      </c>
      <c r="DK10" s="77">
        <v>264.553766</v>
      </c>
      <c r="DL10" s="77">
        <v>0.183808</v>
      </c>
      <c r="DM10" s="77">
        <v>254.91482999999999</v>
      </c>
      <c r="DN10" s="77">
        <v>0.46448099999999998</v>
      </c>
      <c r="DO10" s="77">
        <v>272.99143600000002</v>
      </c>
      <c r="DP10" s="77">
        <v>0</v>
      </c>
      <c r="DQ10" s="77">
        <v>0</v>
      </c>
      <c r="DR10" s="77">
        <v>251.02965599999999</v>
      </c>
      <c r="DS10" s="77">
        <v>0.174869</v>
      </c>
      <c r="DT10" s="77">
        <v>245.23590999999999</v>
      </c>
      <c r="DU10" s="77">
        <v>0.44189400000000001</v>
      </c>
      <c r="DV10" s="77">
        <v>267.92600499999998</v>
      </c>
      <c r="DW10" s="77">
        <v>0</v>
      </c>
      <c r="DX10" s="77">
        <v>0</v>
      </c>
      <c r="DY10" s="77">
        <v>244.47850600000001</v>
      </c>
      <c r="DZ10" s="77">
        <v>0.175456</v>
      </c>
      <c r="EA10" s="77">
        <v>242.655599</v>
      </c>
      <c r="EB10" s="77">
        <v>0.44336999999999999</v>
      </c>
      <c r="EC10" s="77">
        <v>259.87921299999999</v>
      </c>
      <c r="ED10" s="77">
        <v>0</v>
      </c>
      <c r="EE10" s="77">
        <v>0</v>
      </c>
      <c r="EF10" s="77">
        <v>242.60060300000001</v>
      </c>
      <c r="EG10" s="77">
        <v>0.170624</v>
      </c>
      <c r="EH10" s="77">
        <v>243.32754299999999</v>
      </c>
      <c r="EI10" s="77">
        <v>0.43116300000000002</v>
      </c>
      <c r="EJ10" s="77">
        <v>265.81956600000001</v>
      </c>
      <c r="EK10" s="77">
        <v>0</v>
      </c>
      <c r="EL10" s="77">
        <v>0</v>
      </c>
      <c r="EM10" s="77">
        <v>243.086581</v>
      </c>
      <c r="EN10" s="77">
        <v>0.18235000000000001</v>
      </c>
      <c r="EO10" s="77">
        <v>246.04021299999999</v>
      </c>
      <c r="EP10" s="77">
        <v>0.460789</v>
      </c>
      <c r="EQ10" s="77">
        <v>263.46152799999999</v>
      </c>
      <c r="ER10" s="77">
        <v>0</v>
      </c>
      <c r="ES10" s="77">
        <v>0</v>
      </c>
      <c r="ET10" s="77">
        <v>221.08024599999999</v>
      </c>
      <c r="EU10" s="77">
        <v>0.164213</v>
      </c>
      <c r="EV10" s="77">
        <v>214.00970899999999</v>
      </c>
      <c r="EW10" s="77">
        <v>0.414966</v>
      </c>
      <c r="EX10" s="77">
        <v>233.89723599999999</v>
      </c>
      <c r="EY10" s="77">
        <v>0</v>
      </c>
      <c r="EZ10" s="77">
        <v>0</v>
      </c>
      <c r="FA10" s="77">
        <v>223.30821399999999</v>
      </c>
      <c r="FB10" s="77">
        <v>0.155532</v>
      </c>
      <c r="FC10" s="77">
        <v>219.88093599999999</v>
      </c>
      <c r="FD10" s="77">
        <v>0.39302100000000001</v>
      </c>
      <c r="FE10" s="77">
        <v>235.37206599999999</v>
      </c>
      <c r="FF10" s="77">
        <v>0</v>
      </c>
      <c r="FG10" s="77">
        <v>0</v>
      </c>
      <c r="FH10" s="77">
        <v>237.29196300000001</v>
      </c>
      <c r="FI10" s="77">
        <v>0.16439999999999999</v>
      </c>
      <c r="FJ10" s="77">
        <v>242.119215</v>
      </c>
      <c r="FK10" s="77">
        <v>0.415439</v>
      </c>
      <c r="FL10" s="77">
        <v>263.94158800000002</v>
      </c>
      <c r="FM10" s="77">
        <v>0</v>
      </c>
      <c r="FN10" s="77">
        <v>0</v>
      </c>
      <c r="FO10" s="77">
        <v>228.53166300000001</v>
      </c>
      <c r="FP10" s="77">
        <v>0.165849</v>
      </c>
      <c r="FQ10" s="77">
        <v>239.95714899999999</v>
      </c>
      <c r="FR10" s="77">
        <v>0.44763799999999998</v>
      </c>
      <c r="FS10" s="77">
        <v>257.11148100000003</v>
      </c>
      <c r="FT10" s="77">
        <v>0</v>
      </c>
      <c r="FU10" s="77">
        <v>0</v>
      </c>
      <c r="FV10" s="77">
        <v>199.437715</v>
      </c>
      <c r="FW10" s="77">
        <v>0.16198599999999999</v>
      </c>
      <c r="FX10" s="77">
        <v>183.73045500000001</v>
      </c>
      <c r="FY10" s="77">
        <v>0.383241</v>
      </c>
      <c r="FZ10" s="77">
        <v>200.88395700000001</v>
      </c>
      <c r="GA10" s="77">
        <v>0</v>
      </c>
      <c r="GB10" s="77">
        <v>0</v>
      </c>
      <c r="GC10" s="77">
        <v>202.51652999999999</v>
      </c>
      <c r="GD10" s="77">
        <v>0.143152</v>
      </c>
      <c r="GE10" s="77">
        <v>224.400969</v>
      </c>
      <c r="GF10" s="77">
        <v>0.36174299999999998</v>
      </c>
      <c r="GG10" s="77">
        <v>239.68759800000001</v>
      </c>
      <c r="GH10" s="77">
        <v>0</v>
      </c>
      <c r="GI10" s="77">
        <v>0</v>
      </c>
      <c r="GJ10" s="77">
        <v>250.258712</v>
      </c>
      <c r="GK10" s="77">
        <v>0.163633</v>
      </c>
      <c r="GL10" s="77">
        <v>228.368279</v>
      </c>
      <c r="GM10" s="77">
        <v>0.413495</v>
      </c>
      <c r="GN10" s="77">
        <v>249.320684</v>
      </c>
      <c r="GO10" s="77">
        <v>0</v>
      </c>
      <c r="GP10" s="77">
        <v>0</v>
      </c>
      <c r="GQ10" s="77">
        <v>173.462772</v>
      </c>
      <c r="GR10" s="77">
        <v>0.119482</v>
      </c>
      <c r="GS10" s="77">
        <v>178.409481</v>
      </c>
      <c r="GT10" s="77">
        <v>0.30192600000000003</v>
      </c>
      <c r="GU10" s="77">
        <v>190.66852900000001</v>
      </c>
      <c r="GV10" s="77">
        <v>0</v>
      </c>
      <c r="GW10" s="77">
        <v>0</v>
      </c>
      <c r="GX10" s="77">
        <v>219.33213799999999</v>
      </c>
      <c r="GY10" s="77">
        <v>0.145398</v>
      </c>
      <c r="GZ10" s="77">
        <v>216.22654</v>
      </c>
      <c r="HA10" s="77">
        <v>0.36741600000000002</v>
      </c>
      <c r="HB10" s="77">
        <v>236.16713200000001</v>
      </c>
      <c r="HC10" s="77">
        <v>0</v>
      </c>
      <c r="HD10" s="77">
        <v>0</v>
      </c>
      <c r="HE10" s="77">
        <v>183.06159099999999</v>
      </c>
      <c r="HF10" s="77">
        <v>0.125</v>
      </c>
      <c r="HG10" s="77">
        <v>188.03849</v>
      </c>
      <c r="HH10" s="77">
        <v>0.31587199999999999</v>
      </c>
      <c r="HI10" s="77">
        <v>201.01739599999999</v>
      </c>
      <c r="HJ10" s="77">
        <v>0</v>
      </c>
      <c r="HK10" s="77">
        <v>0</v>
      </c>
      <c r="HL10" s="77">
        <v>219.98909</v>
      </c>
      <c r="HM10" s="77">
        <v>0.14427000000000001</v>
      </c>
      <c r="HN10" s="77">
        <v>227.19084799999999</v>
      </c>
      <c r="HO10" s="77">
        <v>0.40590399999999999</v>
      </c>
      <c r="HP10" s="77">
        <v>248.201189</v>
      </c>
      <c r="HQ10" s="77">
        <v>0</v>
      </c>
      <c r="HR10" s="77">
        <v>0</v>
      </c>
      <c r="HS10" s="77">
        <v>205.44129799999999</v>
      </c>
      <c r="HT10" s="77">
        <v>0.15925800000000001</v>
      </c>
      <c r="HU10" s="77">
        <v>195.956256</v>
      </c>
      <c r="HV10" s="77">
        <v>0.36145500000000003</v>
      </c>
      <c r="HW10" s="77">
        <v>209.91055399999999</v>
      </c>
      <c r="HX10" s="77">
        <v>0</v>
      </c>
      <c r="HY10" s="77">
        <v>0</v>
      </c>
      <c r="HZ10" s="77">
        <v>244.54450399999999</v>
      </c>
      <c r="IA10" s="77">
        <v>0.17363300000000001</v>
      </c>
      <c r="IB10" s="77">
        <v>237.24920700000001</v>
      </c>
      <c r="IC10" s="77">
        <v>0.43876500000000002</v>
      </c>
      <c r="ID10" s="77">
        <v>259.149587</v>
      </c>
      <c r="IE10" s="77">
        <v>0</v>
      </c>
      <c r="IF10" s="77">
        <v>0</v>
      </c>
      <c r="IG10" s="77">
        <v>258.60852899999998</v>
      </c>
      <c r="IH10" s="77">
        <v>0.16589699999999999</v>
      </c>
      <c r="II10" s="77">
        <v>270.66439600000001</v>
      </c>
      <c r="IJ10" s="77">
        <v>0.41921700000000001</v>
      </c>
      <c r="IK10" s="77">
        <v>288.797304</v>
      </c>
      <c r="IL10" s="77">
        <v>0</v>
      </c>
      <c r="IM10" s="77">
        <v>0</v>
      </c>
      <c r="IN10" s="77">
        <v>264.53323899999998</v>
      </c>
      <c r="IO10" s="77">
        <v>0.17102300000000001</v>
      </c>
      <c r="IP10" s="77">
        <v>265.04311000000001</v>
      </c>
      <c r="IQ10" s="77">
        <v>0.44807799999999998</v>
      </c>
      <c r="IR10" s="77">
        <v>289.47886299999999</v>
      </c>
      <c r="IS10" s="77">
        <v>0</v>
      </c>
      <c r="IT10" s="77">
        <v>0</v>
      </c>
      <c r="IU10" s="77">
        <v>223.81307699999999</v>
      </c>
      <c r="IV10" s="77">
        <v>0.146035</v>
      </c>
      <c r="IW10" s="77">
        <v>226.90617399999999</v>
      </c>
      <c r="IX10" s="77">
        <v>0.35592699999999999</v>
      </c>
      <c r="IY10" s="77">
        <v>242.232552</v>
      </c>
      <c r="IZ10" s="77">
        <v>0</v>
      </c>
      <c r="JA10" s="77">
        <v>0</v>
      </c>
      <c r="JB10" s="77">
        <v>232.87860699999999</v>
      </c>
      <c r="JC10" s="77">
        <v>0.15099599999999999</v>
      </c>
      <c r="JD10" s="77">
        <v>231.67051699999999</v>
      </c>
      <c r="JE10" s="77">
        <v>0.38156400000000001</v>
      </c>
      <c r="JF10" s="77">
        <v>252.99965</v>
      </c>
      <c r="JG10" s="77">
        <v>0</v>
      </c>
      <c r="JH10" s="77">
        <v>0</v>
      </c>
      <c r="JI10" s="77">
        <v>264.95008999999999</v>
      </c>
      <c r="JJ10" s="77">
        <v>0.18969800000000001</v>
      </c>
      <c r="JK10" s="77">
        <v>277.78902699999998</v>
      </c>
      <c r="JL10" s="77">
        <v>0.47936099999999998</v>
      </c>
      <c r="JM10" s="77">
        <v>297.131775</v>
      </c>
      <c r="JN10" s="77">
        <v>0</v>
      </c>
      <c r="JO10" s="77">
        <v>0</v>
      </c>
      <c r="JP10" s="77">
        <v>207.84059600000001</v>
      </c>
      <c r="JQ10" s="77">
        <v>0.13147200000000001</v>
      </c>
      <c r="JR10" s="77">
        <v>213.50956600000001</v>
      </c>
      <c r="JS10" s="77">
        <v>0.385272</v>
      </c>
      <c r="JT10" s="77">
        <v>233.18814900000001</v>
      </c>
      <c r="JU10" s="77">
        <v>0</v>
      </c>
      <c r="JV10" s="77">
        <v>0</v>
      </c>
      <c r="JW10" s="77">
        <v>125.509394</v>
      </c>
      <c r="JX10" s="77">
        <v>0.118293</v>
      </c>
      <c r="JY10" s="77">
        <v>115.54351800000001</v>
      </c>
      <c r="JZ10" s="77">
        <v>0.26411899999999999</v>
      </c>
      <c r="KA10" s="77">
        <v>122.977828</v>
      </c>
      <c r="KB10" s="77">
        <v>103.918071</v>
      </c>
      <c r="KC10" s="77">
        <v>103.820212</v>
      </c>
      <c r="KD10" s="77">
        <v>75.411084000000002</v>
      </c>
      <c r="KE10" s="77">
        <v>69.928059000000005</v>
      </c>
      <c r="KF10" s="77">
        <v>79.751912000000004</v>
      </c>
      <c r="KG10" s="77">
        <v>69.613986999999995</v>
      </c>
      <c r="KH10" s="77">
        <v>67.797499000000002</v>
      </c>
      <c r="KI10" s="77">
        <v>67.957742999999994</v>
      </c>
      <c r="KJ10" s="77">
        <v>67.845716999999993</v>
      </c>
      <c r="KK10" s="77">
        <v>75.054272999999995</v>
      </c>
      <c r="KL10" s="77">
        <v>70.508448000000001</v>
      </c>
      <c r="KM10" s="77">
        <v>83.005606</v>
      </c>
      <c r="KN10" s="77">
        <v>71.117611999999994</v>
      </c>
      <c r="KO10" s="77">
        <v>69.849404000000007</v>
      </c>
      <c r="KP10" s="77">
        <v>69.474761999999998</v>
      </c>
      <c r="KQ10" s="77">
        <v>69.405564999999996</v>
      </c>
      <c r="KR10" s="77">
        <v>77.557653999999999</v>
      </c>
      <c r="KS10" s="77">
        <v>71.981222000000002</v>
      </c>
      <c r="KT10" s="77">
        <v>82.3078</v>
      </c>
      <c r="KU10" s="77">
        <v>71.702995999999999</v>
      </c>
      <c r="KV10" s="77">
        <v>69.800031000000004</v>
      </c>
      <c r="KW10" s="77">
        <v>69.963716000000005</v>
      </c>
      <c r="KX10" s="77">
        <v>69.850680999999994</v>
      </c>
      <c r="KY10" s="77">
        <v>78.059343999999996</v>
      </c>
      <c r="KZ10" s="77">
        <v>73.407270999999994</v>
      </c>
      <c r="LA10" s="77">
        <v>86.096204</v>
      </c>
      <c r="LB10" s="77">
        <v>73.483851999999999</v>
      </c>
      <c r="LC10" s="77">
        <v>72.003133000000005</v>
      </c>
      <c r="LD10" s="77">
        <v>71.675775000000002</v>
      </c>
      <c r="LE10" s="77">
        <v>71.606262999999998</v>
      </c>
      <c r="LF10" s="77">
        <v>83.032207</v>
      </c>
      <c r="LG10" s="77">
        <v>76.982231999999996</v>
      </c>
      <c r="LH10" s="77">
        <v>88.889196999999996</v>
      </c>
      <c r="LI10" s="77">
        <v>77.730649999999997</v>
      </c>
      <c r="LJ10" s="77">
        <v>75.734053000000003</v>
      </c>
      <c r="LK10" s="77">
        <v>75.914345999999995</v>
      </c>
      <c r="LL10" s="77">
        <v>75.786940000000001</v>
      </c>
      <c r="LM10" s="77">
        <v>74.115628000000001</v>
      </c>
      <c r="LN10" s="77">
        <v>69.697255999999996</v>
      </c>
      <c r="LO10" s="77">
        <v>81.339040999999995</v>
      </c>
      <c r="LP10" s="77">
        <v>69.403679999999994</v>
      </c>
      <c r="LQ10" s="77">
        <v>67.993106999999995</v>
      </c>
      <c r="LR10" s="77">
        <v>67.688160999999994</v>
      </c>
      <c r="LS10" s="77">
        <v>67.622658999999999</v>
      </c>
      <c r="LT10" s="77">
        <v>75.414142999999996</v>
      </c>
      <c r="LU10" s="77">
        <v>70.021538000000007</v>
      </c>
      <c r="LV10" s="77">
        <v>80.684488000000002</v>
      </c>
      <c r="LW10" s="77">
        <v>70.273448999999999</v>
      </c>
      <c r="LX10" s="77">
        <v>68.404954000000004</v>
      </c>
      <c r="LY10" s="77">
        <v>68.565224999999998</v>
      </c>
      <c r="LZ10" s="77">
        <v>68.454693000000006</v>
      </c>
      <c r="MA10" s="77">
        <v>73.156063000000003</v>
      </c>
      <c r="MB10" s="77">
        <v>68.814695</v>
      </c>
      <c r="MC10" s="77">
        <v>83.029499999999999</v>
      </c>
      <c r="MD10" s="77">
        <v>70.942218999999994</v>
      </c>
      <c r="ME10" s="77">
        <v>69.558729999999997</v>
      </c>
      <c r="MF10" s="77">
        <v>69.226549000000006</v>
      </c>
      <c r="MG10" s="77">
        <v>69.158901999999998</v>
      </c>
      <c r="MH10" s="77">
        <v>84.747825000000006</v>
      </c>
      <c r="MI10" s="77">
        <v>78.390145000000004</v>
      </c>
      <c r="MJ10" s="77">
        <v>86.582695000000001</v>
      </c>
      <c r="MK10" s="77">
        <v>75.909378000000004</v>
      </c>
      <c r="ML10" s="77">
        <v>74.002746999999999</v>
      </c>
      <c r="MM10" s="77">
        <v>74.179618000000005</v>
      </c>
      <c r="MN10" s="77">
        <v>74.053112999999996</v>
      </c>
      <c r="MO10" s="77">
        <v>77.375983000000005</v>
      </c>
      <c r="MP10" s="77">
        <v>72.674096000000006</v>
      </c>
      <c r="MQ10" s="77">
        <v>84.871380000000002</v>
      </c>
      <c r="MR10" s="77">
        <v>72.730860000000007</v>
      </c>
      <c r="MS10" s="77">
        <v>71.442766000000006</v>
      </c>
      <c r="MT10" s="77">
        <v>71.056509000000005</v>
      </c>
      <c r="MU10" s="77">
        <v>70.985635000000002</v>
      </c>
      <c r="MV10" s="77">
        <v>109.258714</v>
      </c>
      <c r="MW10" s="77">
        <v>100.662486</v>
      </c>
      <c r="MX10" s="77">
        <v>116.30856300000001</v>
      </c>
      <c r="MY10" s="77">
        <v>103.368759</v>
      </c>
      <c r="MZ10" s="77">
        <v>101.086704</v>
      </c>
      <c r="NA10" s="77">
        <v>101.342547</v>
      </c>
      <c r="NB10" s="77">
        <v>101.145706</v>
      </c>
      <c r="NC10" s="77">
        <v>99.793045000000006</v>
      </c>
      <c r="ND10" s="77">
        <v>93.521079</v>
      </c>
      <c r="NE10" s="77">
        <v>106.244983</v>
      </c>
      <c r="NF10" s="77">
        <v>91.600573999999995</v>
      </c>
      <c r="NG10" s="77">
        <v>90.312877999999998</v>
      </c>
      <c r="NH10" s="77">
        <v>89.709036999999995</v>
      </c>
      <c r="NI10" s="77">
        <v>89.615854999999996</v>
      </c>
      <c r="NJ10" s="77">
        <v>93.836765</v>
      </c>
      <c r="NK10" s="77">
        <v>86.622450000000001</v>
      </c>
      <c r="NL10" s="77">
        <v>98.479247000000001</v>
      </c>
      <c r="NM10" s="77">
        <v>86.948913000000005</v>
      </c>
      <c r="NN10" s="77">
        <v>84.902454000000006</v>
      </c>
      <c r="NO10" s="77">
        <v>85.112190999999996</v>
      </c>
      <c r="NP10" s="77">
        <v>84.955939999999998</v>
      </c>
      <c r="NQ10" s="77">
        <v>94.068077000000002</v>
      </c>
      <c r="NR10" s="77">
        <v>88.238302000000004</v>
      </c>
      <c r="NS10" s="77">
        <v>101.607455</v>
      </c>
      <c r="NT10" s="77">
        <v>87.385728999999998</v>
      </c>
      <c r="NU10" s="77">
        <v>86.027189000000007</v>
      </c>
      <c r="NV10" s="77">
        <v>85.496758999999997</v>
      </c>
      <c r="NW10" s="77">
        <v>85.409401000000003</v>
      </c>
      <c r="NX10" s="77">
        <v>98.878900999999999</v>
      </c>
      <c r="NY10" s="77">
        <v>91.310359000000005</v>
      </c>
      <c r="NZ10" s="77">
        <v>104.924982</v>
      </c>
      <c r="OA10" s="77">
        <v>92.651293999999993</v>
      </c>
      <c r="OB10" s="77">
        <v>90.473142999999993</v>
      </c>
      <c r="OC10" s="77">
        <v>90.696741000000003</v>
      </c>
      <c r="OD10" s="77">
        <v>90.530058999999994</v>
      </c>
      <c r="OE10" s="77">
        <v>93.582750000000004</v>
      </c>
      <c r="OF10" s="77">
        <v>87.776618999999997</v>
      </c>
      <c r="OG10" s="77">
        <v>102.026841</v>
      </c>
      <c r="OH10" s="77">
        <v>87.820019000000002</v>
      </c>
      <c r="OI10" s="77">
        <v>86.499041000000005</v>
      </c>
      <c r="OJ10" s="77">
        <v>85.950450000000004</v>
      </c>
      <c r="OK10" s="77">
        <v>85.862132000000003</v>
      </c>
      <c r="OL10" s="77">
        <v>92.895222000000004</v>
      </c>
      <c r="OM10" s="77">
        <v>85.921479000000005</v>
      </c>
      <c r="ON10" s="77">
        <v>103.91376700000001</v>
      </c>
      <c r="OO10" s="77">
        <v>91.858490000000003</v>
      </c>
      <c r="OP10" s="77">
        <v>89.721245999999994</v>
      </c>
      <c r="OQ10" s="77">
        <v>89.943903000000006</v>
      </c>
      <c r="OR10" s="77">
        <v>89.777004000000005</v>
      </c>
      <c r="OS10" s="77">
        <v>98.495215000000002</v>
      </c>
      <c r="OT10" s="77">
        <v>92.407227000000006</v>
      </c>
      <c r="OU10" s="77">
        <v>101.843222</v>
      </c>
      <c r="OV10" s="77">
        <v>87.286553999999995</v>
      </c>
      <c r="OW10" s="77">
        <v>85.747702000000004</v>
      </c>
      <c r="OX10" s="77">
        <v>85.281675000000007</v>
      </c>
      <c r="OY10" s="77">
        <v>85.196539999999999</v>
      </c>
      <c r="OZ10" s="77">
        <v>91.486428000000004</v>
      </c>
      <c r="PA10" s="77">
        <v>84.700334999999995</v>
      </c>
      <c r="PB10" s="77">
        <v>96.952592999999993</v>
      </c>
      <c r="PC10" s="77">
        <v>85.012236000000001</v>
      </c>
      <c r="PD10" s="77">
        <v>82.880374000000003</v>
      </c>
      <c r="PE10" s="77">
        <v>83.079791</v>
      </c>
      <c r="PF10" s="77">
        <v>82.936644999999999</v>
      </c>
      <c r="PG10" s="77">
        <v>92.207148000000004</v>
      </c>
      <c r="PH10" s="77">
        <v>86.498093999999995</v>
      </c>
      <c r="PI10" s="77">
        <v>98.836680000000001</v>
      </c>
      <c r="PJ10" s="77">
        <v>84.960035000000005</v>
      </c>
      <c r="PK10" s="77">
        <v>83.610196000000002</v>
      </c>
      <c r="PL10" s="77">
        <v>83.105225000000004</v>
      </c>
      <c r="PM10" s="77">
        <v>83.020686999999995</v>
      </c>
      <c r="PN10" s="77">
        <v>88.309167000000002</v>
      </c>
      <c r="PO10" s="77">
        <v>81.549473000000006</v>
      </c>
      <c r="PP10" s="77">
        <v>94.482142999999994</v>
      </c>
      <c r="PQ10" s="77">
        <v>83.498833000000005</v>
      </c>
      <c r="PR10" s="77">
        <v>81.551158000000001</v>
      </c>
      <c r="PS10" s="77">
        <v>81.753313000000006</v>
      </c>
      <c r="PT10" s="77">
        <v>81.601990999999998</v>
      </c>
      <c r="PU10" s="77">
        <v>85.855863999999997</v>
      </c>
      <c r="PV10" s="77">
        <v>80.561952000000005</v>
      </c>
      <c r="PW10" s="77">
        <v>93.773534999999995</v>
      </c>
      <c r="PX10" s="77">
        <v>80.608710000000002</v>
      </c>
      <c r="PY10" s="77">
        <v>79.331682000000001</v>
      </c>
      <c r="PZ10" s="77">
        <v>78.850767000000005</v>
      </c>
      <c r="QA10" s="77">
        <v>78.770450999999994</v>
      </c>
      <c r="QB10" s="77">
        <v>81.495542</v>
      </c>
      <c r="QC10" s="77">
        <v>75.212564</v>
      </c>
      <c r="QD10" s="77">
        <v>85.461106999999998</v>
      </c>
      <c r="QE10" s="77">
        <v>75.496543000000003</v>
      </c>
      <c r="QF10" s="77">
        <v>73.728890000000007</v>
      </c>
      <c r="QG10" s="77">
        <v>73.911393000000004</v>
      </c>
      <c r="QH10" s="77">
        <v>73.775045000000006</v>
      </c>
      <c r="QI10" s="77">
        <v>64.383325999999997</v>
      </c>
      <c r="QJ10" s="77">
        <v>60.480452999999997</v>
      </c>
      <c r="QK10" s="77">
        <v>70.669537000000005</v>
      </c>
      <c r="QL10" s="77">
        <v>60.529688999999998</v>
      </c>
      <c r="QM10" s="77">
        <v>59.439048</v>
      </c>
      <c r="QN10" s="77">
        <v>59.124135000000003</v>
      </c>
      <c r="QO10" s="77">
        <v>59.065362999999998</v>
      </c>
      <c r="QP10" s="77">
        <v>105.53265</v>
      </c>
      <c r="QQ10" s="77">
        <v>97.274592999999996</v>
      </c>
      <c r="QR10" s="77">
        <v>110.204887</v>
      </c>
      <c r="QS10" s="77">
        <v>97.645488999999998</v>
      </c>
    </row>
    <row r="11" spans="1:461" x14ac:dyDescent="0.25">
      <c r="F11" s="76" t="str">
        <f xml:space="preserve"> _xll.EPMOlapMemberO("[PRDDESCR].[].[HELGAS GFREE MIXED GRAIN 500G]","","HELGAS GFREE MIXED GRAIN 500G","","000")</f>
        <v>HELGAS GFREE MIXED GRAIN 500G</v>
      </c>
      <c r="G11" s="76" t="str">
        <f xml:space="preserve"> _xll.EPMOlapMemberO("[PRDID].[].[168847]","","168847","","000")</f>
        <v>168847</v>
      </c>
      <c r="H11" s="76" t="str">
        <f xml:space="preserve"> _xll.EPMOlapMemberO("[LOCID].[].[6123]","","6123","","000")</f>
        <v>6123</v>
      </c>
      <c r="I11" s="76" t="str">
        <f xml:space="preserve"> _xll.EPMOlapMemberO("[LOCDESCR].[].[QBA-Clayton - Fairbank]","","QBA-Clayton - Fairbank","","000")</f>
        <v>QBA-Clayton - Fairbank</v>
      </c>
      <c r="J11" s="76" t="str">
        <f xml:space="preserve"> _xll.EPMOlapMemberO("[KEY_FIGURES].[].[ZGFAPPROVEDFCSTQTY]","","Approved Forecast","","000")</f>
        <v>Approved Forecast</v>
      </c>
      <c r="K11" s="77">
        <v>0.39277800000000002</v>
      </c>
      <c r="L11" s="77">
        <v>890.83057599999995</v>
      </c>
      <c r="M11" s="77">
        <v>265.63312999999999</v>
      </c>
      <c r="N11" s="77">
        <v>553.55489599999999</v>
      </c>
      <c r="O11" s="77">
        <v>384.40622200000001</v>
      </c>
      <c r="P11" s="77">
        <v>832.82003899999995</v>
      </c>
      <c r="Q11" s="77">
        <v>0</v>
      </c>
      <c r="R11" s="77">
        <v>0.392619</v>
      </c>
      <c r="S11" s="77">
        <v>908.29262000000006</v>
      </c>
      <c r="T11" s="77">
        <v>268.08556900000002</v>
      </c>
      <c r="U11" s="77">
        <v>552.32733900000005</v>
      </c>
      <c r="V11" s="77">
        <v>385.18903299999999</v>
      </c>
      <c r="W11" s="77">
        <v>843.40550900000005</v>
      </c>
      <c r="X11" s="77">
        <v>0</v>
      </c>
      <c r="Y11" s="77">
        <v>0.405171</v>
      </c>
      <c r="Z11" s="77">
        <v>956.07891500000005</v>
      </c>
      <c r="AA11" s="77">
        <v>236.781983</v>
      </c>
      <c r="AB11" s="77">
        <v>547.85013900000001</v>
      </c>
      <c r="AC11" s="77">
        <v>377.70019400000001</v>
      </c>
      <c r="AD11" s="77">
        <v>864.25280599999996</v>
      </c>
      <c r="AE11" s="77"/>
      <c r="AF11" s="77"/>
      <c r="AG11" s="77"/>
      <c r="AH11" s="77"/>
      <c r="AI11" s="77"/>
      <c r="AJ11" s="77"/>
      <c r="AK11" s="77"/>
      <c r="AL11" s="77">
        <v>0</v>
      </c>
      <c r="AM11" s="77">
        <v>0.405171</v>
      </c>
      <c r="AN11" s="77">
        <v>863.31337699999995</v>
      </c>
      <c r="AO11" s="77">
        <v>197.84307100000001</v>
      </c>
      <c r="AP11" s="77">
        <v>495.61069700000002</v>
      </c>
      <c r="AQ11" s="77">
        <v>335.76782600000001</v>
      </c>
      <c r="AR11" s="77">
        <v>813.05686700000001</v>
      </c>
      <c r="AS11" s="77">
        <v>0</v>
      </c>
      <c r="AT11" s="77">
        <v>0.405171</v>
      </c>
      <c r="AU11" s="77">
        <v>892.78834900000004</v>
      </c>
      <c r="AV11" s="77">
        <v>196.92160799999999</v>
      </c>
      <c r="AW11" s="77">
        <v>491.57638400000002</v>
      </c>
      <c r="AX11" s="77">
        <v>334.42645199999998</v>
      </c>
      <c r="AY11" s="77">
        <v>808.67127000000005</v>
      </c>
      <c r="AZ11" s="77">
        <v>0</v>
      </c>
      <c r="BA11" s="77">
        <v>0.405171</v>
      </c>
      <c r="BB11" s="77">
        <v>865.25657999999999</v>
      </c>
      <c r="BC11" s="77">
        <v>191.84786500000001</v>
      </c>
      <c r="BD11" s="77">
        <v>481.927029</v>
      </c>
      <c r="BE11" s="77">
        <v>334.48959200000002</v>
      </c>
      <c r="BF11" s="77">
        <v>804.13930900000003</v>
      </c>
      <c r="BG11" s="77">
        <v>0</v>
      </c>
      <c r="BH11" s="77">
        <v>0.405169</v>
      </c>
      <c r="BI11" s="77">
        <v>939.44834500000002</v>
      </c>
      <c r="BJ11" s="77">
        <v>217.06880100000001</v>
      </c>
      <c r="BK11" s="77">
        <v>546.07845299999997</v>
      </c>
      <c r="BL11" s="77">
        <v>367.92601100000002</v>
      </c>
      <c r="BM11" s="77">
        <v>906.63505999999995</v>
      </c>
      <c r="BN11" s="77">
        <v>0</v>
      </c>
      <c r="BO11" s="77">
        <v>0.405169</v>
      </c>
      <c r="BP11" s="77">
        <v>991.23784499999999</v>
      </c>
      <c r="BQ11" s="77">
        <v>216.87448900000001</v>
      </c>
      <c r="BR11" s="77">
        <v>545.27336600000001</v>
      </c>
      <c r="BS11" s="77">
        <v>370.11147199999999</v>
      </c>
      <c r="BT11" s="77">
        <v>898.40570000000002</v>
      </c>
      <c r="BU11" s="77">
        <v>0</v>
      </c>
      <c r="BV11" s="77">
        <v>0.405169</v>
      </c>
      <c r="BW11" s="77">
        <v>942.39945899999998</v>
      </c>
      <c r="BX11" s="77">
        <v>208.011889</v>
      </c>
      <c r="BY11" s="77">
        <v>527.76588300000003</v>
      </c>
      <c r="BZ11" s="77">
        <v>364.18428299999999</v>
      </c>
      <c r="CA11" s="77">
        <v>886.66614800000002</v>
      </c>
      <c r="CB11" s="77">
        <v>0</v>
      </c>
      <c r="CC11" s="77">
        <v>0.405171</v>
      </c>
      <c r="CD11" s="77">
        <v>936.92268000000001</v>
      </c>
      <c r="CE11" s="77">
        <v>213.85281900000001</v>
      </c>
      <c r="CF11" s="77">
        <v>538.44546100000002</v>
      </c>
      <c r="CG11" s="77">
        <v>365.59769</v>
      </c>
      <c r="CH11" s="77">
        <v>883.18188699999996</v>
      </c>
      <c r="CI11" s="77">
        <v>0</v>
      </c>
      <c r="CJ11" s="77">
        <v>0.405171</v>
      </c>
      <c r="CK11" s="77">
        <v>958.73152400000004</v>
      </c>
      <c r="CL11" s="77">
        <v>207.72845699999999</v>
      </c>
      <c r="CM11" s="77">
        <v>521.31829200000004</v>
      </c>
      <c r="CN11" s="77">
        <v>358.61200600000001</v>
      </c>
      <c r="CO11" s="77">
        <v>843.74881900000003</v>
      </c>
      <c r="CP11" s="77">
        <v>0</v>
      </c>
      <c r="CQ11" s="77">
        <v>0.405171</v>
      </c>
      <c r="CR11" s="77">
        <v>968.54786200000001</v>
      </c>
      <c r="CS11" s="77">
        <v>210.14995400000001</v>
      </c>
      <c r="CT11" s="77">
        <v>534.60035000000005</v>
      </c>
      <c r="CU11" s="77">
        <v>373.198645</v>
      </c>
      <c r="CV11" s="77">
        <v>878.54157199999997</v>
      </c>
      <c r="CW11" s="77">
        <v>0</v>
      </c>
      <c r="CX11" s="77">
        <v>0.405171</v>
      </c>
      <c r="CY11" s="77">
        <v>912.090194</v>
      </c>
      <c r="CZ11" s="77">
        <v>209.31416999999999</v>
      </c>
      <c r="DA11" s="77">
        <v>525.23765400000002</v>
      </c>
      <c r="DB11" s="77">
        <v>356.11945400000002</v>
      </c>
      <c r="DC11" s="77">
        <v>866.146117</v>
      </c>
      <c r="DD11" s="77">
        <v>0</v>
      </c>
      <c r="DE11" s="77">
        <v>0.405169</v>
      </c>
      <c r="DF11" s="77">
        <v>971.10274900000002</v>
      </c>
      <c r="DG11" s="77">
        <v>214.69906599999999</v>
      </c>
      <c r="DH11" s="77">
        <v>540.77978299999995</v>
      </c>
      <c r="DI11" s="77">
        <v>361.44213200000002</v>
      </c>
      <c r="DJ11" s="77">
        <v>903.01898500000004</v>
      </c>
      <c r="DK11" s="77">
        <v>0</v>
      </c>
      <c r="DL11" s="77">
        <v>0.405169</v>
      </c>
      <c r="DM11" s="77">
        <v>870.14799400000004</v>
      </c>
      <c r="DN11" s="77">
        <v>193.872387</v>
      </c>
      <c r="DO11" s="77">
        <v>489.28906699999999</v>
      </c>
      <c r="DP11" s="77">
        <v>334.898754</v>
      </c>
      <c r="DQ11" s="77">
        <v>824.65730599999995</v>
      </c>
      <c r="DR11" s="77">
        <v>0</v>
      </c>
      <c r="DS11" s="77">
        <v>0.405171</v>
      </c>
      <c r="DT11" s="77">
        <v>898.56724699999995</v>
      </c>
      <c r="DU11" s="77">
        <v>207.35189500000001</v>
      </c>
      <c r="DV11" s="77">
        <v>519.74942499999997</v>
      </c>
      <c r="DW11" s="77">
        <v>350.81822699999998</v>
      </c>
      <c r="DX11" s="77">
        <v>861.95270100000005</v>
      </c>
      <c r="DY11" s="77">
        <v>0</v>
      </c>
      <c r="DZ11" s="77">
        <v>0.405169</v>
      </c>
      <c r="EA11" s="77">
        <v>986.16988900000001</v>
      </c>
      <c r="EB11" s="77">
        <v>217.50483600000001</v>
      </c>
      <c r="EC11" s="77">
        <v>548.99538500000006</v>
      </c>
      <c r="ED11" s="77">
        <v>366.99903899999998</v>
      </c>
      <c r="EE11" s="77">
        <v>914.723118</v>
      </c>
      <c r="EF11" s="77">
        <v>0</v>
      </c>
      <c r="EG11" s="77">
        <v>0.405169</v>
      </c>
      <c r="EH11" s="77">
        <v>900.34571900000003</v>
      </c>
      <c r="EI11" s="77">
        <v>198.167011</v>
      </c>
      <c r="EJ11" s="77">
        <v>500.46309000000002</v>
      </c>
      <c r="EK11" s="77">
        <v>347.29733599999997</v>
      </c>
      <c r="EL11" s="77">
        <v>831.44488200000001</v>
      </c>
      <c r="EM11" s="77">
        <v>0</v>
      </c>
      <c r="EN11" s="77">
        <v>0.405169</v>
      </c>
      <c r="EO11" s="77">
        <v>887.85777299999995</v>
      </c>
      <c r="EP11" s="77">
        <v>202.54109099999999</v>
      </c>
      <c r="EQ11" s="77">
        <v>507.200423</v>
      </c>
      <c r="ER11" s="77">
        <v>345.55811699999998</v>
      </c>
      <c r="ES11" s="77">
        <v>830.09965</v>
      </c>
      <c r="ET11" s="77">
        <v>0</v>
      </c>
      <c r="EU11" s="77">
        <v>0.405171</v>
      </c>
      <c r="EV11" s="77">
        <v>909.56523400000003</v>
      </c>
      <c r="EW11" s="77">
        <v>199.82650899999999</v>
      </c>
      <c r="EX11" s="77">
        <v>500.66490599999997</v>
      </c>
      <c r="EY11" s="77">
        <v>339.70846399999999</v>
      </c>
      <c r="EZ11" s="77">
        <v>821.11284000000001</v>
      </c>
      <c r="FA11" s="77">
        <v>0</v>
      </c>
      <c r="FB11" s="77">
        <v>0.405171</v>
      </c>
      <c r="FC11" s="77">
        <v>951.41189299999996</v>
      </c>
      <c r="FD11" s="77">
        <v>209.38596699999999</v>
      </c>
      <c r="FE11" s="77">
        <v>532.80699800000002</v>
      </c>
      <c r="FF11" s="77">
        <v>366.87205699999998</v>
      </c>
      <c r="FG11" s="77">
        <v>892.574794</v>
      </c>
      <c r="FH11" s="77">
        <v>0</v>
      </c>
      <c r="FI11" s="77">
        <v>0.405171</v>
      </c>
      <c r="FJ11" s="77">
        <v>934.382026</v>
      </c>
      <c r="FK11" s="77">
        <v>216.41866999999999</v>
      </c>
      <c r="FL11" s="77">
        <v>544.94941100000005</v>
      </c>
      <c r="FM11" s="77">
        <v>365.22879599999999</v>
      </c>
      <c r="FN11" s="77">
        <v>908.58095100000003</v>
      </c>
      <c r="FO11" s="77">
        <v>0</v>
      </c>
      <c r="FP11" s="77">
        <v>0.405169</v>
      </c>
      <c r="FQ11" s="77">
        <v>863.73272899999995</v>
      </c>
      <c r="FR11" s="77">
        <v>189.168475</v>
      </c>
      <c r="FS11" s="77">
        <v>470.04317300000002</v>
      </c>
      <c r="FT11" s="77">
        <v>324.697836</v>
      </c>
      <c r="FU11" s="77">
        <v>761.46042599999998</v>
      </c>
      <c r="FV11" s="77">
        <v>0</v>
      </c>
      <c r="FW11" s="77">
        <v>0.405169</v>
      </c>
      <c r="FX11" s="77">
        <v>868.65013699999997</v>
      </c>
      <c r="FY11" s="77">
        <v>191.09131600000001</v>
      </c>
      <c r="FZ11" s="77">
        <v>480.535616</v>
      </c>
      <c r="GA11" s="77">
        <v>334.84181799999999</v>
      </c>
      <c r="GB11" s="77">
        <v>793.08150699999999</v>
      </c>
      <c r="GC11" s="77">
        <v>0</v>
      </c>
      <c r="GD11" s="77">
        <v>0.405169</v>
      </c>
      <c r="GE11" s="77">
        <v>894.02360399999998</v>
      </c>
      <c r="GF11" s="77">
        <v>205.50742700000001</v>
      </c>
      <c r="GG11" s="77">
        <v>514.51435200000003</v>
      </c>
      <c r="GH11" s="77">
        <v>349.04286500000001</v>
      </c>
      <c r="GI11" s="77">
        <v>849.447677</v>
      </c>
      <c r="GJ11" s="77">
        <v>0</v>
      </c>
      <c r="GK11" s="77">
        <v>0.405169</v>
      </c>
      <c r="GL11" s="77">
        <v>864.95087799999999</v>
      </c>
      <c r="GM11" s="77">
        <v>191.29323400000001</v>
      </c>
      <c r="GN11" s="77">
        <v>477.15173700000003</v>
      </c>
      <c r="GO11" s="77">
        <v>323.44787000000002</v>
      </c>
      <c r="GP11" s="77">
        <v>784.83554900000001</v>
      </c>
      <c r="GQ11" s="77">
        <v>0</v>
      </c>
      <c r="GR11" s="77">
        <v>0.405169</v>
      </c>
      <c r="GS11" s="77">
        <v>898.02865199999997</v>
      </c>
      <c r="GT11" s="77">
        <v>197.51980800000001</v>
      </c>
      <c r="GU11" s="77">
        <v>497.52331400000003</v>
      </c>
      <c r="GV11" s="77">
        <v>346.71237400000001</v>
      </c>
      <c r="GW11" s="77">
        <v>825.77807800000005</v>
      </c>
      <c r="GX11" s="77">
        <v>0</v>
      </c>
      <c r="GY11" s="77">
        <v>0.405169</v>
      </c>
      <c r="GZ11" s="77">
        <v>966.64231199999995</v>
      </c>
      <c r="HA11" s="77">
        <v>223.07153</v>
      </c>
      <c r="HB11" s="77">
        <v>563.29239399999994</v>
      </c>
      <c r="HC11" s="77">
        <v>377.75691899999998</v>
      </c>
      <c r="HD11" s="77">
        <v>936.931738</v>
      </c>
      <c r="HE11" s="77">
        <v>0</v>
      </c>
      <c r="HF11" s="77">
        <v>0.405169</v>
      </c>
      <c r="HG11" s="77">
        <v>929.98314600000003</v>
      </c>
      <c r="HH11" s="77">
        <v>204.837087</v>
      </c>
      <c r="HI11" s="77">
        <v>514.72534700000006</v>
      </c>
      <c r="HJ11" s="77">
        <v>346.24771900000002</v>
      </c>
      <c r="HK11" s="77">
        <v>850.36011800000006</v>
      </c>
      <c r="HL11" s="77">
        <v>0</v>
      </c>
      <c r="HM11" s="77">
        <v>0.405171</v>
      </c>
      <c r="HN11" s="77">
        <v>883.53652999999997</v>
      </c>
      <c r="HO11" s="77">
        <v>193.60956899999999</v>
      </c>
      <c r="HP11" s="77">
        <v>489.06415399999997</v>
      </c>
      <c r="HQ11" s="77">
        <v>341.17668400000002</v>
      </c>
      <c r="HR11" s="77">
        <v>808.35529799999995</v>
      </c>
      <c r="HS11" s="77">
        <v>0</v>
      </c>
      <c r="HT11" s="77">
        <v>0.39204499999999998</v>
      </c>
      <c r="HU11" s="77">
        <v>835.118289</v>
      </c>
      <c r="HV11" s="77">
        <v>191.689897</v>
      </c>
      <c r="HW11" s="77">
        <v>478.44228199999998</v>
      </c>
      <c r="HX11" s="77">
        <v>326.53398299999998</v>
      </c>
      <c r="HY11" s="77">
        <v>786.63413000000003</v>
      </c>
      <c r="HZ11" s="77">
        <v>0</v>
      </c>
      <c r="IA11" s="77">
        <v>0.39012599999999997</v>
      </c>
      <c r="IB11" s="77">
        <v>973.58989999999994</v>
      </c>
      <c r="IC11" s="77">
        <v>211.86013</v>
      </c>
      <c r="ID11" s="77">
        <v>533.61941200000001</v>
      </c>
      <c r="IE11" s="77">
        <v>363.445311</v>
      </c>
      <c r="IF11" s="77">
        <v>870.32474999999999</v>
      </c>
      <c r="IG11" s="77">
        <v>0</v>
      </c>
      <c r="IH11" s="77">
        <v>0.405169</v>
      </c>
      <c r="II11" s="77">
        <v>969.503827</v>
      </c>
      <c r="IJ11" s="77">
        <v>213.58398299999999</v>
      </c>
      <c r="IK11" s="77">
        <v>543.63854900000001</v>
      </c>
      <c r="IL11" s="77">
        <v>374.894206</v>
      </c>
      <c r="IM11" s="77">
        <v>913.98497099999997</v>
      </c>
      <c r="IN11" s="77">
        <v>0</v>
      </c>
      <c r="IO11" s="77">
        <v>0.405169</v>
      </c>
      <c r="IP11" s="77">
        <v>971.34376499999996</v>
      </c>
      <c r="IQ11" s="77">
        <v>221.84504100000001</v>
      </c>
      <c r="IR11" s="77">
        <v>560.52966000000004</v>
      </c>
      <c r="IS11" s="77">
        <v>379.24319400000002</v>
      </c>
      <c r="IT11" s="77">
        <v>921.43918399999995</v>
      </c>
      <c r="IU11" s="77">
        <v>0</v>
      </c>
      <c r="IV11" s="77">
        <v>0.405169</v>
      </c>
      <c r="IW11" s="77">
        <v>920.11551199999997</v>
      </c>
      <c r="IX11" s="77">
        <v>204.06527199999999</v>
      </c>
      <c r="IY11" s="77">
        <v>511.85747300000003</v>
      </c>
      <c r="IZ11" s="77">
        <v>343.71545800000001</v>
      </c>
      <c r="JA11" s="77">
        <v>851.66022599999997</v>
      </c>
      <c r="JB11" s="77">
        <v>0</v>
      </c>
      <c r="JC11" s="77">
        <v>0.405169</v>
      </c>
      <c r="JD11" s="77">
        <v>869.96899599999995</v>
      </c>
      <c r="JE11" s="77">
        <v>194.33754099999999</v>
      </c>
      <c r="JF11" s="77">
        <v>490.69178299999999</v>
      </c>
      <c r="JG11" s="77">
        <v>335.66012499999999</v>
      </c>
      <c r="JH11" s="77">
        <v>828.84347000000002</v>
      </c>
      <c r="JI11" s="77">
        <v>0</v>
      </c>
      <c r="JJ11" s="77">
        <v>0.405169</v>
      </c>
      <c r="JK11" s="77">
        <v>918.90591400000005</v>
      </c>
      <c r="JL11" s="77">
        <v>211.26207199999999</v>
      </c>
      <c r="JM11" s="77">
        <v>533.52133400000002</v>
      </c>
      <c r="JN11" s="77">
        <v>357.98430000000002</v>
      </c>
      <c r="JO11" s="77">
        <v>879.90075200000001</v>
      </c>
      <c r="JP11" s="77">
        <v>0</v>
      </c>
      <c r="JQ11" s="77">
        <v>0.405169</v>
      </c>
      <c r="JR11" s="77">
        <v>905.54817300000002</v>
      </c>
      <c r="JS11" s="77">
        <v>198.13930999999999</v>
      </c>
      <c r="JT11" s="77">
        <v>495.25961799999999</v>
      </c>
      <c r="JU11" s="77">
        <v>339.64136100000002</v>
      </c>
      <c r="JV11" s="77">
        <v>806.06838300000004</v>
      </c>
      <c r="JW11" s="77">
        <v>0.95772400000000002</v>
      </c>
      <c r="JX11" s="77">
        <v>1.6839679999999999</v>
      </c>
      <c r="JY11" s="77">
        <v>1581.301651</v>
      </c>
      <c r="JZ11" s="77">
        <v>408.259837</v>
      </c>
      <c r="KA11" s="77">
        <v>892.33063200000004</v>
      </c>
      <c r="KB11" s="77">
        <v>0.95617099999999999</v>
      </c>
      <c r="KC11" s="77">
        <v>0.88387899999999997</v>
      </c>
      <c r="KD11" s="77">
        <v>384.46508599999999</v>
      </c>
      <c r="KE11" s="77">
        <v>530.06802600000003</v>
      </c>
      <c r="KF11" s="77">
        <v>404.35600799999997</v>
      </c>
      <c r="KG11" s="77">
        <v>460.88295399999998</v>
      </c>
      <c r="KH11" s="77">
        <v>401.89652599999999</v>
      </c>
      <c r="KI11" s="77">
        <v>401.92655100000002</v>
      </c>
      <c r="KJ11" s="77">
        <v>389.34807000000001</v>
      </c>
      <c r="KK11" s="77">
        <v>378.08690300000001</v>
      </c>
      <c r="KL11" s="77">
        <v>523.689843</v>
      </c>
      <c r="KM11" s="77">
        <v>421.55937599999999</v>
      </c>
      <c r="KN11" s="77">
        <v>458.02788600000002</v>
      </c>
      <c r="KO11" s="77">
        <v>400.55900000000003</v>
      </c>
      <c r="KP11" s="77">
        <v>398.64930199999998</v>
      </c>
      <c r="KQ11" s="77">
        <v>388.57070900000002</v>
      </c>
      <c r="KR11" s="77">
        <v>370.33610099999999</v>
      </c>
      <c r="KS11" s="77">
        <v>515.93904099999997</v>
      </c>
      <c r="KT11" s="77">
        <v>392.80454900000001</v>
      </c>
      <c r="KU11" s="77">
        <v>430.77114</v>
      </c>
      <c r="KV11" s="77">
        <v>379.53305899999998</v>
      </c>
      <c r="KW11" s="77">
        <v>385.50898599999999</v>
      </c>
      <c r="KX11" s="77">
        <v>374.460374</v>
      </c>
      <c r="KY11" s="77">
        <v>376.76849600000003</v>
      </c>
      <c r="KZ11" s="77">
        <v>522.37143400000002</v>
      </c>
      <c r="LA11" s="77">
        <v>399.55759599999999</v>
      </c>
      <c r="LB11" s="77">
        <v>454.230861</v>
      </c>
      <c r="LC11" s="77">
        <v>397.82579399999997</v>
      </c>
      <c r="LD11" s="77">
        <v>396.90397300000001</v>
      </c>
      <c r="LE11" s="77">
        <v>384.85140999999999</v>
      </c>
      <c r="LF11" s="77">
        <v>397.98295899999999</v>
      </c>
      <c r="LG11" s="77">
        <v>543.58589400000005</v>
      </c>
      <c r="LH11" s="77">
        <v>443.482643</v>
      </c>
      <c r="LI11" s="77">
        <v>481.738404</v>
      </c>
      <c r="LJ11" s="77">
        <v>420.954476</v>
      </c>
      <c r="LK11" s="77">
        <v>418.87769400000002</v>
      </c>
      <c r="LL11" s="77">
        <v>408.27620200000001</v>
      </c>
      <c r="LM11" s="77">
        <v>390.05956900000001</v>
      </c>
      <c r="LN11" s="77">
        <v>535.66250500000001</v>
      </c>
      <c r="LO11" s="77">
        <v>414.21101499999997</v>
      </c>
      <c r="LP11" s="77">
        <v>453.941394</v>
      </c>
      <c r="LQ11" s="77">
        <v>400.167486</v>
      </c>
      <c r="LR11" s="77">
        <v>406.66645299999999</v>
      </c>
      <c r="LS11" s="77">
        <v>395.02033599999999</v>
      </c>
      <c r="LT11" s="77">
        <v>361.14309700000001</v>
      </c>
      <c r="LU11" s="77">
        <v>506.74602800000002</v>
      </c>
      <c r="LV11" s="77">
        <v>383.622863</v>
      </c>
      <c r="LW11" s="77">
        <v>436.27444100000002</v>
      </c>
      <c r="LX11" s="77">
        <v>380.87353000000002</v>
      </c>
      <c r="LY11" s="77">
        <v>380.85293100000001</v>
      </c>
      <c r="LZ11" s="77">
        <v>369.06993999999997</v>
      </c>
      <c r="MA11" s="77">
        <v>370.48136299999999</v>
      </c>
      <c r="MB11" s="77">
        <v>516.08430599999997</v>
      </c>
      <c r="MC11" s="77">
        <v>424.66386</v>
      </c>
      <c r="MD11" s="77">
        <v>461.32988499999999</v>
      </c>
      <c r="ME11" s="77">
        <v>403.581119</v>
      </c>
      <c r="MF11" s="77">
        <v>401.721767</v>
      </c>
      <c r="MG11" s="77">
        <v>391.58985300000001</v>
      </c>
      <c r="MH11" s="77">
        <v>404.72185100000002</v>
      </c>
      <c r="MI11" s="77">
        <v>550.32478800000001</v>
      </c>
      <c r="MJ11" s="77">
        <v>415.25669199999999</v>
      </c>
      <c r="MK11" s="77">
        <v>453.70187399999998</v>
      </c>
      <c r="ML11" s="77">
        <v>401.44566099999997</v>
      </c>
      <c r="MM11" s="77">
        <v>407.41111100000001</v>
      </c>
      <c r="MN11" s="77">
        <v>396.05449700000003</v>
      </c>
      <c r="MO11" s="77">
        <v>395.19775600000003</v>
      </c>
      <c r="MP11" s="77">
        <v>540.80068900000003</v>
      </c>
      <c r="MQ11" s="77">
        <v>419.04756600000002</v>
      </c>
      <c r="MR11" s="77">
        <v>477.68651399999999</v>
      </c>
      <c r="MS11" s="77">
        <v>417.32027900000003</v>
      </c>
      <c r="MT11" s="77">
        <v>416.76302199999998</v>
      </c>
      <c r="MU11" s="77">
        <v>403.84739500000001</v>
      </c>
      <c r="MV11" s="77">
        <v>400.372255</v>
      </c>
      <c r="MW11" s="77">
        <v>545.975191</v>
      </c>
      <c r="MX11" s="77">
        <v>452.394454</v>
      </c>
      <c r="MY11" s="77">
        <v>492.55946499999999</v>
      </c>
      <c r="MZ11" s="77">
        <v>429.17829599999999</v>
      </c>
      <c r="NA11" s="77">
        <v>427.67479900000001</v>
      </c>
      <c r="NB11" s="77">
        <v>416.56319500000001</v>
      </c>
      <c r="NC11" s="77">
        <v>379.695919</v>
      </c>
      <c r="ND11" s="77">
        <v>525.298857</v>
      </c>
      <c r="NE11" s="77">
        <v>398.47434099999998</v>
      </c>
      <c r="NF11" s="77">
        <v>437.46291000000002</v>
      </c>
      <c r="NG11" s="77">
        <v>384.89423099999999</v>
      </c>
      <c r="NH11" s="77">
        <v>391.23727600000001</v>
      </c>
      <c r="NI11" s="77">
        <v>379.90374600000001</v>
      </c>
      <c r="NJ11" s="77">
        <v>358.48779000000002</v>
      </c>
      <c r="NK11" s="77">
        <v>504.09073100000001</v>
      </c>
      <c r="NL11" s="77">
        <v>381.03324500000002</v>
      </c>
      <c r="NM11" s="77">
        <v>433.53875900000003</v>
      </c>
      <c r="NN11" s="77">
        <v>377.823869</v>
      </c>
      <c r="NO11" s="77">
        <v>378.28229299999998</v>
      </c>
      <c r="NP11" s="77">
        <v>366.45387799999997</v>
      </c>
      <c r="NQ11" s="77">
        <v>414.71393599999999</v>
      </c>
      <c r="NR11" s="77">
        <v>560.31687199999999</v>
      </c>
      <c r="NS11" s="77">
        <v>453.846407</v>
      </c>
      <c r="NT11" s="77">
        <v>492.51007299999998</v>
      </c>
      <c r="NU11" s="77">
        <v>430.629276</v>
      </c>
      <c r="NV11" s="77">
        <v>428.24346300000002</v>
      </c>
      <c r="NW11" s="77">
        <v>417.50508400000001</v>
      </c>
      <c r="NX11" s="77">
        <v>407.97959200000003</v>
      </c>
      <c r="NY11" s="77">
        <v>553.58252800000002</v>
      </c>
      <c r="NZ11" s="77">
        <v>440.68488600000001</v>
      </c>
      <c r="OA11" s="77">
        <v>480.655396</v>
      </c>
      <c r="OB11" s="77">
        <v>426.072317</v>
      </c>
      <c r="OC11" s="77">
        <v>432.42829899999998</v>
      </c>
      <c r="OD11" s="77">
        <v>420.49578300000002</v>
      </c>
      <c r="OE11" s="77">
        <v>362.25025299999999</v>
      </c>
      <c r="OF11" s="77">
        <v>507.85319700000002</v>
      </c>
      <c r="OG11" s="77">
        <v>385.39141799999999</v>
      </c>
      <c r="OH11" s="77">
        <v>439.59441500000003</v>
      </c>
      <c r="OI11" s="77">
        <v>381.56273499999998</v>
      </c>
      <c r="OJ11" s="77">
        <v>382.84242799999998</v>
      </c>
      <c r="OK11" s="77">
        <v>370.54021999999998</v>
      </c>
      <c r="OL11" s="77">
        <v>364.77350999999999</v>
      </c>
      <c r="OM11" s="77">
        <v>510.37645199999997</v>
      </c>
      <c r="ON11" s="77">
        <v>427.50042200000001</v>
      </c>
      <c r="OO11" s="77">
        <v>465.40746999999999</v>
      </c>
      <c r="OP11" s="77">
        <v>406.12785500000001</v>
      </c>
      <c r="OQ11" s="77">
        <v>404.76649700000002</v>
      </c>
      <c r="OR11" s="77">
        <v>394.31105500000001</v>
      </c>
      <c r="OS11" s="77">
        <v>387.59900699999997</v>
      </c>
      <c r="OT11" s="77">
        <v>533.20195200000001</v>
      </c>
      <c r="OU11" s="77">
        <v>391.31120399999998</v>
      </c>
      <c r="OV11" s="77">
        <v>430.87320399999999</v>
      </c>
      <c r="OW11" s="77">
        <v>377.75725699999998</v>
      </c>
      <c r="OX11" s="77">
        <v>384.39832799999999</v>
      </c>
      <c r="OY11" s="77">
        <v>372.993021</v>
      </c>
      <c r="OZ11" s="77">
        <v>363.86116099999998</v>
      </c>
      <c r="PA11" s="77">
        <v>509.46408700000001</v>
      </c>
      <c r="PB11" s="77">
        <v>387.12395700000002</v>
      </c>
      <c r="PC11" s="77">
        <v>441.84929399999999</v>
      </c>
      <c r="PD11" s="77">
        <v>383.37521199999998</v>
      </c>
      <c r="PE11" s="77">
        <v>384.61793599999999</v>
      </c>
      <c r="PF11" s="77">
        <v>372.21542699999998</v>
      </c>
      <c r="PG11" s="77">
        <v>412.53802999999999</v>
      </c>
      <c r="PH11" s="77">
        <v>558.14096600000005</v>
      </c>
      <c r="PI11" s="77">
        <v>447.20712700000001</v>
      </c>
      <c r="PJ11" s="77">
        <v>486.01600200000001</v>
      </c>
      <c r="PK11" s="77">
        <v>424.40220099999999</v>
      </c>
      <c r="PL11" s="77">
        <v>422.42980699999998</v>
      </c>
      <c r="PM11" s="77">
        <v>411.67655600000001</v>
      </c>
      <c r="PN11" s="77">
        <v>409.35001599999998</v>
      </c>
      <c r="PO11" s="77">
        <v>554.95293900000001</v>
      </c>
      <c r="PP11" s="77">
        <v>446.57237099999998</v>
      </c>
      <c r="PQ11" s="77">
        <v>490.07742200000001</v>
      </c>
      <c r="PR11" s="77">
        <v>431.121982</v>
      </c>
      <c r="PS11" s="77">
        <v>438.85369400000002</v>
      </c>
      <c r="PT11" s="77">
        <v>426.03733</v>
      </c>
      <c r="PU11" s="77">
        <v>398.70305999999999</v>
      </c>
      <c r="PV11" s="77">
        <v>544.30599600000005</v>
      </c>
      <c r="PW11" s="77">
        <v>423.18830400000002</v>
      </c>
      <c r="PX11" s="77">
        <v>483.64010999999999</v>
      </c>
      <c r="PY11" s="77">
        <v>420.80247100000003</v>
      </c>
      <c r="PZ11" s="77">
        <v>421.11925400000001</v>
      </c>
      <c r="QA11" s="77">
        <v>407.69817599999999</v>
      </c>
      <c r="QB11" s="77">
        <v>395.95451500000001</v>
      </c>
      <c r="QC11" s="77">
        <v>541.55744800000002</v>
      </c>
      <c r="QD11" s="77">
        <v>437.57668200000001</v>
      </c>
      <c r="QE11" s="77">
        <v>477.70839599999999</v>
      </c>
      <c r="QF11" s="77">
        <v>415.40443900000002</v>
      </c>
      <c r="QG11" s="77">
        <v>414.71261500000003</v>
      </c>
      <c r="QH11" s="77">
        <v>403.66290800000002</v>
      </c>
      <c r="QI11" s="77">
        <v>387.19332500000002</v>
      </c>
      <c r="QJ11" s="77">
        <v>532.79625799999997</v>
      </c>
      <c r="QK11" s="77">
        <v>414.873558</v>
      </c>
      <c r="QL11" s="77">
        <v>458.900373</v>
      </c>
      <c r="QM11" s="77">
        <v>399.97101700000002</v>
      </c>
      <c r="QN11" s="77">
        <v>408.215845</v>
      </c>
      <c r="QO11" s="77">
        <v>395.565787</v>
      </c>
      <c r="QP11" s="77">
        <v>402.80670300000003</v>
      </c>
      <c r="QQ11" s="77">
        <v>548.40963799999997</v>
      </c>
      <c r="QR11" s="77">
        <v>428.30786499999999</v>
      </c>
      <c r="QS11" s="77">
        <v>491.36185599999999</v>
      </c>
    </row>
    <row r="12" spans="1:461" x14ac:dyDescent="0.25">
      <c r="F12" s="76" t="str">
        <f xml:space="preserve"> _xll.EPMOlapMemberO("[PRDDESCR].[].[HELGAS GFREE MIXED GRAIN 500G]","","HELGAS GFREE MIXED GRAIN 500G","","000")</f>
        <v>HELGAS GFREE MIXED GRAIN 500G</v>
      </c>
      <c r="G12" s="76" t="str">
        <f xml:space="preserve"> _xll.EPMOlapMemberO("[PRDID].[].[168847]","","168847","","000")</f>
        <v>168847</v>
      </c>
      <c r="H12" s="76" t="str">
        <f xml:space="preserve"> _xll.EPMOlapMemberO("[LOCID].[].[6125]","","6125","","000")</f>
        <v>6125</v>
      </c>
      <c r="I12" s="76" t="str">
        <f xml:space="preserve"> _xll.EPMOlapMemberO("[LOCDESCR].[].[QBA -Keilor Park]","","QBA -Keilor Park","","000")</f>
        <v>QBA -Keilor Park</v>
      </c>
      <c r="J12" s="76" t="str">
        <f xml:space="preserve"> _xll.EPMOlapMemberO("[KEY_FIGURES].[].[ZGFAPPROVEDFCSTQTY]","","Approved Forecast","","000")</f>
        <v>Approved Forecast</v>
      </c>
      <c r="K12" s="77">
        <v>2.1603129999999999</v>
      </c>
      <c r="L12" s="77">
        <v>768.05971199999999</v>
      </c>
      <c r="M12" s="77">
        <v>140.076258</v>
      </c>
      <c r="N12" s="77">
        <v>335.886053</v>
      </c>
      <c r="O12" s="77">
        <v>502.14860199999998</v>
      </c>
      <c r="P12" s="77">
        <v>452.93730199999999</v>
      </c>
      <c r="Q12" s="77">
        <v>1.5481E-2</v>
      </c>
      <c r="R12" s="77">
        <v>1.410391</v>
      </c>
      <c r="S12" s="77">
        <v>785.28906700000005</v>
      </c>
      <c r="T12" s="77">
        <v>136.40494699999999</v>
      </c>
      <c r="U12" s="77">
        <v>340.376462</v>
      </c>
      <c r="V12" s="77">
        <v>510.36278900000002</v>
      </c>
      <c r="W12" s="77">
        <v>462.46561700000001</v>
      </c>
      <c r="X12" s="77">
        <v>3.805E-2</v>
      </c>
      <c r="Y12" s="77">
        <v>3.805E-2</v>
      </c>
      <c r="Z12" s="77">
        <v>841.35347100000001</v>
      </c>
      <c r="AA12" s="77">
        <v>160.456805</v>
      </c>
      <c r="AB12" s="77">
        <v>360.65274799999997</v>
      </c>
      <c r="AC12" s="77">
        <v>528.79181300000005</v>
      </c>
      <c r="AD12" s="77">
        <v>476.478163</v>
      </c>
      <c r="AE12" s="77"/>
      <c r="AF12" s="77"/>
      <c r="AG12" s="77"/>
      <c r="AH12" s="77"/>
      <c r="AI12" s="77"/>
      <c r="AJ12" s="77"/>
      <c r="AK12" s="77"/>
      <c r="AL12" s="77">
        <v>3.125E-2</v>
      </c>
      <c r="AM12" s="77">
        <v>3.125E-2</v>
      </c>
      <c r="AN12" s="77">
        <v>787.04204300000004</v>
      </c>
      <c r="AO12" s="77">
        <v>145.37306799999999</v>
      </c>
      <c r="AP12" s="77">
        <v>335.03599400000002</v>
      </c>
      <c r="AQ12" s="77">
        <v>491.06178</v>
      </c>
      <c r="AR12" s="77">
        <v>451.80429099999998</v>
      </c>
      <c r="AS12" s="77">
        <v>3.5116000000000001E-2</v>
      </c>
      <c r="AT12" s="77">
        <v>3.5116000000000001E-2</v>
      </c>
      <c r="AU12" s="77">
        <v>853.02297399999998</v>
      </c>
      <c r="AV12" s="77">
        <v>150.72043600000001</v>
      </c>
      <c r="AW12" s="77">
        <v>362.733881</v>
      </c>
      <c r="AX12" s="77">
        <v>528.75552200000004</v>
      </c>
      <c r="AY12" s="77">
        <v>489.836229</v>
      </c>
      <c r="AZ12" s="77">
        <v>3.0314000000000001E-2</v>
      </c>
      <c r="BA12" s="77">
        <v>3.0314000000000001E-2</v>
      </c>
      <c r="BB12" s="77">
        <v>745.87598500000001</v>
      </c>
      <c r="BC12" s="77">
        <v>139.253232</v>
      </c>
      <c r="BD12" s="77">
        <v>315.44564600000001</v>
      </c>
      <c r="BE12" s="77">
        <v>466.65278899999998</v>
      </c>
      <c r="BF12" s="77">
        <v>424.54177600000003</v>
      </c>
      <c r="BG12" s="77">
        <v>3.7339999999999998E-2</v>
      </c>
      <c r="BH12" s="77">
        <v>3.7339999999999998E-2</v>
      </c>
      <c r="BI12" s="77">
        <v>855.74647200000004</v>
      </c>
      <c r="BJ12" s="77">
        <v>147.79251300000001</v>
      </c>
      <c r="BK12" s="77">
        <v>362.321282</v>
      </c>
      <c r="BL12" s="77">
        <v>535.32500200000004</v>
      </c>
      <c r="BM12" s="77">
        <v>498.61101400000001</v>
      </c>
      <c r="BN12" s="77">
        <v>3.4784000000000002E-2</v>
      </c>
      <c r="BO12" s="77">
        <v>3.4784000000000002E-2</v>
      </c>
      <c r="BP12" s="77">
        <v>832.49072100000001</v>
      </c>
      <c r="BQ12" s="77">
        <v>149.78011599999999</v>
      </c>
      <c r="BR12" s="77">
        <v>352.49192599999998</v>
      </c>
      <c r="BS12" s="77">
        <v>523.38879299999996</v>
      </c>
      <c r="BT12" s="77">
        <v>486.38503200000002</v>
      </c>
      <c r="BU12" s="77">
        <v>3.2469999999999999E-2</v>
      </c>
      <c r="BV12" s="77">
        <v>3.2469999999999999E-2</v>
      </c>
      <c r="BW12" s="77">
        <v>827.18653300000005</v>
      </c>
      <c r="BX12" s="77">
        <v>144.84846400000001</v>
      </c>
      <c r="BY12" s="77">
        <v>351.94640900000002</v>
      </c>
      <c r="BZ12" s="77">
        <v>513.89419699999996</v>
      </c>
      <c r="CA12" s="77">
        <v>478.21370300000001</v>
      </c>
      <c r="CB12" s="77">
        <v>3.3619000000000003E-2</v>
      </c>
      <c r="CC12" s="77">
        <v>3.3619000000000003E-2</v>
      </c>
      <c r="CD12" s="77">
        <v>845.794443</v>
      </c>
      <c r="CE12" s="77">
        <v>154.740252</v>
      </c>
      <c r="CF12" s="77">
        <v>359.06544000000002</v>
      </c>
      <c r="CG12" s="77">
        <v>531.01985200000001</v>
      </c>
      <c r="CH12" s="77">
        <v>487.69863800000002</v>
      </c>
      <c r="CI12" s="77">
        <v>2.8486999999999998E-2</v>
      </c>
      <c r="CJ12" s="77">
        <v>2.8486999999999998E-2</v>
      </c>
      <c r="CK12" s="77">
        <v>706.98388699999998</v>
      </c>
      <c r="CL12" s="77">
        <v>121.098551</v>
      </c>
      <c r="CM12" s="77">
        <v>298.52779500000003</v>
      </c>
      <c r="CN12" s="77">
        <v>446.81779799999998</v>
      </c>
      <c r="CO12" s="77">
        <v>411.08256399999999</v>
      </c>
      <c r="CP12" s="77">
        <v>3.2073999999999998E-2</v>
      </c>
      <c r="CQ12" s="77">
        <v>3.2073999999999998E-2</v>
      </c>
      <c r="CR12" s="77">
        <v>786.93189099999995</v>
      </c>
      <c r="CS12" s="77">
        <v>147.72807700000001</v>
      </c>
      <c r="CT12" s="77">
        <v>333.86090100000001</v>
      </c>
      <c r="CU12" s="77">
        <v>489.53509200000002</v>
      </c>
      <c r="CV12" s="77">
        <v>447.50174800000002</v>
      </c>
      <c r="CW12" s="77">
        <v>3.3100999999999998E-2</v>
      </c>
      <c r="CX12" s="77">
        <v>3.3100999999999998E-2</v>
      </c>
      <c r="CY12" s="77">
        <v>815.30358999999999</v>
      </c>
      <c r="CZ12" s="77">
        <v>143.15019599999999</v>
      </c>
      <c r="DA12" s="77">
        <v>348.04877499999998</v>
      </c>
      <c r="DB12" s="77">
        <v>504.82239499999997</v>
      </c>
      <c r="DC12" s="77">
        <v>471.40807799999999</v>
      </c>
      <c r="DD12" s="77">
        <v>3.2532999999999999E-2</v>
      </c>
      <c r="DE12" s="77">
        <v>3.2531999999999998E-2</v>
      </c>
      <c r="DF12" s="77">
        <v>837.46007699999996</v>
      </c>
      <c r="DG12" s="77">
        <v>151.46837199999999</v>
      </c>
      <c r="DH12" s="77">
        <v>354.77272799999997</v>
      </c>
      <c r="DI12" s="77">
        <v>524.42689700000005</v>
      </c>
      <c r="DJ12" s="77">
        <v>488.65756499999998</v>
      </c>
      <c r="DK12" s="77">
        <v>3.4884999999999999E-2</v>
      </c>
      <c r="DL12" s="77">
        <v>3.4884999999999999E-2</v>
      </c>
      <c r="DM12" s="77">
        <v>806.96226899999999</v>
      </c>
      <c r="DN12" s="77">
        <v>143.732428</v>
      </c>
      <c r="DO12" s="77">
        <v>343.74498299999999</v>
      </c>
      <c r="DP12" s="77">
        <v>499.796513</v>
      </c>
      <c r="DQ12" s="77">
        <v>459.90794399999999</v>
      </c>
      <c r="DR12" s="77">
        <v>3.2187E-2</v>
      </c>
      <c r="DS12" s="77">
        <v>3.2187E-2</v>
      </c>
      <c r="DT12" s="77">
        <v>788.15459999999996</v>
      </c>
      <c r="DU12" s="77">
        <v>143.16534100000001</v>
      </c>
      <c r="DV12" s="77">
        <v>333.67016699999999</v>
      </c>
      <c r="DW12" s="77">
        <v>495.43474400000002</v>
      </c>
      <c r="DX12" s="77">
        <v>456.89540499999998</v>
      </c>
      <c r="DY12" s="77">
        <v>3.7009E-2</v>
      </c>
      <c r="DZ12" s="77">
        <v>3.7009E-2</v>
      </c>
      <c r="EA12" s="77">
        <v>841.60065899999995</v>
      </c>
      <c r="EB12" s="77">
        <v>146.57242400000001</v>
      </c>
      <c r="EC12" s="77">
        <v>356.76987600000001</v>
      </c>
      <c r="ED12" s="77">
        <v>523.47273700000005</v>
      </c>
      <c r="EE12" s="77">
        <v>488.59864599999997</v>
      </c>
      <c r="EF12" s="77">
        <v>3.1973000000000001E-2</v>
      </c>
      <c r="EG12" s="77">
        <v>3.1973000000000001E-2</v>
      </c>
      <c r="EH12" s="77">
        <v>819.85237800000004</v>
      </c>
      <c r="EI12" s="77">
        <v>151.214583</v>
      </c>
      <c r="EJ12" s="77">
        <v>349.51112899999998</v>
      </c>
      <c r="EK12" s="77">
        <v>509.60566399999999</v>
      </c>
      <c r="EL12" s="77">
        <v>472.43962399999998</v>
      </c>
      <c r="EM12" s="77">
        <v>3.3888000000000001E-2</v>
      </c>
      <c r="EN12" s="77">
        <v>3.3889000000000002E-2</v>
      </c>
      <c r="EO12" s="77">
        <v>808.91868399999998</v>
      </c>
      <c r="EP12" s="77">
        <v>142.63733999999999</v>
      </c>
      <c r="EQ12" s="77">
        <v>342.67934100000002</v>
      </c>
      <c r="ER12" s="77">
        <v>502.59609599999999</v>
      </c>
      <c r="ES12" s="77">
        <v>464.32190400000002</v>
      </c>
      <c r="ET12" s="77">
        <v>2.9940000000000001E-2</v>
      </c>
      <c r="EU12" s="77">
        <v>2.9939E-2</v>
      </c>
      <c r="EV12" s="77">
        <v>758.46675300000004</v>
      </c>
      <c r="EW12" s="77">
        <v>142.232361</v>
      </c>
      <c r="EX12" s="77">
        <v>322.95378299999999</v>
      </c>
      <c r="EY12" s="77">
        <v>471.62987399999997</v>
      </c>
      <c r="EZ12" s="77">
        <v>431.028772</v>
      </c>
      <c r="FA12" s="77">
        <v>3.6126999999999999E-2</v>
      </c>
      <c r="FB12" s="77">
        <v>3.6129000000000001E-2</v>
      </c>
      <c r="FC12" s="77">
        <v>849.21295199999997</v>
      </c>
      <c r="FD12" s="77">
        <v>150.480515</v>
      </c>
      <c r="FE12" s="77">
        <v>361.18211600000001</v>
      </c>
      <c r="FF12" s="77">
        <v>527.07845199999997</v>
      </c>
      <c r="FG12" s="77">
        <v>485.75568299999998</v>
      </c>
      <c r="FH12" s="77">
        <v>3.4051999999999999E-2</v>
      </c>
      <c r="FI12" s="77">
        <v>3.4051999999999999E-2</v>
      </c>
      <c r="FJ12" s="77">
        <v>830.06444699999997</v>
      </c>
      <c r="FK12" s="77">
        <v>146.554147</v>
      </c>
      <c r="FL12" s="77">
        <v>349.69704999999999</v>
      </c>
      <c r="FM12" s="77">
        <v>524.34524999999996</v>
      </c>
      <c r="FN12" s="77">
        <v>491.10028699999998</v>
      </c>
      <c r="FO12" s="77">
        <v>3.0709E-2</v>
      </c>
      <c r="FP12" s="77">
        <v>3.0709E-2</v>
      </c>
      <c r="FQ12" s="77">
        <v>791.56928400000004</v>
      </c>
      <c r="FR12" s="77">
        <v>146.35313300000001</v>
      </c>
      <c r="FS12" s="77">
        <v>338.08897899999999</v>
      </c>
      <c r="FT12" s="77">
        <v>483.42315200000002</v>
      </c>
      <c r="FU12" s="77">
        <v>439.178133</v>
      </c>
      <c r="FV12" s="77">
        <v>3.2514000000000001E-2</v>
      </c>
      <c r="FW12" s="77">
        <v>3.2514000000000001E-2</v>
      </c>
      <c r="FX12" s="77">
        <v>780.23352399999999</v>
      </c>
      <c r="FY12" s="77">
        <v>147.37149199999999</v>
      </c>
      <c r="FZ12" s="77">
        <v>330.04400199999998</v>
      </c>
      <c r="GA12" s="77">
        <v>486.76826999999997</v>
      </c>
      <c r="GB12" s="77">
        <v>440.95711399999999</v>
      </c>
      <c r="GC12" s="77">
        <v>3.0461999999999999E-2</v>
      </c>
      <c r="GD12" s="77">
        <v>3.0461999999999999E-2</v>
      </c>
      <c r="GE12" s="77">
        <v>783.42131500000005</v>
      </c>
      <c r="GF12" s="77">
        <v>136.521995</v>
      </c>
      <c r="GG12" s="77">
        <v>330.74267400000002</v>
      </c>
      <c r="GH12" s="77">
        <v>489.11079999999998</v>
      </c>
      <c r="GI12" s="77">
        <v>452.91542500000003</v>
      </c>
      <c r="GJ12" s="77">
        <v>3.3819000000000002E-2</v>
      </c>
      <c r="GK12" s="77">
        <v>3.3819000000000002E-2</v>
      </c>
      <c r="GL12" s="77">
        <v>754.76822400000003</v>
      </c>
      <c r="GM12" s="77">
        <v>143.02860899999999</v>
      </c>
      <c r="GN12" s="77">
        <v>320.40910700000001</v>
      </c>
      <c r="GO12" s="77">
        <v>467.698758</v>
      </c>
      <c r="GP12" s="77">
        <v>426.922484</v>
      </c>
      <c r="GQ12" s="77">
        <v>3.0675000000000001E-2</v>
      </c>
      <c r="GR12" s="77">
        <v>3.0675000000000001E-2</v>
      </c>
      <c r="GS12" s="77">
        <v>757.27839200000005</v>
      </c>
      <c r="GT12" s="77">
        <v>138.97261900000001</v>
      </c>
      <c r="GU12" s="77">
        <v>323.59498200000002</v>
      </c>
      <c r="GV12" s="77">
        <v>462.041831</v>
      </c>
      <c r="GW12" s="77">
        <v>423.659063</v>
      </c>
      <c r="GX12" s="77">
        <v>3.2215000000000001E-2</v>
      </c>
      <c r="GY12" s="77">
        <v>3.2215000000000001E-2</v>
      </c>
      <c r="GZ12" s="77">
        <v>781.20360800000003</v>
      </c>
      <c r="HA12" s="77">
        <v>144.56243000000001</v>
      </c>
      <c r="HB12" s="77">
        <v>331.51746800000001</v>
      </c>
      <c r="HC12" s="77">
        <v>486.42426499999999</v>
      </c>
      <c r="HD12" s="77">
        <v>449.075558</v>
      </c>
      <c r="HE12" s="77">
        <v>0.48531400000000002</v>
      </c>
      <c r="HF12" s="77">
        <v>0.48530699999999999</v>
      </c>
      <c r="HG12" s="77">
        <v>809.78053899999998</v>
      </c>
      <c r="HH12" s="77">
        <v>141.71528799999999</v>
      </c>
      <c r="HI12" s="77">
        <v>343.35863699999999</v>
      </c>
      <c r="HJ12" s="77">
        <v>506.77956999999998</v>
      </c>
      <c r="HK12" s="77">
        <v>467.02790900000002</v>
      </c>
      <c r="HL12" s="77">
        <v>3.0373000000000001E-2</v>
      </c>
      <c r="HM12" s="77">
        <v>3.0373000000000001E-2</v>
      </c>
      <c r="HN12" s="77">
        <v>755.86856299999999</v>
      </c>
      <c r="HO12" s="77">
        <v>143.47463300000001</v>
      </c>
      <c r="HP12" s="77">
        <v>319.60272700000002</v>
      </c>
      <c r="HQ12" s="77">
        <v>469.347531</v>
      </c>
      <c r="HR12" s="77">
        <v>426.99391900000001</v>
      </c>
      <c r="HS12" s="77">
        <v>3.1435999999999999E-2</v>
      </c>
      <c r="HT12" s="77">
        <v>3.1435999999999999E-2</v>
      </c>
      <c r="HU12" s="77">
        <v>751.07490499999994</v>
      </c>
      <c r="HV12" s="77">
        <v>133.79643899999999</v>
      </c>
      <c r="HW12" s="77">
        <v>319.81194599999998</v>
      </c>
      <c r="HX12" s="77">
        <v>464.81633900000003</v>
      </c>
      <c r="HY12" s="77">
        <v>428.05044600000002</v>
      </c>
      <c r="HZ12" s="77">
        <v>3.4276000000000001E-2</v>
      </c>
      <c r="IA12" s="77">
        <v>3.4276000000000001E-2</v>
      </c>
      <c r="IB12" s="77">
        <v>827.88613599999996</v>
      </c>
      <c r="IC12" s="77">
        <v>156.378229</v>
      </c>
      <c r="ID12" s="77">
        <v>352.31649099999998</v>
      </c>
      <c r="IE12" s="77">
        <v>511.46823899999998</v>
      </c>
      <c r="IF12" s="77">
        <v>470.509884</v>
      </c>
      <c r="IG12" s="77">
        <v>3.6082999999999997E-2</v>
      </c>
      <c r="IH12" s="77">
        <v>3.6082999999999997E-2</v>
      </c>
      <c r="II12" s="77">
        <v>859.00598200000002</v>
      </c>
      <c r="IJ12" s="77">
        <v>153.030734</v>
      </c>
      <c r="IK12" s="77">
        <v>365.91906999999998</v>
      </c>
      <c r="IL12" s="77">
        <v>528.02265199999999</v>
      </c>
      <c r="IM12" s="77">
        <v>492.64670899999999</v>
      </c>
      <c r="IN12" s="77">
        <v>3.8345999999999998E-2</v>
      </c>
      <c r="IO12" s="77">
        <v>3.8345999999999998E-2</v>
      </c>
      <c r="IP12" s="77">
        <v>917.58892900000001</v>
      </c>
      <c r="IQ12" s="77">
        <v>168.798475</v>
      </c>
      <c r="IR12" s="77">
        <v>390.977846</v>
      </c>
      <c r="IS12" s="77">
        <v>567.69813599999998</v>
      </c>
      <c r="IT12" s="77">
        <v>532.34237599999994</v>
      </c>
      <c r="IU12" s="77">
        <v>3.2127999999999997E-2</v>
      </c>
      <c r="IV12" s="77">
        <v>3.2127999999999997E-2</v>
      </c>
      <c r="IW12" s="77">
        <v>770.16386599999998</v>
      </c>
      <c r="IX12" s="77">
        <v>136.75034600000001</v>
      </c>
      <c r="IY12" s="77">
        <v>326.812859</v>
      </c>
      <c r="IZ12" s="77">
        <v>478.28530699999999</v>
      </c>
      <c r="JA12" s="77">
        <v>439.12953299999998</v>
      </c>
      <c r="JB12" s="77">
        <v>3.4044999999999999E-2</v>
      </c>
      <c r="JC12" s="77">
        <v>3.4044999999999999E-2</v>
      </c>
      <c r="JD12" s="77">
        <v>834.28735200000006</v>
      </c>
      <c r="JE12" s="77">
        <v>152.85656599999999</v>
      </c>
      <c r="JF12" s="77">
        <v>355.15514400000001</v>
      </c>
      <c r="JG12" s="77">
        <v>518.89974199999995</v>
      </c>
      <c r="JH12" s="77">
        <v>483.44020499999999</v>
      </c>
      <c r="JI12" s="77">
        <v>3.3090000000000001E-2</v>
      </c>
      <c r="JJ12" s="77">
        <v>3.3090000000000001E-2</v>
      </c>
      <c r="JK12" s="77">
        <v>873.55725700000005</v>
      </c>
      <c r="JL12" s="77">
        <v>157.68645100000001</v>
      </c>
      <c r="JM12" s="77">
        <v>378.08993299999997</v>
      </c>
      <c r="JN12" s="77">
        <v>530.22180500000002</v>
      </c>
      <c r="JO12" s="77">
        <v>499.85456399999998</v>
      </c>
      <c r="JP12" s="77">
        <v>3.2830999999999999E-2</v>
      </c>
      <c r="JQ12" s="77">
        <v>3.2830999999999999E-2</v>
      </c>
      <c r="JR12" s="77">
        <v>812.55081499999994</v>
      </c>
      <c r="JS12" s="77">
        <v>157.12348399999999</v>
      </c>
      <c r="JT12" s="77">
        <v>345.56410099999999</v>
      </c>
      <c r="JU12" s="77">
        <v>499.21808700000003</v>
      </c>
      <c r="JV12" s="77">
        <v>454.74733400000002</v>
      </c>
      <c r="JW12" s="77">
        <v>1.732828</v>
      </c>
      <c r="JX12" s="77">
        <v>1.7328239999999999</v>
      </c>
      <c r="JY12" s="77">
        <v>1506.5649249999999</v>
      </c>
      <c r="JZ12" s="77">
        <v>310.76000599999998</v>
      </c>
      <c r="KA12" s="77">
        <v>546.06216300000006</v>
      </c>
      <c r="KB12" s="77">
        <v>1.656315</v>
      </c>
      <c r="KC12" s="77">
        <v>1.595456</v>
      </c>
      <c r="KD12" s="77">
        <v>308.75432899999998</v>
      </c>
      <c r="KE12" s="77">
        <v>308.665392</v>
      </c>
      <c r="KF12" s="77">
        <v>324.02096899999998</v>
      </c>
      <c r="KG12" s="77">
        <v>407.137743</v>
      </c>
      <c r="KH12" s="77">
        <v>332.38894699999997</v>
      </c>
      <c r="KI12" s="77">
        <v>317.45176800000002</v>
      </c>
      <c r="KJ12" s="77">
        <v>312.72255000000001</v>
      </c>
      <c r="KK12" s="77">
        <v>304.90012100000001</v>
      </c>
      <c r="KL12" s="77">
        <v>304.81454400000001</v>
      </c>
      <c r="KM12" s="77">
        <v>325.38246800000002</v>
      </c>
      <c r="KN12" s="77">
        <v>400.21491500000002</v>
      </c>
      <c r="KO12" s="77">
        <v>334.14469000000003</v>
      </c>
      <c r="KP12" s="77">
        <v>316.888869</v>
      </c>
      <c r="KQ12" s="77">
        <v>314.17788899999999</v>
      </c>
      <c r="KR12" s="77">
        <v>298.302009</v>
      </c>
      <c r="KS12" s="77">
        <v>298.21361899999999</v>
      </c>
      <c r="KT12" s="77">
        <v>312.74516999999997</v>
      </c>
      <c r="KU12" s="77">
        <v>392.52791400000001</v>
      </c>
      <c r="KV12" s="77">
        <v>320.94472200000001</v>
      </c>
      <c r="KW12" s="77">
        <v>306.324276</v>
      </c>
      <c r="KX12" s="77">
        <v>302.04824500000001</v>
      </c>
      <c r="KY12" s="77">
        <v>294.22840100000002</v>
      </c>
      <c r="KZ12" s="77">
        <v>294.13817399999999</v>
      </c>
      <c r="LA12" s="77">
        <v>311.016322</v>
      </c>
      <c r="LB12" s="77">
        <v>383.88425699999999</v>
      </c>
      <c r="LC12" s="77">
        <v>319.648259</v>
      </c>
      <c r="LD12" s="77">
        <v>302.764726</v>
      </c>
      <c r="LE12" s="77">
        <v>300.22941600000001</v>
      </c>
      <c r="LF12" s="77">
        <v>310.52306099999998</v>
      </c>
      <c r="LG12" s="77">
        <v>310.43476500000003</v>
      </c>
      <c r="LH12" s="77">
        <v>331.343794</v>
      </c>
      <c r="LI12" s="77">
        <v>414.971158</v>
      </c>
      <c r="LJ12" s="77">
        <v>339.65236599999997</v>
      </c>
      <c r="LK12" s="77">
        <v>324.81342100000001</v>
      </c>
      <c r="LL12" s="77">
        <v>319.86800299999999</v>
      </c>
      <c r="LM12" s="77">
        <v>305.70299</v>
      </c>
      <c r="LN12" s="77">
        <v>305.61486400000001</v>
      </c>
      <c r="LO12" s="77">
        <v>320.95659699999999</v>
      </c>
      <c r="LP12" s="77">
        <v>394.44262500000002</v>
      </c>
      <c r="LQ12" s="77">
        <v>329.57926500000002</v>
      </c>
      <c r="LR12" s="77">
        <v>312.57503300000002</v>
      </c>
      <c r="LS12" s="77">
        <v>309.86659400000002</v>
      </c>
      <c r="LT12" s="77">
        <v>295.01649200000003</v>
      </c>
      <c r="LU12" s="77">
        <v>294.92844300000002</v>
      </c>
      <c r="LV12" s="77">
        <v>312.406364</v>
      </c>
      <c r="LW12" s="77">
        <v>391.971407</v>
      </c>
      <c r="LX12" s="77">
        <v>320.47531900000001</v>
      </c>
      <c r="LY12" s="77">
        <v>306.08422999999999</v>
      </c>
      <c r="LZ12" s="77">
        <v>301.62043</v>
      </c>
      <c r="MA12" s="77">
        <v>290.48148600000002</v>
      </c>
      <c r="MB12" s="77">
        <v>290.39533799999998</v>
      </c>
      <c r="MC12" s="77">
        <v>319.39052299999997</v>
      </c>
      <c r="MD12" s="77">
        <v>393.05538200000001</v>
      </c>
      <c r="ME12" s="77">
        <v>328.00641400000001</v>
      </c>
      <c r="MF12" s="77">
        <v>310.98740299999997</v>
      </c>
      <c r="MG12" s="77">
        <v>308.24938200000003</v>
      </c>
      <c r="MH12" s="77">
        <v>318.32555300000001</v>
      </c>
      <c r="MI12" s="77">
        <v>318.238901</v>
      </c>
      <c r="MJ12" s="77">
        <v>322.85720900000001</v>
      </c>
      <c r="MK12" s="77">
        <v>406.45212299999997</v>
      </c>
      <c r="ML12" s="77">
        <v>331.46773400000001</v>
      </c>
      <c r="MM12" s="77">
        <v>316.093886</v>
      </c>
      <c r="MN12" s="77">
        <v>311.74169000000001</v>
      </c>
      <c r="MO12" s="77">
        <v>288.671898</v>
      </c>
      <c r="MP12" s="77">
        <v>288.587875</v>
      </c>
      <c r="MQ12" s="77">
        <v>305.06801899999999</v>
      </c>
      <c r="MR12" s="77">
        <v>377.32779499999998</v>
      </c>
      <c r="MS12" s="77">
        <v>313.61641900000001</v>
      </c>
      <c r="MT12" s="77">
        <v>296.95520699999997</v>
      </c>
      <c r="MU12" s="77">
        <v>294.535349</v>
      </c>
      <c r="MV12" s="77">
        <v>312.31405000000001</v>
      </c>
      <c r="MW12" s="77">
        <v>312.22545500000001</v>
      </c>
      <c r="MX12" s="77">
        <v>337.37977000000001</v>
      </c>
      <c r="MY12" s="77">
        <v>423.911383</v>
      </c>
      <c r="MZ12" s="77">
        <v>346.41698700000001</v>
      </c>
      <c r="NA12" s="77">
        <v>330.281319</v>
      </c>
      <c r="NB12" s="77">
        <v>326.02394800000002</v>
      </c>
      <c r="NC12" s="77">
        <v>305.43479200000002</v>
      </c>
      <c r="ND12" s="77">
        <v>305.34909800000003</v>
      </c>
      <c r="NE12" s="77">
        <v>316.48989399999999</v>
      </c>
      <c r="NF12" s="77">
        <v>388.99558000000002</v>
      </c>
      <c r="NG12" s="77">
        <v>324.957358</v>
      </c>
      <c r="NH12" s="77">
        <v>308.188625</v>
      </c>
      <c r="NI12" s="77">
        <v>305.43904500000002</v>
      </c>
      <c r="NJ12" s="77">
        <v>286.58414800000003</v>
      </c>
      <c r="NK12" s="77">
        <v>286.49779000000001</v>
      </c>
      <c r="NL12" s="77">
        <v>303.19869</v>
      </c>
      <c r="NM12" s="77">
        <v>380.06382500000001</v>
      </c>
      <c r="NN12" s="77">
        <v>311.07352200000003</v>
      </c>
      <c r="NO12" s="77">
        <v>297.03568899999999</v>
      </c>
      <c r="NP12" s="77">
        <v>292.85111000000001</v>
      </c>
      <c r="NQ12" s="77">
        <v>317.11817300000001</v>
      </c>
      <c r="NR12" s="77">
        <v>317.02900599999998</v>
      </c>
      <c r="NS12" s="77">
        <v>331.52310899999998</v>
      </c>
      <c r="NT12" s="77">
        <v>409.747141</v>
      </c>
      <c r="NU12" s="77">
        <v>340.72483099999999</v>
      </c>
      <c r="NV12" s="77">
        <v>322.70267000000001</v>
      </c>
      <c r="NW12" s="77">
        <v>319.98687899999999</v>
      </c>
      <c r="NX12" s="77">
        <v>323.02378499999998</v>
      </c>
      <c r="NY12" s="77">
        <v>322.937208</v>
      </c>
      <c r="NZ12" s="77">
        <v>346.070269</v>
      </c>
      <c r="OA12" s="77">
        <v>435.02082899999999</v>
      </c>
      <c r="OB12" s="77">
        <v>355.11024500000002</v>
      </c>
      <c r="OC12" s="77">
        <v>338.94555200000002</v>
      </c>
      <c r="OD12" s="77">
        <v>334.17525000000001</v>
      </c>
      <c r="OE12" s="77">
        <v>302.16910999999999</v>
      </c>
      <c r="OF12" s="77">
        <v>302.08099199999998</v>
      </c>
      <c r="OG12" s="77">
        <v>319.71576900000002</v>
      </c>
      <c r="OH12" s="77">
        <v>393.13192700000002</v>
      </c>
      <c r="OI12" s="77">
        <v>328.30676199999999</v>
      </c>
      <c r="OJ12" s="77">
        <v>311.31118500000002</v>
      </c>
      <c r="OK12" s="77">
        <v>308.54161399999998</v>
      </c>
      <c r="OL12" s="77">
        <v>297.60055299999999</v>
      </c>
      <c r="OM12" s="77">
        <v>297.50797</v>
      </c>
      <c r="ON12" s="77">
        <v>335.26116400000001</v>
      </c>
      <c r="OO12" s="77">
        <v>421.53989100000001</v>
      </c>
      <c r="OP12" s="77">
        <v>344.23677700000002</v>
      </c>
      <c r="OQ12" s="77">
        <v>328.22513199999997</v>
      </c>
      <c r="OR12" s="77">
        <v>323.84883200000002</v>
      </c>
      <c r="OS12" s="77">
        <v>344.280147</v>
      </c>
      <c r="OT12" s="77">
        <v>344.18403000000001</v>
      </c>
      <c r="OU12" s="77">
        <v>341.10664400000002</v>
      </c>
      <c r="OV12" s="77">
        <v>419.65446500000002</v>
      </c>
      <c r="OW12" s="77">
        <v>350.34123899999997</v>
      </c>
      <c r="OX12" s="77">
        <v>332.14051799999999</v>
      </c>
      <c r="OY12" s="77">
        <v>329.24870600000003</v>
      </c>
      <c r="OZ12" s="77">
        <v>280.95979699999998</v>
      </c>
      <c r="PA12" s="77">
        <v>280.871849</v>
      </c>
      <c r="PB12" s="77">
        <v>297.90475800000002</v>
      </c>
      <c r="PC12" s="77">
        <v>374.29868800000003</v>
      </c>
      <c r="PD12" s="77">
        <v>305.57459999999998</v>
      </c>
      <c r="PE12" s="77">
        <v>291.90505999999999</v>
      </c>
      <c r="PF12" s="77">
        <v>287.42251599999997</v>
      </c>
      <c r="PG12" s="77">
        <v>332.44129099999998</v>
      </c>
      <c r="PH12" s="77">
        <v>332.34579300000001</v>
      </c>
      <c r="PI12" s="77">
        <v>344.27911599999999</v>
      </c>
      <c r="PJ12" s="77">
        <v>425.345417</v>
      </c>
      <c r="PK12" s="77">
        <v>353.85427800000002</v>
      </c>
      <c r="PL12" s="77">
        <v>335.13976700000001</v>
      </c>
      <c r="PM12" s="77">
        <v>332.35772500000002</v>
      </c>
      <c r="PN12" s="77">
        <v>318.24878799999999</v>
      </c>
      <c r="PO12" s="77">
        <v>318.15517299999999</v>
      </c>
      <c r="PP12" s="77">
        <v>343.55160999999998</v>
      </c>
      <c r="PQ12" s="77">
        <v>432.64043700000002</v>
      </c>
      <c r="PR12" s="77">
        <v>352.87378999999999</v>
      </c>
      <c r="PS12" s="77">
        <v>336.23848199999998</v>
      </c>
      <c r="PT12" s="77">
        <v>331.85110700000001</v>
      </c>
      <c r="PU12" s="77">
        <v>313.44009399999999</v>
      </c>
      <c r="PV12" s="77">
        <v>313.34699699999999</v>
      </c>
      <c r="PW12" s="77">
        <v>331.21426300000002</v>
      </c>
      <c r="PX12" s="77">
        <v>408.09159099999999</v>
      </c>
      <c r="PY12" s="77">
        <v>340.29564099999999</v>
      </c>
      <c r="PZ12" s="77">
        <v>322.50906900000001</v>
      </c>
      <c r="QA12" s="77">
        <v>319.815448</v>
      </c>
      <c r="QB12" s="77">
        <v>320.17675400000002</v>
      </c>
      <c r="QC12" s="77">
        <v>320.07533699999999</v>
      </c>
      <c r="QD12" s="77">
        <v>338.79469699999999</v>
      </c>
      <c r="QE12" s="77">
        <v>425.949321</v>
      </c>
      <c r="QF12" s="77">
        <v>347.82973900000002</v>
      </c>
      <c r="QG12" s="77">
        <v>331.73927900000001</v>
      </c>
      <c r="QH12" s="77">
        <v>327.13699000000003</v>
      </c>
      <c r="QI12" s="77">
        <v>268.40676400000001</v>
      </c>
      <c r="QJ12" s="77">
        <v>268.32059400000003</v>
      </c>
      <c r="QK12" s="77">
        <v>283.74728199999998</v>
      </c>
      <c r="QL12" s="77">
        <v>351.41117000000003</v>
      </c>
      <c r="QM12" s="77">
        <v>291.814932</v>
      </c>
      <c r="QN12" s="77">
        <v>276.11404800000003</v>
      </c>
      <c r="QO12" s="77">
        <v>273.84263800000002</v>
      </c>
      <c r="QP12" s="77">
        <v>296.37256100000002</v>
      </c>
      <c r="QQ12" s="77">
        <v>296.28208899999998</v>
      </c>
      <c r="QR12" s="77">
        <v>314.12760600000001</v>
      </c>
      <c r="QS12" s="77">
        <v>394.04115999999999</v>
      </c>
    </row>
    <row r="13" spans="1:461" x14ac:dyDescent="0.25">
      <c r="F13" s="76" t="str">
        <f xml:space="preserve"> _xll.EPMOlapMemberO("[PRDDESCR].[].[HELGAS GFREE MIXED GRAIN 500G]","","HELGAS GFREE MIXED GRAIN 500G","","000")</f>
        <v>HELGAS GFREE MIXED GRAIN 500G</v>
      </c>
      <c r="G13" s="76" t="str">
        <f xml:space="preserve"> _xll.EPMOlapMemberO("[PRDID].[].[168847]","","168847","","000")</f>
        <v>168847</v>
      </c>
      <c r="H13" s="76" t="str">
        <f xml:space="preserve"> _xll.EPMOlapMemberO("[LOCID].[].[6130]","","6130","","000")</f>
        <v>6130</v>
      </c>
      <c r="I13" s="76" t="str">
        <f xml:space="preserve"> _xll.EPMOlapMemberO("[LOCDESCR].[].[QBA-Canning Vale]","","QBA-Canning Vale","","000")</f>
        <v>QBA-Canning Vale</v>
      </c>
      <c r="J13" s="76" t="str">
        <f xml:space="preserve"> _xll.EPMOlapMemberO("[KEY_FIGURES].[].[ZGFAPPROVEDFCSTQTY]","","Approved Forecast","","000")</f>
        <v>Approved Forecast</v>
      </c>
      <c r="K13" s="77">
        <v>64.867482999999993</v>
      </c>
      <c r="L13" s="77">
        <v>175.28173000000001</v>
      </c>
      <c r="M13" s="77">
        <v>95.970851999999994</v>
      </c>
      <c r="N13" s="77">
        <v>176.689841</v>
      </c>
      <c r="O13" s="77">
        <v>122.23860000000001</v>
      </c>
      <c r="P13" s="77">
        <v>22.638922999999998</v>
      </c>
      <c r="Q13" s="77">
        <v>324.15097800000001</v>
      </c>
      <c r="R13" s="77">
        <v>61.656387000000002</v>
      </c>
      <c r="S13" s="77">
        <v>196.91978499999999</v>
      </c>
      <c r="T13" s="77">
        <v>99.592091999999994</v>
      </c>
      <c r="U13" s="77">
        <v>169.98335299999999</v>
      </c>
      <c r="V13" s="77">
        <v>116.994197</v>
      </c>
      <c r="W13" s="77">
        <v>28.836834</v>
      </c>
      <c r="X13" s="77">
        <v>297.61389400000002</v>
      </c>
      <c r="Y13" s="77">
        <v>62.288803999999999</v>
      </c>
      <c r="Z13" s="77">
        <v>176.128209</v>
      </c>
      <c r="AA13" s="77">
        <v>99.259181999999996</v>
      </c>
      <c r="AB13" s="77">
        <v>159.316778</v>
      </c>
      <c r="AC13" s="77">
        <v>118.93261099999999</v>
      </c>
      <c r="AD13" s="77">
        <v>25.959689000000001</v>
      </c>
      <c r="AE13" s="77"/>
      <c r="AF13" s="77"/>
      <c r="AG13" s="77"/>
      <c r="AH13" s="77"/>
      <c r="AI13" s="77"/>
      <c r="AJ13" s="77"/>
      <c r="AK13" s="77"/>
      <c r="AL13" s="77">
        <v>304.31883599999998</v>
      </c>
      <c r="AM13" s="77">
        <v>59.079720999999999</v>
      </c>
      <c r="AN13" s="77">
        <v>175.06184500000001</v>
      </c>
      <c r="AO13" s="77">
        <v>93.690603999999993</v>
      </c>
      <c r="AP13" s="77">
        <v>159.267865</v>
      </c>
      <c r="AQ13" s="77">
        <v>120.129457</v>
      </c>
      <c r="AR13" s="77">
        <v>27.335709999999999</v>
      </c>
      <c r="AS13" s="77">
        <v>315.87410999999997</v>
      </c>
      <c r="AT13" s="77">
        <v>59.361823000000001</v>
      </c>
      <c r="AU13" s="77">
        <v>180.31358700000001</v>
      </c>
      <c r="AV13" s="77">
        <v>93.769282000000004</v>
      </c>
      <c r="AW13" s="77">
        <v>164.16254799999999</v>
      </c>
      <c r="AX13" s="77">
        <v>121.046588</v>
      </c>
      <c r="AY13" s="77">
        <v>26.886700000000001</v>
      </c>
      <c r="AZ13" s="77">
        <v>279.093996</v>
      </c>
      <c r="BA13" s="77">
        <v>54.802523999999998</v>
      </c>
      <c r="BB13" s="77">
        <v>161.18086299999999</v>
      </c>
      <c r="BC13" s="77">
        <v>87.093750999999997</v>
      </c>
      <c r="BD13" s="77">
        <v>146.58651</v>
      </c>
      <c r="BE13" s="77">
        <v>111.135379</v>
      </c>
      <c r="BF13" s="77">
        <v>25.740936999999999</v>
      </c>
      <c r="BG13" s="77">
        <v>291.02569799999998</v>
      </c>
      <c r="BH13" s="77">
        <v>56.687331</v>
      </c>
      <c r="BI13" s="77">
        <v>160.64321100000001</v>
      </c>
      <c r="BJ13" s="77">
        <v>84.983610999999996</v>
      </c>
      <c r="BK13" s="77">
        <v>146.16511</v>
      </c>
      <c r="BL13" s="77">
        <v>108.804136</v>
      </c>
      <c r="BM13" s="77">
        <v>24.920828</v>
      </c>
      <c r="BN13" s="77">
        <v>306.64099199999998</v>
      </c>
      <c r="BO13" s="77">
        <v>59.248874999999998</v>
      </c>
      <c r="BP13" s="77">
        <v>175.113506</v>
      </c>
      <c r="BQ13" s="77">
        <v>93.151841000000005</v>
      </c>
      <c r="BR13" s="77">
        <v>159.35073499999999</v>
      </c>
      <c r="BS13" s="77">
        <v>119.803304</v>
      </c>
      <c r="BT13" s="77">
        <v>26.953896</v>
      </c>
      <c r="BU13" s="77">
        <v>296.40277600000002</v>
      </c>
      <c r="BV13" s="77">
        <v>55.201427000000002</v>
      </c>
      <c r="BW13" s="77">
        <v>177.040142</v>
      </c>
      <c r="BX13" s="77">
        <v>92.847414000000001</v>
      </c>
      <c r="BY13" s="77">
        <v>161.13419999999999</v>
      </c>
      <c r="BZ13" s="77">
        <v>119.36941400000001</v>
      </c>
      <c r="CA13" s="77">
        <v>26.921462999999999</v>
      </c>
      <c r="CB13" s="77">
        <v>306.83802800000001</v>
      </c>
      <c r="CC13" s="77">
        <v>60.193151</v>
      </c>
      <c r="CD13" s="77">
        <v>177.195829</v>
      </c>
      <c r="CE13" s="77">
        <v>95.737342999999996</v>
      </c>
      <c r="CF13" s="77">
        <v>161.15202400000001</v>
      </c>
      <c r="CG13" s="77">
        <v>122.17139</v>
      </c>
      <c r="CH13" s="77">
        <v>28.291647000000001</v>
      </c>
      <c r="CI13" s="77">
        <v>319.12894</v>
      </c>
      <c r="CJ13" s="77">
        <v>58.309809000000001</v>
      </c>
      <c r="CK13" s="77">
        <v>180.40977699999999</v>
      </c>
      <c r="CL13" s="77">
        <v>91.409482999999994</v>
      </c>
      <c r="CM13" s="77">
        <v>164.39870300000001</v>
      </c>
      <c r="CN13" s="77">
        <v>119.504492</v>
      </c>
      <c r="CO13" s="77">
        <v>25.2865</v>
      </c>
      <c r="CP13" s="77">
        <v>291.22602999999998</v>
      </c>
      <c r="CQ13" s="77">
        <v>57.979658999999998</v>
      </c>
      <c r="CR13" s="77">
        <v>169.077201</v>
      </c>
      <c r="CS13" s="77">
        <v>92.531587000000002</v>
      </c>
      <c r="CT13" s="77">
        <v>153.69371699999999</v>
      </c>
      <c r="CU13" s="77">
        <v>117.327623</v>
      </c>
      <c r="CV13" s="77">
        <v>27.808093</v>
      </c>
      <c r="CW13" s="77">
        <v>294.44798400000002</v>
      </c>
      <c r="CX13" s="77">
        <v>57.424436</v>
      </c>
      <c r="CY13" s="77">
        <v>170.26563200000001</v>
      </c>
      <c r="CZ13" s="77">
        <v>91.529949000000002</v>
      </c>
      <c r="DA13" s="77">
        <v>154.830399</v>
      </c>
      <c r="DB13" s="77">
        <v>116.291949</v>
      </c>
      <c r="DC13" s="77">
        <v>27.388898000000001</v>
      </c>
      <c r="DD13" s="77">
        <v>296.013892</v>
      </c>
      <c r="DE13" s="77">
        <v>57.518694000000004</v>
      </c>
      <c r="DF13" s="77">
        <v>181.855063</v>
      </c>
      <c r="DG13" s="77">
        <v>99.336653999999996</v>
      </c>
      <c r="DH13" s="77">
        <v>165.32099099999999</v>
      </c>
      <c r="DI13" s="77">
        <v>126.074673</v>
      </c>
      <c r="DJ13" s="77">
        <v>29.780308000000002</v>
      </c>
      <c r="DK13" s="77">
        <v>306.53277200000002</v>
      </c>
      <c r="DL13" s="77">
        <v>59.868442999999999</v>
      </c>
      <c r="DM13" s="77">
        <v>166.29373100000001</v>
      </c>
      <c r="DN13" s="77">
        <v>87.696843000000001</v>
      </c>
      <c r="DO13" s="77">
        <v>151.323183</v>
      </c>
      <c r="DP13" s="77">
        <v>112.447047</v>
      </c>
      <c r="DQ13" s="77">
        <v>25.612394999999999</v>
      </c>
      <c r="DR13" s="77">
        <v>306.980054</v>
      </c>
      <c r="DS13" s="77">
        <v>59.156253</v>
      </c>
      <c r="DT13" s="77">
        <v>176.11824100000001</v>
      </c>
      <c r="DU13" s="77">
        <v>93.628962999999999</v>
      </c>
      <c r="DV13" s="77">
        <v>160.268506</v>
      </c>
      <c r="DW13" s="77">
        <v>120.454078</v>
      </c>
      <c r="DX13" s="77">
        <v>27.069002000000001</v>
      </c>
      <c r="DY13" s="77">
        <v>288.95388400000002</v>
      </c>
      <c r="DZ13" s="77">
        <v>57.052584000000003</v>
      </c>
      <c r="EA13" s="77">
        <v>162.91760400000001</v>
      </c>
      <c r="EB13" s="77">
        <v>87.749554000000003</v>
      </c>
      <c r="EC13" s="77">
        <v>148.13813500000001</v>
      </c>
      <c r="ED13" s="77">
        <v>111.38643999999999</v>
      </c>
      <c r="EE13" s="77">
        <v>26.320620000000002</v>
      </c>
      <c r="EF13" s="77">
        <v>279.31086099999999</v>
      </c>
      <c r="EG13" s="77">
        <v>55.239849</v>
      </c>
      <c r="EH13" s="77">
        <v>166.6233</v>
      </c>
      <c r="EI13" s="77">
        <v>91.405080999999996</v>
      </c>
      <c r="EJ13" s="77">
        <v>151.44930199999999</v>
      </c>
      <c r="EK13" s="77">
        <v>115.76286</v>
      </c>
      <c r="EL13" s="77">
        <v>27.553391999999999</v>
      </c>
      <c r="EM13" s="77">
        <v>295.66372000000001</v>
      </c>
      <c r="EN13" s="77">
        <v>56.579701</v>
      </c>
      <c r="EO13" s="77">
        <v>169.82157000000001</v>
      </c>
      <c r="EP13" s="77">
        <v>89.742303000000007</v>
      </c>
      <c r="EQ13" s="77">
        <v>154.52238299999999</v>
      </c>
      <c r="ER13" s="77">
        <v>114.956239</v>
      </c>
      <c r="ES13" s="77">
        <v>26.279841999999999</v>
      </c>
      <c r="ET13" s="77">
        <v>295.154338</v>
      </c>
      <c r="EU13" s="77">
        <v>56.971553999999998</v>
      </c>
      <c r="EV13" s="77">
        <v>169.41503</v>
      </c>
      <c r="EW13" s="77">
        <v>90.173246000000006</v>
      </c>
      <c r="EX13" s="77">
        <v>154.161722</v>
      </c>
      <c r="EY13" s="77">
        <v>115.938226</v>
      </c>
      <c r="EZ13" s="77">
        <v>26.112995999999999</v>
      </c>
      <c r="FA13" s="77">
        <v>311.16515900000002</v>
      </c>
      <c r="FB13" s="77">
        <v>59.845123000000001</v>
      </c>
      <c r="FC13" s="77">
        <v>171.94015099999999</v>
      </c>
      <c r="FD13" s="77">
        <v>90.074010999999999</v>
      </c>
      <c r="FE13" s="77">
        <v>156.498581</v>
      </c>
      <c r="FF13" s="77">
        <v>115.864959</v>
      </c>
      <c r="FG13" s="77">
        <v>26.079774</v>
      </c>
      <c r="FH13" s="77">
        <v>295.26201300000002</v>
      </c>
      <c r="FI13" s="77">
        <v>57.334384999999997</v>
      </c>
      <c r="FJ13" s="77">
        <v>177.11739600000001</v>
      </c>
      <c r="FK13" s="77">
        <v>96.020966000000001</v>
      </c>
      <c r="FL13" s="77">
        <v>161.05995799999999</v>
      </c>
      <c r="FM13" s="77">
        <v>122.32533599999999</v>
      </c>
      <c r="FN13" s="77">
        <v>28.503436000000001</v>
      </c>
      <c r="FO13" s="77">
        <v>322.00985100000003</v>
      </c>
      <c r="FP13" s="77">
        <v>61.252515000000002</v>
      </c>
      <c r="FQ13" s="77">
        <v>190.36977899999999</v>
      </c>
      <c r="FR13" s="77">
        <v>98.900006000000005</v>
      </c>
      <c r="FS13" s="77">
        <v>173.32406399999999</v>
      </c>
      <c r="FT13" s="77">
        <v>127.731424</v>
      </c>
      <c r="FU13" s="77">
        <v>28.319870999999999</v>
      </c>
      <c r="FV13" s="77">
        <v>334.87268399999999</v>
      </c>
      <c r="FW13" s="77">
        <v>63.734628999999998</v>
      </c>
      <c r="FX13" s="77">
        <v>185.56276099999999</v>
      </c>
      <c r="FY13" s="77">
        <v>98.753838000000002</v>
      </c>
      <c r="FZ13" s="77">
        <v>168.856829</v>
      </c>
      <c r="GA13" s="77">
        <v>126.979995</v>
      </c>
      <c r="GB13" s="77">
        <v>28.592241000000001</v>
      </c>
      <c r="GC13" s="77">
        <v>301.57012700000001</v>
      </c>
      <c r="GD13" s="77">
        <v>59.326515000000001</v>
      </c>
      <c r="GE13" s="77">
        <v>190.179598</v>
      </c>
      <c r="GF13" s="77">
        <v>105.53776499999999</v>
      </c>
      <c r="GG13" s="77">
        <v>172.73568299999999</v>
      </c>
      <c r="GH13" s="77">
        <v>132.095348</v>
      </c>
      <c r="GI13" s="77">
        <v>32.805027000000003</v>
      </c>
      <c r="GJ13" s="77">
        <v>335.78607599999998</v>
      </c>
      <c r="GK13" s="77">
        <v>68.840474</v>
      </c>
      <c r="GL13" s="77">
        <v>181.17726400000001</v>
      </c>
      <c r="GM13" s="77">
        <v>99.576110999999997</v>
      </c>
      <c r="GN13" s="77">
        <v>164.66609399999999</v>
      </c>
      <c r="GO13" s="77">
        <v>125.99393499999999</v>
      </c>
      <c r="GP13" s="77">
        <v>30.088954000000001</v>
      </c>
      <c r="GQ13" s="77">
        <v>320.75434100000001</v>
      </c>
      <c r="GR13" s="77">
        <v>62.085011000000002</v>
      </c>
      <c r="GS13" s="77">
        <v>185.02625699999999</v>
      </c>
      <c r="GT13" s="77">
        <v>98.855603000000002</v>
      </c>
      <c r="GU13" s="77">
        <v>168.290638</v>
      </c>
      <c r="GV13" s="77">
        <v>125.967477</v>
      </c>
      <c r="GW13" s="77">
        <v>29.355187999999998</v>
      </c>
      <c r="GX13" s="77">
        <v>282.81669900000003</v>
      </c>
      <c r="GY13" s="77">
        <v>56.295785000000002</v>
      </c>
      <c r="GZ13" s="77">
        <v>164.58702099999999</v>
      </c>
      <c r="HA13" s="77">
        <v>90.105665999999999</v>
      </c>
      <c r="HB13" s="77">
        <v>149.610051</v>
      </c>
      <c r="HC13" s="77">
        <v>114.23182799999999</v>
      </c>
      <c r="HD13" s="77">
        <v>27.091208999999999</v>
      </c>
      <c r="HE13" s="77">
        <v>327.34171400000002</v>
      </c>
      <c r="HF13" s="77">
        <v>64.078306999999995</v>
      </c>
      <c r="HG13" s="77">
        <v>189.12515999999999</v>
      </c>
      <c r="HH13" s="77">
        <v>102.01218799999999</v>
      </c>
      <c r="HI13" s="77">
        <v>171.95922999999999</v>
      </c>
      <c r="HJ13" s="77">
        <v>129.40251000000001</v>
      </c>
      <c r="HK13" s="77">
        <v>30.653099000000001</v>
      </c>
      <c r="HL13" s="77">
        <v>308.51370100000003</v>
      </c>
      <c r="HM13" s="77">
        <v>61.045751000000003</v>
      </c>
      <c r="HN13" s="77">
        <v>187.286428</v>
      </c>
      <c r="HO13" s="77">
        <v>100.101332</v>
      </c>
      <c r="HP13" s="77">
        <v>170.39786599999999</v>
      </c>
      <c r="HQ13" s="77">
        <v>128.433999</v>
      </c>
      <c r="HR13" s="77">
        <v>29.15391</v>
      </c>
      <c r="HS13" s="77">
        <v>341.72531800000002</v>
      </c>
      <c r="HT13" s="77">
        <v>60.620351999999997</v>
      </c>
      <c r="HU13" s="77">
        <v>180.74489700000001</v>
      </c>
      <c r="HV13" s="77">
        <v>91.019893999999994</v>
      </c>
      <c r="HW13" s="77">
        <v>164.738552</v>
      </c>
      <c r="HX13" s="77">
        <v>119.353521</v>
      </c>
      <c r="HY13" s="77">
        <v>24.958694000000001</v>
      </c>
      <c r="HZ13" s="77">
        <v>135.20883000000001</v>
      </c>
      <c r="IA13" s="77">
        <v>28.543011</v>
      </c>
      <c r="IB13" s="77">
        <v>79.546732000000006</v>
      </c>
      <c r="IC13" s="77">
        <v>45.421635000000002</v>
      </c>
      <c r="ID13" s="77">
        <v>72.189594999999997</v>
      </c>
      <c r="IE13" s="77">
        <v>56.405031999999999</v>
      </c>
      <c r="IF13" s="77">
        <v>14.382422</v>
      </c>
      <c r="IG13" s="77">
        <v>368.73687899999999</v>
      </c>
      <c r="IH13" s="77">
        <v>65.576817000000005</v>
      </c>
      <c r="II13" s="77">
        <v>207.45573200000001</v>
      </c>
      <c r="IJ13" s="77">
        <v>102.755234</v>
      </c>
      <c r="IK13" s="77">
        <v>189.18972299999999</v>
      </c>
      <c r="IL13" s="77">
        <v>135.84789000000001</v>
      </c>
      <c r="IM13" s="77">
        <v>27.497603999999999</v>
      </c>
      <c r="IN13" s="77">
        <v>350.28839099999999</v>
      </c>
      <c r="IO13" s="77">
        <v>65.145852000000005</v>
      </c>
      <c r="IP13" s="77">
        <v>202.12456</v>
      </c>
      <c r="IQ13" s="77">
        <v>103.40178299999999</v>
      </c>
      <c r="IR13" s="77">
        <v>184.191258</v>
      </c>
      <c r="IS13" s="77">
        <v>135.65329600000001</v>
      </c>
      <c r="IT13" s="77">
        <v>28.276551999999999</v>
      </c>
      <c r="IU13" s="77">
        <v>373.49546900000001</v>
      </c>
      <c r="IV13" s="77">
        <v>68.672194000000005</v>
      </c>
      <c r="IW13" s="77">
        <v>206.36253300000001</v>
      </c>
      <c r="IX13" s="77">
        <v>105.72124100000001</v>
      </c>
      <c r="IY13" s="77">
        <v>187.97656599999999</v>
      </c>
      <c r="IZ13" s="77">
        <v>137.47055</v>
      </c>
      <c r="JA13" s="77">
        <v>29.702653999999999</v>
      </c>
      <c r="JB13" s="77">
        <v>317.43593600000003</v>
      </c>
      <c r="JC13" s="77">
        <v>58.782375000000002</v>
      </c>
      <c r="JD13" s="77">
        <v>180.87499199999999</v>
      </c>
      <c r="JE13" s="77">
        <v>92.967470000000006</v>
      </c>
      <c r="JF13" s="77">
        <v>164.79940099999999</v>
      </c>
      <c r="JG13" s="77">
        <v>121.67056100000001</v>
      </c>
      <c r="JH13" s="77">
        <v>25.604192999999999</v>
      </c>
      <c r="JI13" s="77">
        <v>300.74796300000003</v>
      </c>
      <c r="JJ13" s="77">
        <v>57.061228999999997</v>
      </c>
      <c r="JK13" s="77">
        <v>176.81682799999999</v>
      </c>
      <c r="JL13" s="77">
        <v>93.551332000000002</v>
      </c>
      <c r="JM13" s="77">
        <v>160.88037199999999</v>
      </c>
      <c r="JN13" s="77">
        <v>119.766271</v>
      </c>
      <c r="JO13" s="77">
        <v>27.437583</v>
      </c>
      <c r="JP13" s="77">
        <v>258.89557500000001</v>
      </c>
      <c r="JQ13" s="77">
        <v>51.978349000000001</v>
      </c>
      <c r="JR13" s="77">
        <v>156.23916600000001</v>
      </c>
      <c r="JS13" s="77">
        <v>83.210263999999995</v>
      </c>
      <c r="JT13" s="77">
        <v>142.169118</v>
      </c>
      <c r="JU13" s="77">
        <v>106.953461</v>
      </c>
      <c r="JV13" s="77">
        <v>24.116622</v>
      </c>
      <c r="JW13" s="77">
        <v>177.43117100000001</v>
      </c>
      <c r="JX13" s="77">
        <v>52.339202999999998</v>
      </c>
      <c r="JY13" s="77">
        <v>130.94970900000001</v>
      </c>
      <c r="JZ13" s="77">
        <v>61.823324999999997</v>
      </c>
      <c r="KA13" s="77">
        <v>103.263142</v>
      </c>
      <c r="KB13" s="77">
        <v>165.97883300000001</v>
      </c>
      <c r="KC13" s="77">
        <v>167.224367</v>
      </c>
      <c r="KD13" s="77">
        <v>130.298586</v>
      </c>
      <c r="KE13" s="77">
        <v>131.234014</v>
      </c>
      <c r="KF13" s="77">
        <v>128.59062700000001</v>
      </c>
      <c r="KG13" s="77">
        <v>129.526107</v>
      </c>
      <c r="KH13" s="77">
        <v>128.590552</v>
      </c>
      <c r="KI13" s="77">
        <v>129.52603999999999</v>
      </c>
      <c r="KJ13" s="77">
        <v>128.59051400000001</v>
      </c>
      <c r="KK13" s="77">
        <v>120.436685</v>
      </c>
      <c r="KL13" s="77">
        <v>119.62150200000001</v>
      </c>
      <c r="KM13" s="77">
        <v>122.02643399999999</v>
      </c>
      <c r="KN13" s="77">
        <v>121.211271</v>
      </c>
      <c r="KO13" s="77">
        <v>122.026364</v>
      </c>
      <c r="KP13" s="77">
        <v>121.211204</v>
      </c>
      <c r="KQ13" s="77">
        <v>122.026324</v>
      </c>
      <c r="KR13" s="77">
        <v>133.60193200000001</v>
      </c>
      <c r="KS13" s="77">
        <v>134.495307</v>
      </c>
      <c r="KT13" s="77">
        <v>131.838267</v>
      </c>
      <c r="KU13" s="77">
        <v>132.73170400000001</v>
      </c>
      <c r="KV13" s="77">
        <v>131.838199</v>
      </c>
      <c r="KW13" s="77">
        <v>132.731641</v>
      </c>
      <c r="KX13" s="77">
        <v>131.83815899999999</v>
      </c>
      <c r="KY13" s="77">
        <v>130.768653</v>
      </c>
      <c r="KZ13" s="77">
        <v>129.804224</v>
      </c>
      <c r="LA13" s="77">
        <v>130.768483</v>
      </c>
      <c r="LB13" s="77">
        <v>129.80411599999999</v>
      </c>
      <c r="LC13" s="77">
        <v>130.76841300000001</v>
      </c>
      <c r="LD13" s="77">
        <v>129.804056</v>
      </c>
      <c r="LE13" s="77">
        <v>130.76837599999999</v>
      </c>
      <c r="LF13" s="77">
        <v>119.566762</v>
      </c>
      <c r="LG13" s="77">
        <v>120.367092</v>
      </c>
      <c r="LH13" s="77">
        <v>120.791937</v>
      </c>
      <c r="LI13" s="77">
        <v>121.592302</v>
      </c>
      <c r="LJ13" s="77">
        <v>120.791865</v>
      </c>
      <c r="LK13" s="77">
        <v>121.59222699999999</v>
      </c>
      <c r="LL13" s="77">
        <v>120.79182299999999</v>
      </c>
      <c r="LM13" s="77">
        <v>119.776111</v>
      </c>
      <c r="LN13" s="77">
        <v>119.10622100000001</v>
      </c>
      <c r="LO13" s="77">
        <v>118.44403699999999</v>
      </c>
      <c r="LP13" s="77">
        <v>117.774196</v>
      </c>
      <c r="LQ13" s="77">
        <v>118.44398099999999</v>
      </c>
      <c r="LR13" s="77">
        <v>117.774137</v>
      </c>
      <c r="LS13" s="77">
        <v>118.443949</v>
      </c>
      <c r="LT13" s="77">
        <v>143.08779899999999</v>
      </c>
      <c r="LU13" s="77">
        <v>144.20485099999999</v>
      </c>
      <c r="LV13" s="77">
        <v>143.08762100000001</v>
      </c>
      <c r="LW13" s="77">
        <v>144.204722</v>
      </c>
      <c r="LX13" s="77">
        <v>143.08754500000001</v>
      </c>
      <c r="LY13" s="77">
        <v>144.204654</v>
      </c>
      <c r="LZ13" s="77">
        <v>143.087504</v>
      </c>
      <c r="MA13" s="77">
        <v>125.773751</v>
      </c>
      <c r="MB13" s="77">
        <v>124.933409</v>
      </c>
      <c r="MC13" s="77">
        <v>133.127837</v>
      </c>
      <c r="MD13" s="77">
        <v>132.28755200000001</v>
      </c>
      <c r="ME13" s="77">
        <v>133.12775400000001</v>
      </c>
      <c r="MF13" s="77">
        <v>132.28747899999999</v>
      </c>
      <c r="MG13" s="77">
        <v>133.127714</v>
      </c>
      <c r="MH13" s="77">
        <v>138.12740299999999</v>
      </c>
      <c r="MI13" s="77">
        <v>138.93351100000001</v>
      </c>
      <c r="MJ13" s="77">
        <v>130.05480399999999</v>
      </c>
      <c r="MK13" s="77">
        <v>130.86093600000001</v>
      </c>
      <c r="ML13" s="77">
        <v>130.05472499999999</v>
      </c>
      <c r="MM13" s="77">
        <v>130.86086</v>
      </c>
      <c r="MN13" s="77">
        <v>130.054686</v>
      </c>
      <c r="MO13" s="77">
        <v>124.233884</v>
      </c>
      <c r="MP13" s="77">
        <v>123.405632</v>
      </c>
      <c r="MQ13" s="77">
        <v>124.233724</v>
      </c>
      <c r="MR13" s="77">
        <v>123.40552099999999</v>
      </c>
      <c r="MS13" s="77">
        <v>124.233655</v>
      </c>
      <c r="MT13" s="77">
        <v>123.405449</v>
      </c>
      <c r="MU13" s="77">
        <v>124.233611</v>
      </c>
      <c r="MV13" s="77">
        <v>140.515806</v>
      </c>
      <c r="MW13" s="77">
        <v>141.439787</v>
      </c>
      <c r="MX13" s="77">
        <v>144.85618299999999</v>
      </c>
      <c r="MY13" s="77">
        <v>145.780193</v>
      </c>
      <c r="MZ13" s="77">
        <v>144.85610500000001</v>
      </c>
      <c r="NA13" s="77">
        <v>145.78010499999999</v>
      </c>
      <c r="NB13" s="77">
        <v>144.856053</v>
      </c>
      <c r="NC13" s="77">
        <v>141.35344000000001</v>
      </c>
      <c r="ND13" s="77">
        <v>140.47198499999999</v>
      </c>
      <c r="NE13" s="77">
        <v>137.100281</v>
      </c>
      <c r="NF13" s="77">
        <v>136.21887100000001</v>
      </c>
      <c r="NG13" s="77">
        <v>137.100201</v>
      </c>
      <c r="NH13" s="77">
        <v>136.218806</v>
      </c>
      <c r="NI13" s="77">
        <v>137.10015999999999</v>
      </c>
      <c r="NJ13" s="77">
        <v>123.35353600000001</v>
      </c>
      <c r="NK13" s="77">
        <v>124.150767</v>
      </c>
      <c r="NL13" s="77">
        <v>123.353391</v>
      </c>
      <c r="NM13" s="77">
        <v>124.150674</v>
      </c>
      <c r="NN13" s="77">
        <v>123.35332200000001</v>
      </c>
      <c r="NO13" s="77">
        <v>124.150604</v>
      </c>
      <c r="NP13" s="77">
        <v>123.353285</v>
      </c>
      <c r="NQ13" s="77">
        <v>152.09742299999999</v>
      </c>
      <c r="NR13" s="77">
        <v>150.98252400000001</v>
      </c>
      <c r="NS13" s="77">
        <v>149.950952</v>
      </c>
      <c r="NT13" s="77">
        <v>148.83611500000001</v>
      </c>
      <c r="NU13" s="77">
        <v>149.950872</v>
      </c>
      <c r="NV13" s="77">
        <v>148.83604600000001</v>
      </c>
      <c r="NW13" s="77">
        <v>149.95083099999999</v>
      </c>
      <c r="NX13" s="77">
        <v>129.76833300000001</v>
      </c>
      <c r="NY13" s="77">
        <v>130.647887</v>
      </c>
      <c r="NZ13" s="77">
        <v>131.78835699999999</v>
      </c>
      <c r="OA13" s="77">
        <v>132.66796400000001</v>
      </c>
      <c r="OB13" s="77">
        <v>131.788284</v>
      </c>
      <c r="OC13" s="77">
        <v>132.667902</v>
      </c>
      <c r="OD13" s="77">
        <v>131.78824800000001</v>
      </c>
      <c r="OE13" s="77">
        <v>131.503557</v>
      </c>
      <c r="OF13" s="77">
        <v>130.64128700000001</v>
      </c>
      <c r="OG13" s="77">
        <v>131.503398</v>
      </c>
      <c r="OH13" s="77">
        <v>130.64117100000001</v>
      </c>
      <c r="OI13" s="77">
        <v>131.50332</v>
      </c>
      <c r="OJ13" s="77">
        <v>130.641097</v>
      </c>
      <c r="OK13" s="77">
        <v>131.503277</v>
      </c>
      <c r="OL13" s="77">
        <v>133.92469</v>
      </c>
      <c r="OM13" s="77">
        <v>134.85042799999999</v>
      </c>
      <c r="ON13" s="77">
        <v>146.99827999999999</v>
      </c>
      <c r="OO13" s="77">
        <v>147.92408800000001</v>
      </c>
      <c r="OP13" s="77">
        <v>146.998199</v>
      </c>
      <c r="OQ13" s="77">
        <v>147.92400900000001</v>
      </c>
      <c r="OR13" s="77">
        <v>146.99815000000001</v>
      </c>
      <c r="OS13" s="77">
        <v>150.37356</v>
      </c>
      <c r="OT13" s="77">
        <v>149.378727</v>
      </c>
      <c r="OU13" s="77">
        <v>137.561622</v>
      </c>
      <c r="OV13" s="77">
        <v>136.566821</v>
      </c>
      <c r="OW13" s="77">
        <v>137.561532</v>
      </c>
      <c r="OX13" s="77">
        <v>136.56674699999999</v>
      </c>
      <c r="OY13" s="77">
        <v>137.56148899999999</v>
      </c>
      <c r="OZ13" s="77">
        <v>123.482052</v>
      </c>
      <c r="PA13" s="77">
        <v>124.308458</v>
      </c>
      <c r="PB13" s="77">
        <v>123.481915</v>
      </c>
      <c r="PC13" s="77">
        <v>124.308345</v>
      </c>
      <c r="PD13" s="77">
        <v>123.481837</v>
      </c>
      <c r="PE13" s="77">
        <v>124.308286</v>
      </c>
      <c r="PF13" s="77">
        <v>123.481801</v>
      </c>
      <c r="PG13" s="77">
        <v>128.89777100000001</v>
      </c>
      <c r="PH13" s="77">
        <v>128.054551</v>
      </c>
      <c r="PI13" s="77">
        <v>125.323408</v>
      </c>
      <c r="PJ13" s="77">
        <v>124.480208</v>
      </c>
      <c r="PK13" s="77">
        <v>125.323345</v>
      </c>
      <c r="PL13" s="77">
        <v>124.480144</v>
      </c>
      <c r="PM13" s="77">
        <v>125.323306</v>
      </c>
      <c r="PN13" s="77">
        <v>137.332224</v>
      </c>
      <c r="PO13" s="77">
        <v>138.27592000000001</v>
      </c>
      <c r="PP13" s="77">
        <v>141.23523499999999</v>
      </c>
      <c r="PQ13" s="77">
        <v>142.17895799999999</v>
      </c>
      <c r="PR13" s="77">
        <v>141.23515900000001</v>
      </c>
      <c r="PS13" s="77">
        <v>142.17888300000001</v>
      </c>
      <c r="PT13" s="77">
        <v>141.23511500000001</v>
      </c>
      <c r="PU13" s="77">
        <v>135.22169400000001</v>
      </c>
      <c r="PV13" s="77">
        <v>134.268225</v>
      </c>
      <c r="PW13" s="77">
        <v>135.22151400000001</v>
      </c>
      <c r="PX13" s="77">
        <v>134.268113</v>
      </c>
      <c r="PY13" s="77">
        <v>135.22144299999999</v>
      </c>
      <c r="PZ13" s="77">
        <v>134.26804200000001</v>
      </c>
      <c r="QA13" s="77">
        <v>135.22140200000001</v>
      </c>
      <c r="QB13" s="77">
        <v>135.74201299999999</v>
      </c>
      <c r="QC13" s="77">
        <v>136.650846</v>
      </c>
      <c r="QD13" s="77">
        <v>135.741839</v>
      </c>
      <c r="QE13" s="77">
        <v>136.65073599999999</v>
      </c>
      <c r="QF13" s="77">
        <v>135.74176299999999</v>
      </c>
      <c r="QG13" s="77">
        <v>136.65066400000001</v>
      </c>
      <c r="QH13" s="77">
        <v>135.741724</v>
      </c>
      <c r="QI13" s="77">
        <v>137.15374600000001</v>
      </c>
      <c r="QJ13" s="77">
        <v>136.086432</v>
      </c>
      <c r="QK13" s="77">
        <v>137.15355600000001</v>
      </c>
      <c r="QL13" s="77">
        <v>136.086321</v>
      </c>
      <c r="QM13" s="77">
        <v>137.153482</v>
      </c>
      <c r="QN13" s="77">
        <v>136.08624599999999</v>
      </c>
      <c r="QO13" s="77">
        <v>137.153436</v>
      </c>
      <c r="QP13" s="77">
        <v>129.76830000000001</v>
      </c>
      <c r="QQ13" s="77">
        <v>130.598705</v>
      </c>
      <c r="QR13" s="77">
        <v>129.768145</v>
      </c>
      <c r="QS13" s="77">
        <v>130.59859399999999</v>
      </c>
    </row>
    <row r="14" spans="1:461" x14ac:dyDescent="0.25">
      <c r="F14" s="76" t="str">
        <f xml:space="preserve"> _xll.EPMOlapMemberO("[PRDDESCR].[].[HELGAS GFREE TRAD WHITE 470G]","","HELGAS GFREE TRAD WHITE 470G","","000")</f>
        <v>HELGAS GFREE TRAD WHITE 470G</v>
      </c>
      <c r="G14" s="76" t="str">
        <f xml:space="preserve"> _xll.EPMOlapMemberO("[PRDID].[].[168846]","","168846","","000")</f>
        <v>168846</v>
      </c>
      <c r="H14" s="76" t="str">
        <f xml:space="preserve"> _xll.EPMOlapMemberO("[LOCID].[].[6103]","","6103","","000")</f>
        <v>6103</v>
      </c>
      <c r="I14" s="76" t="str">
        <f xml:space="preserve"> _xll.EPMOlapMemberO("[LOCDESCR].[].[QBA-Canberra]","","QBA-Canberra","","000")</f>
        <v>QBA-Canberra</v>
      </c>
      <c r="J14" s="76" t="str">
        <f xml:space="preserve"> _xll.EPMOlapMemberO("[KEY_FIGURES].[].[ZGFAPPROVEDFCSTQTY]","","Approved Forecast","","000")</f>
        <v>Approved Forecast</v>
      </c>
      <c r="K14" s="77">
        <v>96.746606</v>
      </c>
      <c r="L14" s="77">
        <v>106.903947</v>
      </c>
      <c r="M14" s="77">
        <v>109.66860200000001</v>
      </c>
      <c r="N14" s="77">
        <v>112.150378</v>
      </c>
      <c r="O14" s="77">
        <v>149.78154499999999</v>
      </c>
      <c r="P14" s="77">
        <v>90.775347999999994</v>
      </c>
      <c r="Q14" s="77">
        <v>180.609453</v>
      </c>
      <c r="R14" s="77">
        <v>101.09992699999999</v>
      </c>
      <c r="S14" s="77">
        <v>111.35189200000001</v>
      </c>
      <c r="T14" s="77">
        <v>114.591562</v>
      </c>
      <c r="U14" s="77">
        <v>117.233152</v>
      </c>
      <c r="V14" s="77">
        <v>156.85631100000001</v>
      </c>
      <c r="W14" s="77">
        <v>99.270773000000005</v>
      </c>
      <c r="X14" s="77">
        <v>194.620836</v>
      </c>
      <c r="Y14" s="77">
        <v>102.494456</v>
      </c>
      <c r="Z14" s="77">
        <v>115.677021</v>
      </c>
      <c r="AA14" s="77">
        <v>109.843639</v>
      </c>
      <c r="AB14" s="77">
        <v>122.34946100000001</v>
      </c>
      <c r="AC14" s="77">
        <v>154.04680200000001</v>
      </c>
      <c r="AD14" s="77">
        <v>94.516902000000002</v>
      </c>
      <c r="AE14" s="77"/>
      <c r="AF14" s="77"/>
      <c r="AG14" s="77"/>
      <c r="AH14" s="77"/>
      <c r="AI14" s="77"/>
      <c r="AJ14" s="77"/>
      <c r="AK14" s="77"/>
      <c r="AL14" s="77">
        <v>184.740961</v>
      </c>
      <c r="AM14" s="77">
        <v>93.160730999999998</v>
      </c>
      <c r="AN14" s="77">
        <v>108.936189</v>
      </c>
      <c r="AO14" s="77">
        <v>103.144526</v>
      </c>
      <c r="AP14" s="77">
        <v>115.840788</v>
      </c>
      <c r="AQ14" s="77">
        <v>143.20094399999999</v>
      </c>
      <c r="AR14" s="77">
        <v>86.994502999999995</v>
      </c>
      <c r="AS14" s="77">
        <v>177.464046</v>
      </c>
      <c r="AT14" s="77">
        <v>87.944619000000003</v>
      </c>
      <c r="AU14" s="77">
        <v>105.178107</v>
      </c>
      <c r="AV14" s="77">
        <v>98.279444999999996</v>
      </c>
      <c r="AW14" s="77">
        <v>111.70944799999999</v>
      </c>
      <c r="AX14" s="77">
        <v>137.29863800000001</v>
      </c>
      <c r="AY14" s="77">
        <v>83.085471999999996</v>
      </c>
      <c r="AZ14" s="77">
        <v>177.28447199999999</v>
      </c>
      <c r="BA14" s="77">
        <v>88.666728000000006</v>
      </c>
      <c r="BB14" s="77">
        <v>104.671244</v>
      </c>
      <c r="BC14" s="77">
        <v>98.217169999999996</v>
      </c>
      <c r="BD14" s="77">
        <v>111.33355</v>
      </c>
      <c r="BE14" s="77">
        <v>136.606537</v>
      </c>
      <c r="BF14" s="77">
        <v>82.746450999999993</v>
      </c>
      <c r="BG14" s="77">
        <v>190.51089200000001</v>
      </c>
      <c r="BH14" s="77">
        <v>96.816374999999994</v>
      </c>
      <c r="BI14" s="77">
        <v>110.370836</v>
      </c>
      <c r="BJ14" s="77">
        <v>105.765337</v>
      </c>
      <c r="BK14" s="77">
        <v>117.38745400000001</v>
      </c>
      <c r="BL14" s="77">
        <v>147.69383099999999</v>
      </c>
      <c r="BM14" s="77">
        <v>89.822171999999995</v>
      </c>
      <c r="BN14" s="77">
        <v>190.09356299999999</v>
      </c>
      <c r="BO14" s="77">
        <v>94.018208999999999</v>
      </c>
      <c r="BP14" s="77">
        <v>112.58893999999999</v>
      </c>
      <c r="BQ14" s="77">
        <v>106.152635</v>
      </c>
      <c r="BR14" s="77">
        <v>119.213398</v>
      </c>
      <c r="BS14" s="77">
        <v>148.46296799999999</v>
      </c>
      <c r="BT14" s="77">
        <v>91.940938000000003</v>
      </c>
      <c r="BU14" s="77">
        <v>181.59285299999999</v>
      </c>
      <c r="BV14" s="77">
        <v>91.607392000000004</v>
      </c>
      <c r="BW14" s="77">
        <v>109.71282100000001</v>
      </c>
      <c r="BX14" s="77">
        <v>105.05382400000001</v>
      </c>
      <c r="BY14" s="77">
        <v>116.393033</v>
      </c>
      <c r="BZ14" s="77">
        <v>145.57933299999999</v>
      </c>
      <c r="CA14" s="77">
        <v>89.060889000000003</v>
      </c>
      <c r="CB14" s="77">
        <v>195.83627000000001</v>
      </c>
      <c r="CC14" s="77">
        <v>99.211984000000001</v>
      </c>
      <c r="CD14" s="77">
        <v>115.487584</v>
      </c>
      <c r="CE14" s="77">
        <v>109.91171900000001</v>
      </c>
      <c r="CF14" s="77">
        <v>123.03035800000001</v>
      </c>
      <c r="CG14" s="77">
        <v>153.32928100000001</v>
      </c>
      <c r="CH14" s="77">
        <v>93.209419999999994</v>
      </c>
      <c r="CI14" s="77">
        <v>191.82607300000001</v>
      </c>
      <c r="CJ14" s="77">
        <v>98.250386000000006</v>
      </c>
      <c r="CK14" s="77">
        <v>113.036905</v>
      </c>
      <c r="CL14" s="77">
        <v>109.502849</v>
      </c>
      <c r="CM14" s="77">
        <v>120.261652</v>
      </c>
      <c r="CN14" s="77">
        <v>152.327654</v>
      </c>
      <c r="CO14" s="77">
        <v>93.012632999999994</v>
      </c>
      <c r="CP14" s="77">
        <v>187.58797300000001</v>
      </c>
      <c r="CQ14" s="77">
        <v>96.179665999999997</v>
      </c>
      <c r="CR14" s="77">
        <v>110.32804</v>
      </c>
      <c r="CS14" s="77">
        <v>106.42375800000001</v>
      </c>
      <c r="CT14" s="77">
        <v>117.62173799999999</v>
      </c>
      <c r="CU14" s="77">
        <v>148.04804899999999</v>
      </c>
      <c r="CV14" s="77">
        <v>90.31456</v>
      </c>
      <c r="CW14" s="77">
        <v>181.06849700000001</v>
      </c>
      <c r="CX14" s="77">
        <v>92.085150999999996</v>
      </c>
      <c r="CY14" s="77">
        <v>107.368404</v>
      </c>
      <c r="CZ14" s="77">
        <v>103.874545</v>
      </c>
      <c r="DA14" s="77">
        <v>114.20812599999999</v>
      </c>
      <c r="DB14" s="77">
        <v>146.65235100000001</v>
      </c>
      <c r="DC14" s="77">
        <v>90.242406000000003</v>
      </c>
      <c r="DD14" s="77">
        <v>183.86931899999999</v>
      </c>
      <c r="DE14" s="77">
        <v>93.735076000000007</v>
      </c>
      <c r="DF14" s="77">
        <v>110.426058</v>
      </c>
      <c r="DG14" s="77">
        <v>105.675882</v>
      </c>
      <c r="DH14" s="77">
        <v>117.406093</v>
      </c>
      <c r="DI14" s="77">
        <v>146.070324</v>
      </c>
      <c r="DJ14" s="77">
        <v>88.900829999999999</v>
      </c>
      <c r="DK14" s="77">
        <v>188.104713</v>
      </c>
      <c r="DL14" s="77">
        <v>94.011780999999999</v>
      </c>
      <c r="DM14" s="77">
        <v>109.09433799999999</v>
      </c>
      <c r="DN14" s="77">
        <v>102.75053699999999</v>
      </c>
      <c r="DO14" s="77">
        <v>115.976647</v>
      </c>
      <c r="DP14" s="77">
        <v>143.78521799999999</v>
      </c>
      <c r="DQ14" s="77">
        <v>87.165109999999999</v>
      </c>
      <c r="DR14" s="77">
        <v>189.421708</v>
      </c>
      <c r="DS14" s="77">
        <v>95.071918999999994</v>
      </c>
      <c r="DT14" s="77">
        <v>112.11261</v>
      </c>
      <c r="DU14" s="77">
        <v>106.57678</v>
      </c>
      <c r="DV14" s="77">
        <v>119.103809</v>
      </c>
      <c r="DW14" s="77">
        <v>149.068389</v>
      </c>
      <c r="DX14" s="77">
        <v>91.609013000000004</v>
      </c>
      <c r="DY14" s="77">
        <v>193.986087</v>
      </c>
      <c r="DZ14" s="77">
        <v>99.007469999999998</v>
      </c>
      <c r="EA14" s="77">
        <v>111.56157</v>
      </c>
      <c r="EB14" s="77">
        <v>106.632852</v>
      </c>
      <c r="EC14" s="77">
        <v>118.74280899999999</v>
      </c>
      <c r="ED14" s="77">
        <v>146.60401100000001</v>
      </c>
      <c r="EE14" s="77">
        <v>88.201707999999996</v>
      </c>
      <c r="EF14" s="77">
        <v>193.279248</v>
      </c>
      <c r="EG14" s="77">
        <v>95.606081000000003</v>
      </c>
      <c r="EH14" s="77">
        <v>116.94680099999999</v>
      </c>
      <c r="EI14" s="77">
        <v>109.820593</v>
      </c>
      <c r="EJ14" s="77">
        <v>124.011888</v>
      </c>
      <c r="EK14" s="77">
        <v>153.38701699999999</v>
      </c>
      <c r="EL14" s="77">
        <v>94.278959</v>
      </c>
      <c r="EM14" s="77">
        <v>184.47709</v>
      </c>
      <c r="EN14" s="77">
        <v>93.083483999999999</v>
      </c>
      <c r="EO14" s="77">
        <v>108.700318</v>
      </c>
      <c r="EP14" s="77">
        <v>103.43952899999999</v>
      </c>
      <c r="EQ14" s="77">
        <v>115.514465</v>
      </c>
      <c r="ER14" s="77">
        <v>142.99079699999999</v>
      </c>
      <c r="ES14" s="77">
        <v>86.713251999999997</v>
      </c>
      <c r="ET14" s="77">
        <v>196.931523</v>
      </c>
      <c r="EU14" s="77">
        <v>98.605627999999996</v>
      </c>
      <c r="EV14" s="77">
        <v>116.30976800000001</v>
      </c>
      <c r="EW14" s="77">
        <v>110.145162</v>
      </c>
      <c r="EX14" s="77">
        <v>123.37308400000001</v>
      </c>
      <c r="EY14" s="77">
        <v>152.62474</v>
      </c>
      <c r="EZ14" s="77">
        <v>93.607245000000006</v>
      </c>
      <c r="FA14" s="77">
        <v>197.345394</v>
      </c>
      <c r="FB14" s="77">
        <v>97.443042000000005</v>
      </c>
      <c r="FC14" s="77">
        <v>114.226207</v>
      </c>
      <c r="FD14" s="77">
        <v>106.98317400000001</v>
      </c>
      <c r="FE14" s="77">
        <v>121.196607</v>
      </c>
      <c r="FF14" s="77">
        <v>150.25605300000001</v>
      </c>
      <c r="FG14" s="77">
        <v>91.762449000000004</v>
      </c>
      <c r="FH14" s="77">
        <v>195.49898400000001</v>
      </c>
      <c r="FI14" s="77">
        <v>96.853234</v>
      </c>
      <c r="FJ14" s="77">
        <v>118.907825</v>
      </c>
      <c r="FK14" s="77">
        <v>111.573623</v>
      </c>
      <c r="FL14" s="77">
        <v>125.785758</v>
      </c>
      <c r="FM14" s="77">
        <v>154.56368900000001</v>
      </c>
      <c r="FN14" s="77">
        <v>94.871441000000004</v>
      </c>
      <c r="FO14" s="77">
        <v>190.145107</v>
      </c>
      <c r="FP14" s="77">
        <v>94.847109000000003</v>
      </c>
      <c r="FQ14" s="77">
        <v>114.533316</v>
      </c>
      <c r="FR14" s="77">
        <v>108.776984</v>
      </c>
      <c r="FS14" s="77">
        <v>121.605625</v>
      </c>
      <c r="FT14" s="77">
        <v>152.15826300000001</v>
      </c>
      <c r="FU14" s="77">
        <v>92.806753999999998</v>
      </c>
      <c r="FV14" s="77">
        <v>187.59237100000001</v>
      </c>
      <c r="FW14" s="77">
        <v>94.26249</v>
      </c>
      <c r="FX14" s="77">
        <v>109.430319</v>
      </c>
      <c r="FY14" s="77">
        <v>103.245009</v>
      </c>
      <c r="FZ14" s="77">
        <v>116.34895400000001</v>
      </c>
      <c r="GA14" s="77">
        <v>145.594853</v>
      </c>
      <c r="GB14" s="77">
        <v>89.116483000000002</v>
      </c>
      <c r="GC14" s="77">
        <v>181.144856</v>
      </c>
      <c r="GD14" s="77">
        <v>90.774124</v>
      </c>
      <c r="GE14" s="77">
        <v>110.03647100000001</v>
      </c>
      <c r="GF14" s="77">
        <v>104.55925000000001</v>
      </c>
      <c r="GG14" s="77">
        <v>116.882062</v>
      </c>
      <c r="GH14" s="77">
        <v>145.51412199999999</v>
      </c>
      <c r="GI14" s="77">
        <v>88.700621999999996</v>
      </c>
      <c r="GJ14" s="77">
        <v>184.55692500000001</v>
      </c>
      <c r="GK14" s="77">
        <v>92.161882000000006</v>
      </c>
      <c r="GL14" s="77">
        <v>106.126386</v>
      </c>
      <c r="GM14" s="77">
        <v>100.25553600000001</v>
      </c>
      <c r="GN14" s="77">
        <v>112.61441000000001</v>
      </c>
      <c r="GO14" s="77">
        <v>139.96016499999999</v>
      </c>
      <c r="GP14" s="77">
        <v>85.921149999999997</v>
      </c>
      <c r="GQ14" s="77">
        <v>184.12156300000001</v>
      </c>
      <c r="GR14" s="77">
        <v>91.940194000000005</v>
      </c>
      <c r="GS14" s="77">
        <v>109.62338800000001</v>
      </c>
      <c r="GT14" s="77">
        <v>104.121217</v>
      </c>
      <c r="GU14" s="77">
        <v>115.94633899999999</v>
      </c>
      <c r="GV14" s="77">
        <v>146.43945099999999</v>
      </c>
      <c r="GW14" s="77">
        <v>90.110712000000007</v>
      </c>
      <c r="GX14" s="77">
        <v>196.578698</v>
      </c>
      <c r="GY14" s="77">
        <v>97.533269000000004</v>
      </c>
      <c r="GZ14" s="77">
        <v>115.818628</v>
      </c>
      <c r="HA14" s="77">
        <v>109.616529</v>
      </c>
      <c r="HB14" s="77">
        <v>122.85386</v>
      </c>
      <c r="HC14" s="77">
        <v>153.35959500000001</v>
      </c>
      <c r="HD14" s="77">
        <v>94.984803999999997</v>
      </c>
      <c r="HE14" s="77">
        <v>182.57171299999999</v>
      </c>
      <c r="HF14" s="77">
        <v>91.291512999999995</v>
      </c>
      <c r="HG14" s="77">
        <v>109.36230399999999</v>
      </c>
      <c r="HH14" s="77">
        <v>104.58604</v>
      </c>
      <c r="HI14" s="77">
        <v>115.735631</v>
      </c>
      <c r="HJ14" s="77">
        <v>147.050363</v>
      </c>
      <c r="HK14" s="77">
        <v>91.009327999999996</v>
      </c>
      <c r="HL14" s="77">
        <v>180.50227899999999</v>
      </c>
      <c r="HM14" s="77">
        <v>89.756784999999994</v>
      </c>
      <c r="HN14" s="77">
        <v>108.196088</v>
      </c>
      <c r="HO14" s="77">
        <v>102.741455</v>
      </c>
      <c r="HP14" s="77">
        <v>114.761163</v>
      </c>
      <c r="HQ14" s="77">
        <v>142.21308300000001</v>
      </c>
      <c r="HR14" s="77">
        <v>87.103474000000006</v>
      </c>
      <c r="HS14" s="77">
        <v>190.788858</v>
      </c>
      <c r="HT14" s="77">
        <v>95.279014000000004</v>
      </c>
      <c r="HU14" s="77">
        <v>109.500624</v>
      </c>
      <c r="HV14" s="77">
        <v>101.864788</v>
      </c>
      <c r="HW14" s="77">
        <v>116.18835199999999</v>
      </c>
      <c r="HX14" s="77">
        <v>141.181468</v>
      </c>
      <c r="HY14" s="77">
        <v>85.144109999999998</v>
      </c>
      <c r="HZ14" s="77">
        <v>196.75207599999999</v>
      </c>
      <c r="IA14" s="77">
        <v>97.591216000000003</v>
      </c>
      <c r="IB14" s="77">
        <v>117.155637</v>
      </c>
      <c r="IC14" s="77">
        <v>109.722004</v>
      </c>
      <c r="ID14" s="77">
        <v>124.266825</v>
      </c>
      <c r="IE14" s="77">
        <v>153.22658699999999</v>
      </c>
      <c r="IF14" s="77">
        <v>93.876959999999997</v>
      </c>
      <c r="IG14" s="77">
        <v>204.21998500000001</v>
      </c>
      <c r="IH14" s="77">
        <v>101.29279200000001</v>
      </c>
      <c r="II14" s="77">
        <v>122.498538</v>
      </c>
      <c r="IJ14" s="77">
        <v>116.751058</v>
      </c>
      <c r="IK14" s="77">
        <v>129.70774900000001</v>
      </c>
      <c r="IL14" s="77">
        <v>162.71335199999999</v>
      </c>
      <c r="IM14" s="77">
        <v>100.84534600000001</v>
      </c>
      <c r="IN14" s="77">
        <v>200.054215</v>
      </c>
      <c r="IO14" s="77">
        <v>100.668544</v>
      </c>
      <c r="IP14" s="77">
        <v>119.100472</v>
      </c>
      <c r="IQ14" s="77">
        <v>113.713264</v>
      </c>
      <c r="IR14" s="77">
        <v>126.481686</v>
      </c>
      <c r="IS14" s="77">
        <v>157.51739799999999</v>
      </c>
      <c r="IT14" s="77">
        <v>96.663567999999998</v>
      </c>
      <c r="IU14" s="77">
        <v>206.04720699999999</v>
      </c>
      <c r="IV14" s="77">
        <v>101.824566</v>
      </c>
      <c r="IW14" s="77">
        <v>120.443297</v>
      </c>
      <c r="IX14" s="77">
        <v>113.418566</v>
      </c>
      <c r="IY14" s="77">
        <v>127.479827</v>
      </c>
      <c r="IZ14" s="77">
        <v>159.89484300000001</v>
      </c>
      <c r="JA14" s="77">
        <v>98.647248000000005</v>
      </c>
      <c r="JB14" s="77">
        <v>199.663895</v>
      </c>
      <c r="JC14" s="77">
        <v>99.487465999999998</v>
      </c>
      <c r="JD14" s="77">
        <v>119.38609</v>
      </c>
      <c r="JE14" s="77">
        <v>111.94835500000001</v>
      </c>
      <c r="JF14" s="77">
        <v>126.84025699999999</v>
      </c>
      <c r="JG14" s="77">
        <v>156.34752900000001</v>
      </c>
      <c r="JH14" s="77">
        <v>95.102221999999998</v>
      </c>
      <c r="JI14" s="77">
        <v>199.399058</v>
      </c>
      <c r="JJ14" s="77">
        <v>99.188603999999998</v>
      </c>
      <c r="JK14" s="77">
        <v>118.763025</v>
      </c>
      <c r="JL14" s="77">
        <v>111.838908</v>
      </c>
      <c r="JM14" s="77">
        <v>126.147515</v>
      </c>
      <c r="JN14" s="77">
        <v>156.52649700000001</v>
      </c>
      <c r="JO14" s="77">
        <v>95.239008999999996</v>
      </c>
      <c r="JP14" s="77">
        <v>206.95620700000001</v>
      </c>
      <c r="JQ14" s="77">
        <v>101.945438</v>
      </c>
      <c r="JR14" s="77">
        <v>126.194824</v>
      </c>
      <c r="JS14" s="77">
        <v>117.64011600000001</v>
      </c>
      <c r="JT14" s="77">
        <v>134.16461200000001</v>
      </c>
      <c r="JU14" s="77">
        <v>162.315595</v>
      </c>
      <c r="JV14" s="77">
        <v>97.518501000000001</v>
      </c>
      <c r="JW14" s="77">
        <v>143.83230399999999</v>
      </c>
      <c r="JX14" s="77">
        <v>130.839426</v>
      </c>
      <c r="JY14" s="77">
        <v>96.527963999999997</v>
      </c>
      <c r="JZ14" s="77">
        <v>100.64252999999999</v>
      </c>
      <c r="KA14" s="77">
        <v>96.363877000000002</v>
      </c>
      <c r="KB14" s="77">
        <v>145.54619299999999</v>
      </c>
      <c r="KC14" s="77">
        <v>153.803898</v>
      </c>
      <c r="KD14" s="77">
        <v>121.33765699999999</v>
      </c>
      <c r="KE14" s="77">
        <v>122.229806</v>
      </c>
      <c r="KF14" s="77">
        <v>123.986492</v>
      </c>
      <c r="KG14" s="77">
        <v>123.60672599999999</v>
      </c>
      <c r="KH14" s="77">
        <v>119.79166499999999</v>
      </c>
      <c r="KI14" s="77">
        <v>127.04519999999999</v>
      </c>
      <c r="KJ14" s="77">
        <v>135.615128</v>
      </c>
      <c r="KK14" s="77">
        <v>124.49550000000001</v>
      </c>
      <c r="KL14" s="77">
        <v>125.995586</v>
      </c>
      <c r="KM14" s="77">
        <v>126.74894</v>
      </c>
      <c r="KN14" s="77">
        <v>126.968312</v>
      </c>
      <c r="KO14" s="77">
        <v>122.52590499999999</v>
      </c>
      <c r="KP14" s="77">
        <v>130.42990800000001</v>
      </c>
      <c r="KQ14" s="77">
        <v>138.45575199999999</v>
      </c>
      <c r="KR14" s="77">
        <v>124.17375199999999</v>
      </c>
      <c r="KS14" s="77">
        <v>125.227234</v>
      </c>
      <c r="KT14" s="77">
        <v>127.114473</v>
      </c>
      <c r="KU14" s="77">
        <v>126.752388</v>
      </c>
      <c r="KV14" s="77">
        <v>122.451554</v>
      </c>
      <c r="KW14" s="77">
        <v>130.57455400000001</v>
      </c>
      <c r="KX14" s="77">
        <v>140.04074399999999</v>
      </c>
      <c r="KY14" s="77">
        <v>120.638417</v>
      </c>
      <c r="KZ14" s="77">
        <v>122.10201000000001</v>
      </c>
      <c r="LA14" s="77">
        <v>123.11638499999999</v>
      </c>
      <c r="LB14" s="77">
        <v>123.295333</v>
      </c>
      <c r="LC14" s="77">
        <v>118.90276</v>
      </c>
      <c r="LD14" s="77">
        <v>126.749208</v>
      </c>
      <c r="LE14" s="77">
        <v>134.79712799999999</v>
      </c>
      <c r="LF14" s="77">
        <v>126.141851</v>
      </c>
      <c r="LG14" s="77">
        <v>127.10284</v>
      </c>
      <c r="LH14" s="77">
        <v>128.32562999999999</v>
      </c>
      <c r="LI14" s="77">
        <v>127.941428</v>
      </c>
      <c r="LJ14" s="77">
        <v>123.929817</v>
      </c>
      <c r="LK14" s="77">
        <v>131.544647</v>
      </c>
      <c r="LL14" s="77">
        <v>140.51144400000001</v>
      </c>
      <c r="LM14" s="77">
        <v>113.337481</v>
      </c>
      <c r="LN14" s="77">
        <v>114.7128</v>
      </c>
      <c r="LO14" s="77">
        <v>115.99582700000001</v>
      </c>
      <c r="LP14" s="77">
        <v>116.183211</v>
      </c>
      <c r="LQ14" s="77">
        <v>112.11458500000001</v>
      </c>
      <c r="LR14" s="77">
        <v>119.364637</v>
      </c>
      <c r="LS14" s="77">
        <v>126.755172</v>
      </c>
      <c r="LT14" s="77">
        <v>114.07580799999999</v>
      </c>
      <c r="LU14" s="77">
        <v>115.00940900000001</v>
      </c>
      <c r="LV14" s="77">
        <v>116.502573</v>
      </c>
      <c r="LW14" s="77">
        <v>116.17806899999999</v>
      </c>
      <c r="LX14" s="77">
        <v>112.376018</v>
      </c>
      <c r="LY14" s="77">
        <v>119.56058</v>
      </c>
      <c r="LZ14" s="77">
        <v>127.94197200000001</v>
      </c>
      <c r="MA14" s="77">
        <v>116.606977</v>
      </c>
      <c r="MB14" s="77">
        <v>118.056844</v>
      </c>
      <c r="MC14" s="77">
        <v>121.182328</v>
      </c>
      <c r="MD14" s="77">
        <v>121.378731</v>
      </c>
      <c r="ME14" s="77">
        <v>116.986896</v>
      </c>
      <c r="MF14" s="77">
        <v>124.817708</v>
      </c>
      <c r="MG14" s="77">
        <v>132.81267399999999</v>
      </c>
      <c r="MH14" s="77">
        <v>121.116111</v>
      </c>
      <c r="MI14" s="77">
        <v>121.809665</v>
      </c>
      <c r="MJ14" s="77">
        <v>120.67001</v>
      </c>
      <c r="MK14" s="77">
        <v>120.283051</v>
      </c>
      <c r="ML14" s="77">
        <v>117.02383500000001</v>
      </c>
      <c r="MM14" s="77">
        <v>123.271772</v>
      </c>
      <c r="MN14" s="77">
        <v>130.77765299999999</v>
      </c>
      <c r="MO14" s="77">
        <v>120.474265</v>
      </c>
      <c r="MP14" s="77">
        <v>121.90933699999999</v>
      </c>
      <c r="MQ14" s="77">
        <v>122.811859</v>
      </c>
      <c r="MR14" s="77">
        <v>123.035051</v>
      </c>
      <c r="MS14" s="77">
        <v>118.83693</v>
      </c>
      <c r="MT14" s="77">
        <v>126.29325900000001</v>
      </c>
      <c r="MU14" s="77">
        <v>133.83087800000001</v>
      </c>
      <c r="MV14" s="77">
        <v>115.72236100000001</v>
      </c>
      <c r="MW14" s="77">
        <v>116.64636299999999</v>
      </c>
      <c r="MX14" s="77">
        <v>118.80197200000001</v>
      </c>
      <c r="MY14" s="77">
        <v>118.455968</v>
      </c>
      <c r="MZ14" s="77">
        <v>114.67837299999999</v>
      </c>
      <c r="NA14" s="77">
        <v>121.836045</v>
      </c>
      <c r="NB14" s="77">
        <v>130.23311899999999</v>
      </c>
      <c r="NC14" s="77">
        <v>118.722334</v>
      </c>
      <c r="ND14" s="77">
        <v>120.151747</v>
      </c>
      <c r="NE14" s="77">
        <v>120.41037799999999</v>
      </c>
      <c r="NF14" s="77">
        <v>120.59387599999999</v>
      </c>
      <c r="NG14" s="77">
        <v>116.36886199999999</v>
      </c>
      <c r="NH14" s="77">
        <v>123.906674</v>
      </c>
      <c r="NI14" s="77">
        <v>131.61399399999999</v>
      </c>
      <c r="NJ14" s="77">
        <v>114.499341</v>
      </c>
      <c r="NK14" s="77">
        <v>115.495041</v>
      </c>
      <c r="NL14" s="77">
        <v>117.067497</v>
      </c>
      <c r="NM14" s="77">
        <v>116.73179399999999</v>
      </c>
      <c r="NN14" s="77">
        <v>112.700495</v>
      </c>
      <c r="NO14" s="77">
        <v>120.31139400000001</v>
      </c>
      <c r="NP14" s="77">
        <v>129.17344700000001</v>
      </c>
      <c r="NQ14" s="77">
        <v>114.839079</v>
      </c>
      <c r="NR14" s="77">
        <v>116.239712</v>
      </c>
      <c r="NS14" s="77">
        <v>115.535926</v>
      </c>
      <c r="NT14" s="77">
        <v>115.705384</v>
      </c>
      <c r="NU14" s="77">
        <v>111.51967999999999</v>
      </c>
      <c r="NV14" s="77">
        <v>118.99747499999999</v>
      </c>
      <c r="NW14" s="77">
        <v>126.66953599999999</v>
      </c>
      <c r="NX14" s="77">
        <v>117.018151</v>
      </c>
      <c r="NY14" s="77">
        <v>117.895884</v>
      </c>
      <c r="NZ14" s="77">
        <v>121.226601</v>
      </c>
      <c r="OA14" s="77">
        <v>120.860968</v>
      </c>
      <c r="OB14" s="77">
        <v>117.172348</v>
      </c>
      <c r="OC14" s="77">
        <v>124.184218</v>
      </c>
      <c r="OD14" s="77">
        <v>132.465563</v>
      </c>
      <c r="OE14" s="77">
        <v>122.250913</v>
      </c>
      <c r="OF14" s="77">
        <v>123.76691700000001</v>
      </c>
      <c r="OG14" s="77">
        <v>124.769147</v>
      </c>
      <c r="OH14" s="77">
        <v>124.97962800000001</v>
      </c>
      <c r="OI14" s="77">
        <v>120.487066</v>
      </c>
      <c r="OJ14" s="77">
        <v>128.489622</v>
      </c>
      <c r="OK14" s="77">
        <v>136.639669</v>
      </c>
      <c r="OL14" s="77">
        <v>117.90905100000001</v>
      </c>
      <c r="OM14" s="77">
        <v>118.852783</v>
      </c>
      <c r="ON14" s="77">
        <v>124.81218800000001</v>
      </c>
      <c r="OO14" s="77">
        <v>124.411333</v>
      </c>
      <c r="OP14" s="77">
        <v>120.55033899999999</v>
      </c>
      <c r="OQ14" s="77">
        <v>127.904753</v>
      </c>
      <c r="OR14" s="77">
        <v>136.62662599999999</v>
      </c>
      <c r="OS14" s="77">
        <v>117.027914</v>
      </c>
      <c r="OT14" s="77">
        <v>118.38300099999999</v>
      </c>
      <c r="OU14" s="77">
        <v>115.072788</v>
      </c>
      <c r="OV14" s="77">
        <v>115.25143</v>
      </c>
      <c r="OW14" s="77">
        <v>111.35523000000001</v>
      </c>
      <c r="OX14" s="77">
        <v>118.298686</v>
      </c>
      <c r="OY14" s="77">
        <v>125.378381</v>
      </c>
      <c r="OZ14" s="77">
        <v>112.79213799999999</v>
      </c>
      <c r="PA14" s="77">
        <v>113.677476</v>
      </c>
      <c r="PB14" s="77">
        <v>115.13864599999999</v>
      </c>
      <c r="PC14" s="77">
        <v>114.807484</v>
      </c>
      <c r="PD14" s="77">
        <v>111.14854800000001</v>
      </c>
      <c r="PE14" s="77">
        <v>118.078136</v>
      </c>
      <c r="PF14" s="77">
        <v>126.199738</v>
      </c>
      <c r="PG14" s="77">
        <v>122.747118</v>
      </c>
      <c r="PH14" s="77">
        <v>124.255782</v>
      </c>
      <c r="PI14" s="77">
        <v>122.60762699999999</v>
      </c>
      <c r="PJ14" s="77">
        <v>122.80456599999999</v>
      </c>
      <c r="PK14" s="77">
        <v>118.350846</v>
      </c>
      <c r="PL14" s="77">
        <v>126.293817</v>
      </c>
      <c r="PM14" s="77">
        <v>134.40802199999999</v>
      </c>
      <c r="PN14" s="77">
        <v>122.223528</v>
      </c>
      <c r="PO14" s="77">
        <v>122.95953299999999</v>
      </c>
      <c r="PP14" s="77">
        <v>127.46687900000001</v>
      </c>
      <c r="PQ14" s="77">
        <v>127.04795799999999</v>
      </c>
      <c r="PR14" s="77">
        <v>123.73107899999999</v>
      </c>
      <c r="PS14" s="77">
        <v>130.11016000000001</v>
      </c>
      <c r="PT14" s="77">
        <v>137.822992</v>
      </c>
      <c r="PU14" s="77">
        <v>119.091308</v>
      </c>
      <c r="PV14" s="77">
        <v>120.550197</v>
      </c>
      <c r="PW14" s="77">
        <v>121.474064</v>
      </c>
      <c r="PX14" s="77">
        <v>121.69766</v>
      </c>
      <c r="PY14" s="77">
        <v>117.422348</v>
      </c>
      <c r="PZ14" s="77">
        <v>125.01881299999999</v>
      </c>
      <c r="QA14" s="77">
        <v>132.70594500000001</v>
      </c>
      <c r="QB14" s="77">
        <v>125.50719100000001</v>
      </c>
      <c r="QC14" s="77">
        <v>126.531834</v>
      </c>
      <c r="QD14" s="77">
        <v>128.19560200000001</v>
      </c>
      <c r="QE14" s="77">
        <v>127.826489</v>
      </c>
      <c r="QF14" s="77">
        <v>123.624155</v>
      </c>
      <c r="QG14" s="77">
        <v>131.57369199999999</v>
      </c>
      <c r="QH14" s="77">
        <v>140.86833899999999</v>
      </c>
      <c r="QI14" s="77">
        <v>123.619591</v>
      </c>
      <c r="QJ14" s="77">
        <v>125.18750900000001</v>
      </c>
      <c r="QK14" s="77">
        <v>126.241777</v>
      </c>
      <c r="QL14" s="77">
        <v>126.45027899999999</v>
      </c>
      <c r="QM14" s="77">
        <v>121.782933</v>
      </c>
      <c r="QN14" s="77">
        <v>130.10515599999999</v>
      </c>
      <c r="QO14" s="77">
        <v>138.60231200000001</v>
      </c>
      <c r="QP14" s="77">
        <v>120.731127</v>
      </c>
      <c r="QQ14" s="77">
        <v>121.747426</v>
      </c>
      <c r="QR14" s="77">
        <v>123.401796</v>
      </c>
      <c r="QS14" s="77">
        <v>123.03354400000001</v>
      </c>
    </row>
    <row r="15" spans="1:461" x14ac:dyDescent="0.25">
      <c r="F15" s="76" t="str">
        <f xml:space="preserve"> _xll.EPMOlapMemberO("[PRDDESCR].[].[HELGAS GFREE TRAD WHITE 470G]","","HELGAS GFREE TRAD WHITE 470G","","000")</f>
        <v>HELGAS GFREE TRAD WHITE 470G</v>
      </c>
      <c r="G15" s="76" t="str">
        <f xml:space="preserve"> _xll.EPMOlapMemberO("[PRDID].[].[168846]","","168846","","000")</f>
        <v>168846</v>
      </c>
      <c r="H15" s="76" t="str">
        <f xml:space="preserve"> _xll.EPMOlapMemberO("[LOCID].[].[6104]","","6104","","000")</f>
        <v>6104</v>
      </c>
      <c r="I15" s="76" t="str">
        <f xml:space="preserve"> _xll.EPMOlapMemberO("[LOCDESCR].[].[QBA-Moorebank]","","QBA-Moorebank","","000")</f>
        <v>QBA-Moorebank</v>
      </c>
      <c r="J15" s="76" t="str">
        <f xml:space="preserve"> _xll.EPMOlapMemberO("[KEY_FIGURES].[].[ZGFAPPROVEDFCSTQTY]","","Approved Forecast","","000")</f>
        <v>Approved Forecast</v>
      </c>
      <c r="K15" s="77">
        <v>406.13435099999998</v>
      </c>
      <c r="L15" s="77">
        <v>534.95910900000001</v>
      </c>
      <c r="M15" s="77">
        <v>399.99288799999999</v>
      </c>
      <c r="N15" s="77">
        <v>552.69820900000002</v>
      </c>
      <c r="O15" s="77">
        <v>348.072022</v>
      </c>
      <c r="P15" s="77">
        <v>304.820829</v>
      </c>
      <c r="Q15" s="77">
        <v>769.05519300000003</v>
      </c>
      <c r="R15" s="77">
        <v>410.98368599999998</v>
      </c>
      <c r="S15" s="77">
        <v>544.88540399999999</v>
      </c>
      <c r="T15" s="77">
        <v>406.59555799999998</v>
      </c>
      <c r="U15" s="77">
        <v>563.41992000000005</v>
      </c>
      <c r="V15" s="77">
        <v>355.01746400000002</v>
      </c>
      <c r="W15" s="77">
        <v>313.770692</v>
      </c>
      <c r="X15" s="77">
        <v>818.59571300000005</v>
      </c>
      <c r="Y15" s="77">
        <v>420.46308099999999</v>
      </c>
      <c r="Z15" s="77">
        <v>573.44877899999994</v>
      </c>
      <c r="AA15" s="77">
        <v>426.11128200000002</v>
      </c>
      <c r="AB15" s="77">
        <v>621.833707</v>
      </c>
      <c r="AC15" s="77">
        <v>371.38194800000002</v>
      </c>
      <c r="AD15" s="77">
        <v>323.06239799999997</v>
      </c>
      <c r="AE15" s="77"/>
      <c r="AF15" s="77"/>
      <c r="AG15" s="77"/>
      <c r="AH15" s="77"/>
      <c r="AI15" s="77"/>
      <c r="AJ15" s="77"/>
      <c r="AK15" s="77"/>
      <c r="AL15" s="77">
        <v>771.15321400000005</v>
      </c>
      <c r="AM15" s="77">
        <v>396.47502900000001</v>
      </c>
      <c r="AN15" s="77">
        <v>548.08729000000005</v>
      </c>
      <c r="AO15" s="77">
        <v>391.60133100000002</v>
      </c>
      <c r="AP15" s="77">
        <v>593.35070099999996</v>
      </c>
      <c r="AQ15" s="77">
        <v>344.23671000000002</v>
      </c>
      <c r="AR15" s="77">
        <v>298.19953299999997</v>
      </c>
      <c r="AS15" s="77">
        <v>757.352847</v>
      </c>
      <c r="AT15" s="77">
        <v>389.79593399999999</v>
      </c>
      <c r="AU15" s="77">
        <v>539.22608600000001</v>
      </c>
      <c r="AV15" s="77">
        <v>384.497817</v>
      </c>
      <c r="AW15" s="77">
        <v>582.98640499999999</v>
      </c>
      <c r="AX15" s="77">
        <v>338.15886899999998</v>
      </c>
      <c r="AY15" s="77">
        <v>293.045704</v>
      </c>
      <c r="AZ15" s="77">
        <v>776.64601900000002</v>
      </c>
      <c r="BA15" s="77">
        <v>394.35519699999998</v>
      </c>
      <c r="BB15" s="77">
        <v>541.87487399999998</v>
      </c>
      <c r="BC15" s="77">
        <v>391.71204299999999</v>
      </c>
      <c r="BD15" s="77">
        <v>589.77262399999995</v>
      </c>
      <c r="BE15" s="77">
        <v>342.13428199999998</v>
      </c>
      <c r="BF15" s="77">
        <v>291.733408</v>
      </c>
      <c r="BG15" s="77">
        <v>790.86285299999997</v>
      </c>
      <c r="BH15" s="77">
        <v>411.77399800000001</v>
      </c>
      <c r="BI15" s="77">
        <v>555.10547999999994</v>
      </c>
      <c r="BJ15" s="77">
        <v>390.52599099999998</v>
      </c>
      <c r="BK15" s="77">
        <v>598.43780700000002</v>
      </c>
      <c r="BL15" s="77">
        <v>347.06609300000002</v>
      </c>
      <c r="BM15" s="77">
        <v>301.80882600000001</v>
      </c>
      <c r="BN15" s="77">
        <v>783.22605499999997</v>
      </c>
      <c r="BO15" s="77">
        <v>408.12803500000001</v>
      </c>
      <c r="BP15" s="77">
        <v>567.01529600000003</v>
      </c>
      <c r="BQ15" s="77">
        <v>400.40455100000003</v>
      </c>
      <c r="BR15" s="77">
        <v>610.65486399999998</v>
      </c>
      <c r="BS15" s="77">
        <v>354.31849</v>
      </c>
      <c r="BT15" s="77">
        <v>311.64189399999998</v>
      </c>
      <c r="BU15" s="77">
        <v>778.08223499999997</v>
      </c>
      <c r="BV15" s="77">
        <v>398.80872799999997</v>
      </c>
      <c r="BW15" s="77">
        <v>574.99514399999998</v>
      </c>
      <c r="BX15" s="77">
        <v>411.44696599999997</v>
      </c>
      <c r="BY15" s="77">
        <v>623.25860499999999</v>
      </c>
      <c r="BZ15" s="77">
        <v>361.68264199999999</v>
      </c>
      <c r="CA15" s="77">
        <v>313.32569999999998</v>
      </c>
      <c r="CB15" s="77">
        <v>845.48377900000003</v>
      </c>
      <c r="CC15" s="77">
        <v>432.78202900000002</v>
      </c>
      <c r="CD15" s="77">
        <v>600.720687</v>
      </c>
      <c r="CE15" s="77">
        <v>432.38442500000002</v>
      </c>
      <c r="CF15" s="77">
        <v>653.42123800000002</v>
      </c>
      <c r="CG15" s="77">
        <v>379.297011</v>
      </c>
      <c r="CH15" s="77">
        <v>326.88198299999999</v>
      </c>
      <c r="CI15" s="77">
        <v>772.476809</v>
      </c>
      <c r="CJ15" s="77">
        <v>401.56094200000001</v>
      </c>
      <c r="CK15" s="77">
        <v>555.58813999999995</v>
      </c>
      <c r="CL15" s="77">
        <v>392.35981600000002</v>
      </c>
      <c r="CM15" s="77">
        <v>599.81834800000001</v>
      </c>
      <c r="CN15" s="77">
        <v>348.10661900000002</v>
      </c>
      <c r="CO15" s="77">
        <v>305.71475700000002</v>
      </c>
      <c r="CP15" s="77">
        <v>795.65916800000002</v>
      </c>
      <c r="CQ15" s="77">
        <v>411.05708900000002</v>
      </c>
      <c r="CR15" s="77">
        <v>566.50342999999998</v>
      </c>
      <c r="CS15" s="77">
        <v>403.37190800000002</v>
      </c>
      <c r="CT15" s="77">
        <v>613.93159600000001</v>
      </c>
      <c r="CU15" s="77">
        <v>356.40544999999997</v>
      </c>
      <c r="CV15" s="77">
        <v>311.46286099999998</v>
      </c>
      <c r="CW15" s="77">
        <v>787.09396800000002</v>
      </c>
      <c r="CX15" s="77">
        <v>408.29383300000001</v>
      </c>
      <c r="CY15" s="77">
        <v>565.72366399999999</v>
      </c>
      <c r="CZ15" s="77">
        <v>401.14237300000002</v>
      </c>
      <c r="DA15" s="77">
        <v>611.26761499999998</v>
      </c>
      <c r="DB15" s="77">
        <v>354.77607499999999</v>
      </c>
      <c r="DC15" s="77">
        <v>311.095305</v>
      </c>
      <c r="DD15" s="77">
        <v>766.04552699999999</v>
      </c>
      <c r="DE15" s="77">
        <v>395.15776099999999</v>
      </c>
      <c r="DF15" s="77">
        <v>561.85189300000002</v>
      </c>
      <c r="DG15" s="77">
        <v>401.91046</v>
      </c>
      <c r="DH15" s="77">
        <v>607.43874100000005</v>
      </c>
      <c r="DI15" s="77">
        <v>352.63528300000002</v>
      </c>
      <c r="DJ15" s="77">
        <v>310.23582800000003</v>
      </c>
      <c r="DK15" s="77">
        <v>785.48094200000003</v>
      </c>
      <c r="DL15" s="77">
        <v>405.28863100000001</v>
      </c>
      <c r="DM15" s="77">
        <v>544.11957199999995</v>
      </c>
      <c r="DN15" s="77">
        <v>387.384005</v>
      </c>
      <c r="DO15" s="77">
        <v>588.89285199999995</v>
      </c>
      <c r="DP15" s="77">
        <v>341.61993100000001</v>
      </c>
      <c r="DQ15" s="77">
        <v>295.70642900000001</v>
      </c>
      <c r="DR15" s="77">
        <v>760.82484199999999</v>
      </c>
      <c r="DS15" s="77">
        <v>393.49508200000002</v>
      </c>
      <c r="DT15" s="77">
        <v>546.09697400000005</v>
      </c>
      <c r="DU15" s="77">
        <v>387.157218</v>
      </c>
      <c r="DV15" s="77">
        <v>589.52394400000003</v>
      </c>
      <c r="DW15" s="77">
        <v>341.96288500000003</v>
      </c>
      <c r="DX15" s="77">
        <v>297.62103100000002</v>
      </c>
      <c r="DY15" s="77">
        <v>824.55535299999997</v>
      </c>
      <c r="DZ15" s="77">
        <v>424.24</v>
      </c>
      <c r="EA15" s="77">
        <v>565.13149599999997</v>
      </c>
      <c r="EB15" s="77">
        <v>405.33232099999998</v>
      </c>
      <c r="EC15" s="77">
        <v>613.271345</v>
      </c>
      <c r="ED15" s="77">
        <v>355.90271100000001</v>
      </c>
      <c r="EE15" s="77">
        <v>307.83200099999999</v>
      </c>
      <c r="EF15" s="77">
        <v>760.83024</v>
      </c>
      <c r="EG15" s="77">
        <v>392.64671600000003</v>
      </c>
      <c r="EH15" s="77">
        <v>565.588031</v>
      </c>
      <c r="EI15" s="77">
        <v>401.33794499999999</v>
      </c>
      <c r="EJ15" s="77">
        <v>611.17767300000003</v>
      </c>
      <c r="EK15" s="77">
        <v>354.617572</v>
      </c>
      <c r="EL15" s="77">
        <v>309.023008</v>
      </c>
      <c r="EM15" s="77">
        <v>789.03403700000001</v>
      </c>
      <c r="EN15" s="77">
        <v>405.39137599999998</v>
      </c>
      <c r="EO15" s="77">
        <v>563.09089700000004</v>
      </c>
      <c r="EP15" s="77">
        <v>401.94896899999998</v>
      </c>
      <c r="EQ15" s="77">
        <v>610.07151499999998</v>
      </c>
      <c r="ER15" s="77">
        <v>353.91206499999998</v>
      </c>
      <c r="ES15" s="77">
        <v>305.16094199999998</v>
      </c>
      <c r="ET15" s="77">
        <v>790.91310099999998</v>
      </c>
      <c r="EU15" s="77">
        <v>404.64674200000002</v>
      </c>
      <c r="EV15" s="77">
        <v>560.38199199999997</v>
      </c>
      <c r="EW15" s="77">
        <v>401.59765299999998</v>
      </c>
      <c r="EX15" s="77">
        <v>608.36743000000001</v>
      </c>
      <c r="EY15" s="77">
        <v>352.93121200000002</v>
      </c>
      <c r="EZ15" s="77">
        <v>302.82229000000001</v>
      </c>
      <c r="FA15" s="77">
        <v>832.78887699999996</v>
      </c>
      <c r="FB15" s="77">
        <v>428.713436</v>
      </c>
      <c r="FC15" s="77">
        <v>566.77870800000005</v>
      </c>
      <c r="FD15" s="77">
        <v>405.55008800000002</v>
      </c>
      <c r="FE15" s="77">
        <v>615.25849800000003</v>
      </c>
      <c r="FF15" s="77">
        <v>357.00724600000001</v>
      </c>
      <c r="FG15" s="77">
        <v>307.62922900000001</v>
      </c>
      <c r="FH15" s="77">
        <v>795.136572</v>
      </c>
      <c r="FI15" s="77">
        <v>406.69247000000001</v>
      </c>
      <c r="FJ15" s="77">
        <v>591.25106900000003</v>
      </c>
      <c r="FK15" s="77">
        <v>422.25812000000002</v>
      </c>
      <c r="FL15" s="77">
        <v>642.35531800000001</v>
      </c>
      <c r="FM15" s="77">
        <v>372.77507900000001</v>
      </c>
      <c r="FN15" s="77">
        <v>320.76709399999999</v>
      </c>
      <c r="FO15" s="77">
        <v>774.65418999999997</v>
      </c>
      <c r="FP15" s="77">
        <v>399.42562600000002</v>
      </c>
      <c r="FQ15" s="77">
        <v>555.70420300000001</v>
      </c>
      <c r="FR15" s="77">
        <v>398.59456499999999</v>
      </c>
      <c r="FS15" s="77">
        <v>603.12098600000002</v>
      </c>
      <c r="FT15" s="77">
        <v>350.007091</v>
      </c>
      <c r="FU15" s="77">
        <v>302.73178100000001</v>
      </c>
      <c r="FV15" s="77">
        <v>780.02767400000005</v>
      </c>
      <c r="FW15" s="77">
        <v>397.77458899999999</v>
      </c>
      <c r="FX15" s="77">
        <v>543.61470299999996</v>
      </c>
      <c r="FY15" s="77">
        <v>387.67433399999999</v>
      </c>
      <c r="FZ15" s="77">
        <v>589.44601999999998</v>
      </c>
      <c r="GA15" s="77">
        <v>341.91943600000002</v>
      </c>
      <c r="GB15" s="77">
        <v>294.09497900000002</v>
      </c>
      <c r="GC15" s="77">
        <v>759.147604</v>
      </c>
      <c r="GD15" s="77">
        <v>389.635716</v>
      </c>
      <c r="GE15" s="77">
        <v>558.90871500000003</v>
      </c>
      <c r="GF15" s="77">
        <v>398.44962800000002</v>
      </c>
      <c r="GG15" s="77">
        <v>605.79992500000003</v>
      </c>
      <c r="GH15" s="77">
        <v>351.55050699999998</v>
      </c>
      <c r="GI15" s="77">
        <v>304.89473600000002</v>
      </c>
      <c r="GJ15" s="77">
        <v>812.03015800000003</v>
      </c>
      <c r="GK15" s="77">
        <v>418.98036500000001</v>
      </c>
      <c r="GL15" s="77">
        <v>557.30438100000003</v>
      </c>
      <c r="GM15" s="77">
        <v>398.73871500000001</v>
      </c>
      <c r="GN15" s="77">
        <v>603.31170699999996</v>
      </c>
      <c r="GO15" s="77">
        <v>350.051107</v>
      </c>
      <c r="GP15" s="77">
        <v>303.68334299999998</v>
      </c>
      <c r="GQ15" s="77">
        <v>784.241175</v>
      </c>
      <c r="GR15" s="77">
        <v>404.94730099999998</v>
      </c>
      <c r="GS15" s="77">
        <v>559.46661200000005</v>
      </c>
      <c r="GT15" s="77">
        <v>398.157803</v>
      </c>
      <c r="GU15" s="77">
        <v>605.65210400000001</v>
      </c>
      <c r="GV15" s="77">
        <v>351.49458600000003</v>
      </c>
      <c r="GW15" s="77">
        <v>306.38638300000002</v>
      </c>
      <c r="GX15" s="77">
        <v>792.71409300000005</v>
      </c>
      <c r="GY15" s="77">
        <v>412.73900400000002</v>
      </c>
      <c r="GZ15" s="77">
        <v>563.55245000000002</v>
      </c>
      <c r="HA15" s="77">
        <v>399.35335800000001</v>
      </c>
      <c r="HB15" s="77">
        <v>607.98103900000001</v>
      </c>
      <c r="HC15" s="77">
        <v>352.89454899999998</v>
      </c>
      <c r="HD15" s="77">
        <v>311.23562399999997</v>
      </c>
      <c r="HE15" s="77">
        <v>792.81449199999997</v>
      </c>
      <c r="HF15" s="77">
        <v>409.24515500000001</v>
      </c>
      <c r="HG15" s="77">
        <v>576.23121000000003</v>
      </c>
      <c r="HH15" s="77">
        <v>410.75521199999997</v>
      </c>
      <c r="HI15" s="77">
        <v>623.45644500000003</v>
      </c>
      <c r="HJ15" s="77">
        <v>361.84889299999998</v>
      </c>
      <c r="HK15" s="77">
        <v>315.90672799999999</v>
      </c>
      <c r="HL15" s="77">
        <v>808.669489</v>
      </c>
      <c r="HM15" s="77">
        <v>416.54681099999999</v>
      </c>
      <c r="HN15" s="77">
        <v>577.65468299999998</v>
      </c>
      <c r="HO15" s="77">
        <v>417.58195599999999</v>
      </c>
      <c r="HP15" s="77">
        <v>630.34228299999995</v>
      </c>
      <c r="HQ15" s="77">
        <v>365.83881000000002</v>
      </c>
      <c r="HR15" s="77">
        <v>313.36541999999997</v>
      </c>
      <c r="HS15" s="77">
        <v>807.17838300000005</v>
      </c>
      <c r="HT15" s="77">
        <v>409.23028499999998</v>
      </c>
      <c r="HU15" s="77">
        <v>558.03140800000006</v>
      </c>
      <c r="HV15" s="77">
        <v>400.78193099999999</v>
      </c>
      <c r="HW15" s="77">
        <v>606.37194299999999</v>
      </c>
      <c r="HX15" s="77">
        <v>351.73058300000002</v>
      </c>
      <c r="HY15" s="77">
        <v>301.983631</v>
      </c>
      <c r="HZ15" s="77">
        <v>826.00965099999996</v>
      </c>
      <c r="IA15" s="77">
        <v>422.19459899999998</v>
      </c>
      <c r="IB15" s="77">
        <v>584.13099899999997</v>
      </c>
      <c r="IC15" s="77">
        <v>417.55268000000001</v>
      </c>
      <c r="ID15" s="77">
        <v>635.01064699999995</v>
      </c>
      <c r="IE15" s="77">
        <v>368.40874000000002</v>
      </c>
      <c r="IF15" s="77">
        <v>314.79767700000002</v>
      </c>
      <c r="IG15" s="77">
        <v>863.44133899999997</v>
      </c>
      <c r="IH15" s="77">
        <v>442.79643600000003</v>
      </c>
      <c r="II15" s="77">
        <v>632.33035299999995</v>
      </c>
      <c r="IJ15" s="77">
        <v>450.45780999999999</v>
      </c>
      <c r="IK15" s="77">
        <v>688.38207799999998</v>
      </c>
      <c r="IL15" s="77">
        <v>399.55596400000002</v>
      </c>
      <c r="IM15" s="77">
        <v>342.32300800000002</v>
      </c>
      <c r="IN15" s="77">
        <v>874.096315</v>
      </c>
      <c r="IO15" s="77">
        <v>445.652987</v>
      </c>
      <c r="IP15" s="77">
        <v>621.59068600000001</v>
      </c>
      <c r="IQ15" s="77">
        <v>448.28876500000001</v>
      </c>
      <c r="IR15" s="77">
        <v>679.83324000000005</v>
      </c>
      <c r="IS15" s="77">
        <v>394.65045500000002</v>
      </c>
      <c r="IT15" s="77">
        <v>335.03282400000001</v>
      </c>
      <c r="IU15" s="77">
        <v>850.16564900000003</v>
      </c>
      <c r="IV15" s="77">
        <v>435.3021</v>
      </c>
      <c r="IW15" s="77">
        <v>589.44767999999999</v>
      </c>
      <c r="IX15" s="77">
        <v>421.874302</v>
      </c>
      <c r="IY15" s="77">
        <v>640.41082100000006</v>
      </c>
      <c r="IZ15" s="77">
        <v>371.60887100000002</v>
      </c>
      <c r="JA15" s="77">
        <v>319.11831699999999</v>
      </c>
      <c r="JB15" s="77">
        <v>861.61066200000005</v>
      </c>
      <c r="JC15" s="77">
        <v>440.699477</v>
      </c>
      <c r="JD15" s="77">
        <v>627.35818200000006</v>
      </c>
      <c r="JE15" s="77">
        <v>449.40962999999999</v>
      </c>
      <c r="JF15" s="77">
        <v>683.82412799999997</v>
      </c>
      <c r="JG15" s="77">
        <v>397.01739900000001</v>
      </c>
      <c r="JH15" s="77">
        <v>340.950287</v>
      </c>
      <c r="JI15" s="77">
        <v>871.25505699999997</v>
      </c>
      <c r="JJ15" s="77">
        <v>443.67980399999999</v>
      </c>
      <c r="JK15" s="77">
        <v>623.94821400000001</v>
      </c>
      <c r="JL15" s="77">
        <v>447.04722500000003</v>
      </c>
      <c r="JM15" s="77">
        <v>680.74476700000002</v>
      </c>
      <c r="JN15" s="77">
        <v>394.95291800000001</v>
      </c>
      <c r="JO15" s="77">
        <v>333.53328499999998</v>
      </c>
      <c r="JP15" s="77">
        <v>839.55368399999998</v>
      </c>
      <c r="JQ15" s="77">
        <v>429.12780299999997</v>
      </c>
      <c r="JR15" s="77">
        <v>601.67233799999997</v>
      </c>
      <c r="JS15" s="77">
        <v>438.06174199999998</v>
      </c>
      <c r="JT15" s="77">
        <v>660.08614699999998</v>
      </c>
      <c r="JU15" s="77">
        <v>383.22193600000003</v>
      </c>
      <c r="JV15" s="77">
        <v>323.558673</v>
      </c>
      <c r="JW15" s="77">
        <v>555.31774800000005</v>
      </c>
      <c r="JX15" s="77">
        <v>424.60281500000002</v>
      </c>
      <c r="JY15" s="77">
        <v>484.87593199999998</v>
      </c>
      <c r="JZ15" s="77">
        <v>357.32112000000001</v>
      </c>
      <c r="KA15" s="77">
        <v>492.635403</v>
      </c>
      <c r="KB15" s="77">
        <v>579.82519400000001</v>
      </c>
      <c r="KC15" s="77">
        <v>588.40482499999996</v>
      </c>
      <c r="KD15" s="77">
        <v>503.38948199999999</v>
      </c>
      <c r="KE15" s="77">
        <v>524.56589399999996</v>
      </c>
      <c r="KF15" s="77">
        <v>529.24436300000002</v>
      </c>
      <c r="KG15" s="77">
        <v>512.94368499999996</v>
      </c>
      <c r="KH15" s="77">
        <v>501.892178</v>
      </c>
      <c r="KI15" s="77">
        <v>538.14508799999999</v>
      </c>
      <c r="KJ15" s="77">
        <v>548.00367400000005</v>
      </c>
      <c r="KK15" s="77">
        <v>521.68189400000006</v>
      </c>
      <c r="KL15" s="77">
        <v>543.93790899999999</v>
      </c>
      <c r="KM15" s="77">
        <v>541.562276</v>
      </c>
      <c r="KN15" s="77">
        <v>524.06890299999998</v>
      </c>
      <c r="KO15" s="77">
        <v>512.71112900000003</v>
      </c>
      <c r="KP15" s="77">
        <v>551.36563699999999</v>
      </c>
      <c r="KQ15" s="77">
        <v>560.50257099999999</v>
      </c>
      <c r="KR15" s="77">
        <v>498.37024400000001</v>
      </c>
      <c r="KS15" s="77">
        <v>520.02235099999996</v>
      </c>
      <c r="KT15" s="77">
        <v>524.88530800000001</v>
      </c>
      <c r="KU15" s="77">
        <v>508.059076</v>
      </c>
      <c r="KV15" s="77">
        <v>496.87266099999999</v>
      </c>
      <c r="KW15" s="77">
        <v>534.18372999999997</v>
      </c>
      <c r="KX15" s="77">
        <v>543.72437000000002</v>
      </c>
      <c r="KY15" s="77">
        <v>488.89775600000002</v>
      </c>
      <c r="KZ15" s="77">
        <v>509.77557000000002</v>
      </c>
      <c r="LA15" s="77">
        <v>510.99248999999998</v>
      </c>
      <c r="LB15" s="77">
        <v>495.02171299999998</v>
      </c>
      <c r="LC15" s="77">
        <v>484.05488500000001</v>
      </c>
      <c r="LD15" s="77">
        <v>519.64355399999999</v>
      </c>
      <c r="LE15" s="77">
        <v>529.70174499999996</v>
      </c>
      <c r="LF15" s="77">
        <v>507.91958</v>
      </c>
      <c r="LG15" s="77">
        <v>529.33170700000005</v>
      </c>
      <c r="LH15" s="77">
        <v>525.85804299999995</v>
      </c>
      <c r="LI15" s="77">
        <v>509.29697099999998</v>
      </c>
      <c r="LJ15" s="77">
        <v>498.17858999999999</v>
      </c>
      <c r="LK15" s="77">
        <v>534.95583799999997</v>
      </c>
      <c r="LL15" s="77">
        <v>544.65687400000002</v>
      </c>
      <c r="LM15" s="77">
        <v>470.27474799999999</v>
      </c>
      <c r="LN15" s="77">
        <v>491.45546200000001</v>
      </c>
      <c r="LO15" s="77">
        <v>496.97814299999999</v>
      </c>
      <c r="LP15" s="77">
        <v>480.672731</v>
      </c>
      <c r="LQ15" s="77">
        <v>469.62001800000002</v>
      </c>
      <c r="LR15" s="77">
        <v>505.88246800000002</v>
      </c>
      <c r="LS15" s="77">
        <v>515.73819100000003</v>
      </c>
      <c r="LT15" s="77">
        <v>465.90329500000001</v>
      </c>
      <c r="LU15" s="77">
        <v>486.72268800000001</v>
      </c>
      <c r="LV15" s="77">
        <v>487.93063899999999</v>
      </c>
      <c r="LW15" s="77">
        <v>472.024404</v>
      </c>
      <c r="LX15" s="77">
        <v>461.07416599999999</v>
      </c>
      <c r="LY15" s="77">
        <v>496.53288199999997</v>
      </c>
      <c r="LZ15" s="77">
        <v>506.63011699999998</v>
      </c>
      <c r="MA15" s="77">
        <v>465.31658199999998</v>
      </c>
      <c r="MB15" s="77">
        <v>486.39317399999999</v>
      </c>
      <c r="MC15" s="77">
        <v>498.39999899999998</v>
      </c>
      <c r="MD15" s="77">
        <v>482.20961799999998</v>
      </c>
      <c r="ME15" s="77">
        <v>471.18643400000002</v>
      </c>
      <c r="MF15" s="77">
        <v>507.21725700000002</v>
      </c>
      <c r="MG15" s="77">
        <v>517.14258500000005</v>
      </c>
      <c r="MH15" s="77">
        <v>503.773191</v>
      </c>
      <c r="MI15" s="77">
        <v>525.06635800000004</v>
      </c>
      <c r="MJ15" s="77">
        <v>514.15894200000002</v>
      </c>
      <c r="MK15" s="77">
        <v>497.72927499999997</v>
      </c>
      <c r="ML15" s="77">
        <v>486.64463799999999</v>
      </c>
      <c r="MM15" s="77">
        <v>523.15726400000005</v>
      </c>
      <c r="MN15" s="77">
        <v>532.93780000000004</v>
      </c>
      <c r="MO15" s="77">
        <v>508.28230600000001</v>
      </c>
      <c r="MP15" s="77">
        <v>529.89924599999995</v>
      </c>
      <c r="MQ15" s="77">
        <v>531.22928999999999</v>
      </c>
      <c r="MR15" s="77">
        <v>514.44196799999997</v>
      </c>
      <c r="MS15" s="77">
        <v>503.26546500000001</v>
      </c>
      <c r="MT15" s="77">
        <v>540.49832100000003</v>
      </c>
      <c r="MU15" s="77">
        <v>550.062453</v>
      </c>
      <c r="MV15" s="77">
        <v>484.80798499999997</v>
      </c>
      <c r="MW15" s="77">
        <v>506.65013900000002</v>
      </c>
      <c r="MX15" s="77">
        <v>510.21271400000001</v>
      </c>
      <c r="MY15" s="77">
        <v>493.176536</v>
      </c>
      <c r="MZ15" s="77">
        <v>481.93615399999999</v>
      </c>
      <c r="NA15" s="77">
        <v>519.67008499999997</v>
      </c>
      <c r="NB15" s="77">
        <v>529.08365500000002</v>
      </c>
      <c r="NC15" s="77">
        <v>476.74545799999999</v>
      </c>
      <c r="ND15" s="77">
        <v>497.98245200000002</v>
      </c>
      <c r="NE15" s="77">
        <v>497.07830999999999</v>
      </c>
      <c r="NF15" s="77">
        <v>480.71073200000001</v>
      </c>
      <c r="NG15" s="77">
        <v>469.64204799999999</v>
      </c>
      <c r="NH15" s="77">
        <v>506.02964700000001</v>
      </c>
      <c r="NI15" s="77">
        <v>515.84776099999999</v>
      </c>
      <c r="NJ15" s="77">
        <v>457.533973</v>
      </c>
      <c r="NK15" s="77">
        <v>479.31760800000001</v>
      </c>
      <c r="NL15" s="77">
        <v>480.67318499999999</v>
      </c>
      <c r="NM15" s="77">
        <v>463.70165700000001</v>
      </c>
      <c r="NN15" s="77">
        <v>452.47788800000001</v>
      </c>
      <c r="NO15" s="77">
        <v>490.08161799999999</v>
      </c>
      <c r="NP15" s="77">
        <v>499.53431699999999</v>
      </c>
      <c r="NQ15" s="77">
        <v>488.13862799999998</v>
      </c>
      <c r="NR15" s="77">
        <v>510.31770499999999</v>
      </c>
      <c r="NS15" s="77">
        <v>499.07001600000001</v>
      </c>
      <c r="NT15" s="77">
        <v>481.66166299999998</v>
      </c>
      <c r="NU15" s="77">
        <v>470.32570700000002</v>
      </c>
      <c r="NV15" s="77">
        <v>508.80904800000002</v>
      </c>
      <c r="NW15" s="77">
        <v>517.99744099999998</v>
      </c>
      <c r="NX15" s="77">
        <v>494.986672</v>
      </c>
      <c r="NY15" s="77">
        <v>517.061511</v>
      </c>
      <c r="NZ15" s="77">
        <v>532.438265</v>
      </c>
      <c r="OA15" s="77">
        <v>515.145036</v>
      </c>
      <c r="OB15" s="77">
        <v>503.83866</v>
      </c>
      <c r="OC15" s="77">
        <v>542.09015399999998</v>
      </c>
      <c r="OD15" s="77">
        <v>551.34818900000005</v>
      </c>
      <c r="OE15" s="77">
        <v>479.12392599999998</v>
      </c>
      <c r="OF15" s="77">
        <v>500.60271499999999</v>
      </c>
      <c r="OG15" s="77">
        <v>501.91161099999999</v>
      </c>
      <c r="OH15" s="77">
        <v>485.27687800000001</v>
      </c>
      <c r="OI15" s="77">
        <v>474.13961599999999</v>
      </c>
      <c r="OJ15" s="77">
        <v>511.06513999999999</v>
      </c>
      <c r="OK15" s="77">
        <v>520.72161000000006</v>
      </c>
      <c r="OL15" s="77">
        <v>467.60650800000002</v>
      </c>
      <c r="OM15" s="77">
        <v>489.40335800000003</v>
      </c>
      <c r="ON15" s="77">
        <v>513.95213200000001</v>
      </c>
      <c r="OO15" s="77">
        <v>496.96600699999999</v>
      </c>
      <c r="OP15" s="77">
        <v>485.73848400000003</v>
      </c>
      <c r="OQ15" s="77">
        <v>523.37156600000003</v>
      </c>
      <c r="OR15" s="77">
        <v>532.81543399999998</v>
      </c>
      <c r="OS15" s="77">
        <v>481.86134600000003</v>
      </c>
      <c r="OT15" s="77">
        <v>503.31301200000001</v>
      </c>
      <c r="OU15" s="77">
        <v>482.18833599999999</v>
      </c>
      <c r="OV15" s="77">
        <v>465.58358500000003</v>
      </c>
      <c r="OW15" s="77">
        <v>454.454026</v>
      </c>
      <c r="OX15" s="77">
        <v>491.31919199999999</v>
      </c>
      <c r="OY15" s="77">
        <v>500.99382200000002</v>
      </c>
      <c r="OZ15" s="77">
        <v>464.991085</v>
      </c>
      <c r="PA15" s="77">
        <v>488.23620499999998</v>
      </c>
      <c r="PB15" s="77">
        <v>489.81556</v>
      </c>
      <c r="PC15" s="77">
        <v>471.22941100000003</v>
      </c>
      <c r="PD15" s="77">
        <v>459.59104200000002</v>
      </c>
      <c r="PE15" s="77">
        <v>500.44587899999999</v>
      </c>
      <c r="PF15" s="77">
        <v>508.92169100000001</v>
      </c>
      <c r="PG15" s="77">
        <v>487.75932899999998</v>
      </c>
      <c r="PH15" s="77">
        <v>507.91707200000002</v>
      </c>
      <c r="PI15" s="77">
        <v>491.39199300000001</v>
      </c>
      <c r="PJ15" s="77">
        <v>476.21671600000002</v>
      </c>
      <c r="PK15" s="77">
        <v>465.454184</v>
      </c>
      <c r="PL15" s="77">
        <v>499.44101799999999</v>
      </c>
      <c r="PM15" s="77">
        <v>509.98054000000002</v>
      </c>
      <c r="PN15" s="77">
        <v>483.02249399999999</v>
      </c>
      <c r="PO15" s="77">
        <v>503.12303100000003</v>
      </c>
      <c r="PP15" s="77">
        <v>523.43598399999996</v>
      </c>
      <c r="PQ15" s="77">
        <v>508.323937</v>
      </c>
      <c r="PR15" s="77">
        <v>497.57763899999998</v>
      </c>
      <c r="PS15" s="77">
        <v>531.43719199999998</v>
      </c>
      <c r="PT15" s="77">
        <v>542.01492099999996</v>
      </c>
      <c r="PU15" s="77">
        <v>490.70712900000001</v>
      </c>
      <c r="PV15" s="77">
        <v>512.54594799999995</v>
      </c>
      <c r="PW15" s="77">
        <v>513.90997200000004</v>
      </c>
      <c r="PX15" s="77">
        <v>496.87750399999999</v>
      </c>
      <c r="PY15" s="77">
        <v>485.63808399999999</v>
      </c>
      <c r="PZ15" s="77">
        <v>523.36451399999999</v>
      </c>
      <c r="QA15" s="77">
        <v>532.78032599999995</v>
      </c>
      <c r="QB15" s="77">
        <v>514.15608799999995</v>
      </c>
      <c r="QC15" s="77">
        <v>536.80539499999998</v>
      </c>
      <c r="QD15" s="77">
        <v>538.29351399999996</v>
      </c>
      <c r="QE15" s="77">
        <v>520.365588</v>
      </c>
      <c r="QF15" s="77">
        <v>508.89621399999999</v>
      </c>
      <c r="QG15" s="77">
        <v>548.42567799999995</v>
      </c>
      <c r="QH15" s="77">
        <v>557.29973099999995</v>
      </c>
      <c r="QI15" s="77">
        <v>472.433967</v>
      </c>
      <c r="QJ15" s="77">
        <v>493.69482699999998</v>
      </c>
      <c r="QK15" s="77">
        <v>494.97034600000001</v>
      </c>
      <c r="QL15" s="77">
        <v>478.576393</v>
      </c>
      <c r="QM15" s="77">
        <v>467.50091800000001</v>
      </c>
      <c r="QN15" s="77">
        <v>503.94168400000001</v>
      </c>
      <c r="QO15" s="77">
        <v>513.74383399999999</v>
      </c>
      <c r="QP15" s="77">
        <v>483.87982499999998</v>
      </c>
      <c r="QQ15" s="77">
        <v>506.25659200000001</v>
      </c>
      <c r="QR15" s="77">
        <v>507.70299299999999</v>
      </c>
      <c r="QS15" s="77">
        <v>490.076256</v>
      </c>
    </row>
    <row r="16" spans="1:461" x14ac:dyDescent="0.25">
      <c r="F16" s="76" t="str">
        <f xml:space="preserve"> _xll.EPMOlapMemberO("[PRDDESCR].[].[HELGAS GFREE TRAD WHITE 470G]","","HELGAS GFREE TRAD WHITE 470G","","000")</f>
        <v>HELGAS GFREE TRAD WHITE 470G</v>
      </c>
      <c r="G16" s="76" t="str">
        <f xml:space="preserve"> _xll.EPMOlapMemberO("[PRDID].[].[168846]","","168846","","000")</f>
        <v>168846</v>
      </c>
      <c r="H16" s="76" t="str">
        <f xml:space="preserve"> _xll.EPMOlapMemberO("[LOCID].[].[6105]","","6105","","000")</f>
        <v>6105</v>
      </c>
      <c r="I16" s="76" t="str">
        <f xml:space="preserve"> _xll.EPMOlapMemberO("[LOCDESCR].[].[QBA-Rydalmere]","","QBA-Rydalmere","","000")</f>
        <v>QBA-Rydalmere</v>
      </c>
      <c r="J16" s="76" t="str">
        <f xml:space="preserve"> _xll.EPMOlapMemberO("[KEY_FIGURES].[].[ZGFAPPROVEDFCSTQTY]","","Approved Forecast","","000")</f>
        <v>Approved Forecast</v>
      </c>
      <c r="K16" s="77">
        <v>334.87771500000002</v>
      </c>
      <c r="L16" s="77">
        <v>253.390828</v>
      </c>
      <c r="M16" s="77">
        <v>327.496374</v>
      </c>
      <c r="N16" s="77">
        <v>256.80562900000001</v>
      </c>
      <c r="O16" s="77">
        <v>294.22619800000001</v>
      </c>
      <c r="P16" s="77">
        <v>207.23929699999999</v>
      </c>
      <c r="Q16" s="77">
        <v>421.26905199999999</v>
      </c>
      <c r="R16" s="77">
        <v>340.40315299999997</v>
      </c>
      <c r="S16" s="77">
        <v>259.12201700000003</v>
      </c>
      <c r="T16" s="77">
        <v>332.63169399999998</v>
      </c>
      <c r="U16" s="77">
        <v>264.477687</v>
      </c>
      <c r="V16" s="77">
        <v>299.90279800000002</v>
      </c>
      <c r="W16" s="77">
        <v>215.408762</v>
      </c>
      <c r="X16" s="77">
        <v>452.60927900000002</v>
      </c>
      <c r="Y16" s="77">
        <v>349.71086000000003</v>
      </c>
      <c r="Z16" s="77">
        <v>269.15748300000001</v>
      </c>
      <c r="AA16" s="77">
        <v>337.86870199999998</v>
      </c>
      <c r="AB16" s="77">
        <v>271.885267</v>
      </c>
      <c r="AC16" s="77">
        <v>308.81992000000002</v>
      </c>
      <c r="AD16" s="77">
        <v>206.81992299999999</v>
      </c>
      <c r="AE16" s="77"/>
      <c r="AF16" s="77"/>
      <c r="AG16" s="77"/>
      <c r="AH16" s="77"/>
      <c r="AI16" s="77"/>
      <c r="AJ16" s="77"/>
      <c r="AK16" s="77"/>
      <c r="AL16" s="77">
        <v>439.99522999999999</v>
      </c>
      <c r="AM16" s="77">
        <v>343.09185500000001</v>
      </c>
      <c r="AN16" s="77">
        <v>266.752657</v>
      </c>
      <c r="AO16" s="77">
        <v>330.39969500000001</v>
      </c>
      <c r="AP16" s="77">
        <v>265.11631899999998</v>
      </c>
      <c r="AQ16" s="77">
        <v>301.42459300000002</v>
      </c>
      <c r="AR16" s="77">
        <v>199.91569100000001</v>
      </c>
      <c r="AS16" s="77">
        <v>429.994325</v>
      </c>
      <c r="AT16" s="77">
        <v>339.11085400000002</v>
      </c>
      <c r="AU16" s="77">
        <v>259.48038700000001</v>
      </c>
      <c r="AV16" s="77">
        <v>326.83599800000002</v>
      </c>
      <c r="AW16" s="77">
        <v>259.33128699999997</v>
      </c>
      <c r="AX16" s="77">
        <v>294.642245</v>
      </c>
      <c r="AY16" s="77">
        <v>197.766558</v>
      </c>
      <c r="AZ16" s="77">
        <v>435.77005700000001</v>
      </c>
      <c r="BA16" s="77">
        <v>340.31592699999999</v>
      </c>
      <c r="BB16" s="77">
        <v>264.98391199999998</v>
      </c>
      <c r="BC16" s="77">
        <v>324.78178200000002</v>
      </c>
      <c r="BD16" s="77">
        <v>262.73486200000002</v>
      </c>
      <c r="BE16" s="77">
        <v>299.05275499999999</v>
      </c>
      <c r="BF16" s="77">
        <v>197.2936</v>
      </c>
      <c r="BG16" s="77">
        <v>450.83855</v>
      </c>
      <c r="BH16" s="77">
        <v>347.46976100000001</v>
      </c>
      <c r="BI16" s="77">
        <v>262.30375600000002</v>
      </c>
      <c r="BJ16" s="77">
        <v>324.00653</v>
      </c>
      <c r="BK16" s="77">
        <v>261.87442499999997</v>
      </c>
      <c r="BL16" s="77">
        <v>296.05595099999999</v>
      </c>
      <c r="BM16" s="77">
        <v>200.13793999999999</v>
      </c>
      <c r="BN16" s="77">
        <v>456.94032399999998</v>
      </c>
      <c r="BO16" s="77">
        <v>352.19197500000001</v>
      </c>
      <c r="BP16" s="77">
        <v>276.05024900000001</v>
      </c>
      <c r="BQ16" s="77">
        <v>339.26628199999999</v>
      </c>
      <c r="BR16" s="77">
        <v>274.82627300000001</v>
      </c>
      <c r="BS16" s="77">
        <v>309.55205599999999</v>
      </c>
      <c r="BT16" s="77">
        <v>205.603104</v>
      </c>
      <c r="BU16" s="77">
        <v>426.86949700000002</v>
      </c>
      <c r="BV16" s="77">
        <v>333.99938900000001</v>
      </c>
      <c r="BW16" s="77">
        <v>269.21174100000002</v>
      </c>
      <c r="BX16" s="77">
        <v>329.58489300000002</v>
      </c>
      <c r="BY16" s="77">
        <v>269.22261700000001</v>
      </c>
      <c r="BZ16" s="77">
        <v>302.02823799999999</v>
      </c>
      <c r="CA16" s="77">
        <v>206.07878199999999</v>
      </c>
      <c r="CB16" s="77">
        <v>442.00666899999999</v>
      </c>
      <c r="CC16" s="77">
        <v>343.32660900000002</v>
      </c>
      <c r="CD16" s="77">
        <v>268.74045799999999</v>
      </c>
      <c r="CE16" s="77">
        <v>322.74516799999998</v>
      </c>
      <c r="CF16" s="77">
        <v>265.58031499999998</v>
      </c>
      <c r="CG16" s="77">
        <v>304.296041</v>
      </c>
      <c r="CH16" s="77">
        <v>201.82804999999999</v>
      </c>
      <c r="CI16" s="77">
        <v>421.89841699999999</v>
      </c>
      <c r="CJ16" s="77">
        <v>325.753108</v>
      </c>
      <c r="CK16" s="77">
        <v>255.469945</v>
      </c>
      <c r="CL16" s="77">
        <v>308.30247600000001</v>
      </c>
      <c r="CM16" s="77">
        <v>254.63383899999999</v>
      </c>
      <c r="CN16" s="77">
        <v>287.19013899999999</v>
      </c>
      <c r="CO16" s="77">
        <v>198.27318399999999</v>
      </c>
      <c r="CP16" s="77">
        <v>404.68517100000003</v>
      </c>
      <c r="CQ16" s="77">
        <v>312.51562799999999</v>
      </c>
      <c r="CR16" s="77">
        <v>246.27621600000001</v>
      </c>
      <c r="CS16" s="77">
        <v>292.81813599999998</v>
      </c>
      <c r="CT16" s="77">
        <v>243.71743799999999</v>
      </c>
      <c r="CU16" s="77">
        <v>277.22000700000001</v>
      </c>
      <c r="CV16" s="77">
        <v>190.27085600000001</v>
      </c>
      <c r="CW16" s="77">
        <v>405.90786200000002</v>
      </c>
      <c r="CX16" s="77">
        <v>314.40732300000002</v>
      </c>
      <c r="CY16" s="77">
        <v>245.68159800000001</v>
      </c>
      <c r="CZ16" s="77">
        <v>300.24355000000003</v>
      </c>
      <c r="DA16" s="77">
        <v>245.53094899999999</v>
      </c>
      <c r="DB16" s="77">
        <v>275.596137</v>
      </c>
      <c r="DC16" s="77">
        <v>191.73327900000001</v>
      </c>
      <c r="DD16" s="77">
        <v>406.09089699999998</v>
      </c>
      <c r="DE16" s="77">
        <v>317.74267200000003</v>
      </c>
      <c r="DF16" s="77">
        <v>258.73070300000001</v>
      </c>
      <c r="DG16" s="77">
        <v>308.89894299999997</v>
      </c>
      <c r="DH16" s="77">
        <v>256.28812499999998</v>
      </c>
      <c r="DI16" s="77">
        <v>291.07067899999998</v>
      </c>
      <c r="DJ16" s="77">
        <v>197.55544699999999</v>
      </c>
      <c r="DK16" s="77">
        <v>423.61242700000003</v>
      </c>
      <c r="DL16" s="77">
        <v>330.69777499999998</v>
      </c>
      <c r="DM16" s="77">
        <v>245.13177999999999</v>
      </c>
      <c r="DN16" s="77">
        <v>307.05948100000001</v>
      </c>
      <c r="DO16" s="77">
        <v>244.459588</v>
      </c>
      <c r="DP16" s="77">
        <v>278.44807700000001</v>
      </c>
      <c r="DQ16" s="77">
        <v>187.820041</v>
      </c>
      <c r="DR16" s="77">
        <v>424.91314799999998</v>
      </c>
      <c r="DS16" s="77">
        <v>331.31498499999998</v>
      </c>
      <c r="DT16" s="77">
        <v>257.74480699999998</v>
      </c>
      <c r="DU16" s="77">
        <v>317.70928400000003</v>
      </c>
      <c r="DV16" s="77">
        <v>255.99601899999999</v>
      </c>
      <c r="DW16" s="77">
        <v>291.25278800000001</v>
      </c>
      <c r="DX16" s="77">
        <v>194.791302</v>
      </c>
      <c r="DY16" s="77">
        <v>432.276749</v>
      </c>
      <c r="DZ16" s="77">
        <v>329.32467700000001</v>
      </c>
      <c r="EA16" s="77">
        <v>256.14268299999998</v>
      </c>
      <c r="EB16" s="77">
        <v>303.70749799999999</v>
      </c>
      <c r="EC16" s="77">
        <v>254.70043799999999</v>
      </c>
      <c r="ED16" s="77">
        <v>287.90058399999998</v>
      </c>
      <c r="EE16" s="77">
        <v>200.05059900000001</v>
      </c>
      <c r="EF16" s="77">
        <v>448.745497</v>
      </c>
      <c r="EG16" s="77">
        <v>342.08919200000003</v>
      </c>
      <c r="EH16" s="77">
        <v>278.28947499999998</v>
      </c>
      <c r="EI16" s="77">
        <v>335.159423</v>
      </c>
      <c r="EJ16" s="77">
        <v>277.66392100000002</v>
      </c>
      <c r="EK16" s="77">
        <v>309.12800700000003</v>
      </c>
      <c r="EL16" s="77">
        <v>210.81824700000001</v>
      </c>
      <c r="EM16" s="77">
        <v>460.209273</v>
      </c>
      <c r="EN16" s="77">
        <v>355.200649</v>
      </c>
      <c r="EO16" s="77">
        <v>278.14107200000001</v>
      </c>
      <c r="EP16" s="77">
        <v>338.51863400000002</v>
      </c>
      <c r="EQ16" s="77">
        <v>277.51150200000001</v>
      </c>
      <c r="ER16" s="77">
        <v>313.24875300000002</v>
      </c>
      <c r="ES16" s="77">
        <v>211.58506199999999</v>
      </c>
      <c r="ET16" s="77">
        <v>443.291877</v>
      </c>
      <c r="EU16" s="77">
        <v>344.188738</v>
      </c>
      <c r="EV16" s="77">
        <v>269.25314100000003</v>
      </c>
      <c r="EW16" s="77">
        <v>326.93206199999997</v>
      </c>
      <c r="EX16" s="77">
        <v>266.77800100000002</v>
      </c>
      <c r="EY16" s="77">
        <v>304.18007999999998</v>
      </c>
      <c r="EZ16" s="77">
        <v>201.71369799999999</v>
      </c>
      <c r="FA16" s="77">
        <v>440.30031500000001</v>
      </c>
      <c r="FB16" s="77">
        <v>340.33518099999998</v>
      </c>
      <c r="FC16" s="77">
        <v>258.392357</v>
      </c>
      <c r="FD16" s="77">
        <v>315.58866999999998</v>
      </c>
      <c r="FE16" s="77">
        <v>257.18447099999997</v>
      </c>
      <c r="FF16" s="77">
        <v>292.60156599999999</v>
      </c>
      <c r="FG16" s="77">
        <v>198.27838199999999</v>
      </c>
      <c r="FH16" s="77">
        <v>452.744553</v>
      </c>
      <c r="FI16" s="77">
        <v>345.89429699999999</v>
      </c>
      <c r="FJ16" s="77">
        <v>283.82069000000001</v>
      </c>
      <c r="FK16" s="77">
        <v>338.54832499999998</v>
      </c>
      <c r="FL16" s="77">
        <v>282.57666499999999</v>
      </c>
      <c r="FM16" s="77">
        <v>316.03418199999999</v>
      </c>
      <c r="FN16" s="77">
        <v>214.79220599999999</v>
      </c>
      <c r="FO16" s="77">
        <v>432.87411100000003</v>
      </c>
      <c r="FP16" s="77">
        <v>337.04528399999998</v>
      </c>
      <c r="FQ16" s="77">
        <v>264.40616</v>
      </c>
      <c r="FR16" s="77">
        <v>320.59705300000002</v>
      </c>
      <c r="FS16" s="77">
        <v>262.498581</v>
      </c>
      <c r="FT16" s="77">
        <v>300.44579900000002</v>
      </c>
      <c r="FU16" s="77">
        <v>201.94428099999999</v>
      </c>
      <c r="FV16" s="77">
        <v>409.64306599999998</v>
      </c>
      <c r="FW16" s="77">
        <v>322.36388599999998</v>
      </c>
      <c r="FX16" s="77">
        <v>246.94788299999999</v>
      </c>
      <c r="FY16" s="77">
        <v>300.76302900000002</v>
      </c>
      <c r="FZ16" s="77">
        <v>244.327977</v>
      </c>
      <c r="GA16" s="77">
        <v>279.92719099999999</v>
      </c>
      <c r="GB16" s="77">
        <v>187.75439</v>
      </c>
      <c r="GC16" s="77">
        <v>413.560788</v>
      </c>
      <c r="GD16" s="77">
        <v>319.00038599999999</v>
      </c>
      <c r="GE16" s="77">
        <v>266.09731199999999</v>
      </c>
      <c r="GF16" s="77">
        <v>314.57664199999999</v>
      </c>
      <c r="GG16" s="77">
        <v>265.65461800000003</v>
      </c>
      <c r="GH16" s="77">
        <v>296.47646700000001</v>
      </c>
      <c r="GI16" s="77">
        <v>208.13520600000001</v>
      </c>
      <c r="GJ16" s="77">
        <v>458.818106</v>
      </c>
      <c r="GK16" s="77">
        <v>342.44618100000002</v>
      </c>
      <c r="GL16" s="77">
        <v>261.81381699999997</v>
      </c>
      <c r="GM16" s="77">
        <v>305.66984100000002</v>
      </c>
      <c r="GN16" s="77">
        <v>259.08202699999998</v>
      </c>
      <c r="GO16" s="77">
        <v>293.43919</v>
      </c>
      <c r="GP16" s="77">
        <v>201.725931</v>
      </c>
      <c r="GQ16" s="77">
        <v>420.75971700000002</v>
      </c>
      <c r="GR16" s="77">
        <v>322.73251699999997</v>
      </c>
      <c r="GS16" s="77">
        <v>255.06082799999999</v>
      </c>
      <c r="GT16" s="77">
        <v>300.820089</v>
      </c>
      <c r="GU16" s="77">
        <v>253.324849</v>
      </c>
      <c r="GV16" s="77">
        <v>287.007206</v>
      </c>
      <c r="GW16" s="77">
        <v>199.753119</v>
      </c>
      <c r="GX16" s="77">
        <v>403.81715000000003</v>
      </c>
      <c r="GY16" s="77">
        <v>306.56214</v>
      </c>
      <c r="GZ16" s="77">
        <v>246.05422100000001</v>
      </c>
      <c r="HA16" s="77">
        <v>287.61356799999999</v>
      </c>
      <c r="HB16" s="77">
        <v>244.115646</v>
      </c>
      <c r="HC16" s="77">
        <v>274.47467899999998</v>
      </c>
      <c r="HD16" s="77">
        <v>193.347926</v>
      </c>
      <c r="HE16" s="77">
        <v>455.643575</v>
      </c>
      <c r="HF16" s="77">
        <v>341.532827</v>
      </c>
      <c r="HG16" s="77">
        <v>275.00269900000001</v>
      </c>
      <c r="HH16" s="77">
        <v>324.987818</v>
      </c>
      <c r="HI16" s="77">
        <v>275.24960700000003</v>
      </c>
      <c r="HJ16" s="77">
        <v>304.60299500000002</v>
      </c>
      <c r="HK16" s="77">
        <v>214.33399499999999</v>
      </c>
      <c r="HL16" s="77">
        <v>457.65758199999999</v>
      </c>
      <c r="HM16" s="77">
        <v>347.144454</v>
      </c>
      <c r="HN16" s="77">
        <v>279.29986000000002</v>
      </c>
      <c r="HO16" s="77">
        <v>330.509456</v>
      </c>
      <c r="HP16" s="77">
        <v>276.69635199999999</v>
      </c>
      <c r="HQ16" s="77">
        <v>313.55162200000001</v>
      </c>
      <c r="HR16" s="77">
        <v>209.560981</v>
      </c>
      <c r="HS16" s="77">
        <v>445.32314000000002</v>
      </c>
      <c r="HT16" s="77">
        <v>342.97928899999999</v>
      </c>
      <c r="HU16" s="77">
        <v>265.33486599999998</v>
      </c>
      <c r="HV16" s="77">
        <v>320.24994900000002</v>
      </c>
      <c r="HW16" s="77">
        <v>265.04320899999999</v>
      </c>
      <c r="HX16" s="77">
        <v>297.13560200000001</v>
      </c>
      <c r="HY16" s="77">
        <v>203.39825400000001</v>
      </c>
      <c r="HZ16" s="77">
        <v>447.96653800000001</v>
      </c>
      <c r="IA16" s="77">
        <v>341.34225500000002</v>
      </c>
      <c r="IB16" s="77">
        <v>273.76033200000001</v>
      </c>
      <c r="IC16" s="77">
        <v>327.05183</v>
      </c>
      <c r="ID16" s="77">
        <v>271.75276600000001</v>
      </c>
      <c r="IE16" s="77">
        <v>306.69435399999998</v>
      </c>
      <c r="IF16" s="77">
        <v>207.10589300000001</v>
      </c>
      <c r="IG16" s="77">
        <v>479.54242299999999</v>
      </c>
      <c r="IH16" s="77">
        <v>360.34474299999999</v>
      </c>
      <c r="II16" s="77">
        <v>291.11692499999998</v>
      </c>
      <c r="IJ16" s="77">
        <v>342.71469300000001</v>
      </c>
      <c r="IK16" s="77">
        <v>290.79994099999999</v>
      </c>
      <c r="IL16" s="77">
        <v>323.71342700000002</v>
      </c>
      <c r="IM16" s="77">
        <v>224.26507899999999</v>
      </c>
      <c r="IN16" s="77">
        <v>497.59909399999998</v>
      </c>
      <c r="IO16" s="77">
        <v>368.17682300000001</v>
      </c>
      <c r="IP16" s="77">
        <v>302.93004100000002</v>
      </c>
      <c r="IQ16" s="77">
        <v>352.76529399999998</v>
      </c>
      <c r="IR16" s="77">
        <v>301.78206599999999</v>
      </c>
      <c r="IS16" s="77">
        <v>334.85640100000001</v>
      </c>
      <c r="IT16" s="77">
        <v>230.02576099999999</v>
      </c>
      <c r="IU16" s="77">
        <v>496.77147400000001</v>
      </c>
      <c r="IV16" s="77">
        <v>374.46399100000002</v>
      </c>
      <c r="IW16" s="77">
        <v>296.77315199999998</v>
      </c>
      <c r="IX16" s="77">
        <v>352.18676399999998</v>
      </c>
      <c r="IY16" s="77">
        <v>296.48970700000001</v>
      </c>
      <c r="IZ16" s="77">
        <v>330.81870800000002</v>
      </c>
      <c r="JA16" s="77">
        <v>226.81630899999999</v>
      </c>
      <c r="JB16" s="77">
        <v>528.97952899999996</v>
      </c>
      <c r="JC16" s="77">
        <v>400.80850900000002</v>
      </c>
      <c r="JD16" s="77">
        <v>322.35596600000002</v>
      </c>
      <c r="JE16" s="77">
        <v>392.21718099999998</v>
      </c>
      <c r="JF16" s="77">
        <v>321.81601799999999</v>
      </c>
      <c r="JG16" s="77">
        <v>358.80031100000002</v>
      </c>
      <c r="JH16" s="77">
        <v>235.832404</v>
      </c>
      <c r="JI16" s="77">
        <v>491.27403500000003</v>
      </c>
      <c r="JJ16" s="77">
        <v>372.254839</v>
      </c>
      <c r="JK16" s="77">
        <v>303.17217099999999</v>
      </c>
      <c r="JL16" s="77">
        <v>363.85704900000002</v>
      </c>
      <c r="JM16" s="77">
        <v>303.881981</v>
      </c>
      <c r="JN16" s="77">
        <v>336.82831199999998</v>
      </c>
      <c r="JO16" s="77">
        <v>230.62743599999999</v>
      </c>
      <c r="JP16" s="77">
        <v>488.73433</v>
      </c>
      <c r="JQ16" s="77">
        <v>364.37986699999999</v>
      </c>
      <c r="JR16" s="77">
        <v>296.14789300000001</v>
      </c>
      <c r="JS16" s="77">
        <v>342.115296</v>
      </c>
      <c r="JT16" s="77">
        <v>292.21889800000002</v>
      </c>
      <c r="JU16" s="77">
        <v>333.45952799999998</v>
      </c>
      <c r="JV16" s="77">
        <v>223.23973899999999</v>
      </c>
      <c r="JW16" s="77">
        <v>350.130244</v>
      </c>
      <c r="JX16" s="77">
        <v>436.12725599999999</v>
      </c>
      <c r="JY16" s="77">
        <v>250.38576699999999</v>
      </c>
      <c r="JZ16" s="77">
        <v>297.89747</v>
      </c>
      <c r="KA16" s="77">
        <v>247.149979</v>
      </c>
      <c r="KB16" s="77">
        <v>345.17807800000003</v>
      </c>
      <c r="KC16" s="77">
        <v>369.26178800000002</v>
      </c>
      <c r="KD16" s="77">
        <v>328.33393599999999</v>
      </c>
      <c r="KE16" s="77">
        <v>323.57332000000002</v>
      </c>
      <c r="KF16" s="77">
        <v>337.94749400000001</v>
      </c>
      <c r="KG16" s="77">
        <v>321.06226199999998</v>
      </c>
      <c r="KH16" s="77">
        <v>320.40955200000002</v>
      </c>
      <c r="KI16" s="77">
        <v>322.55861099999998</v>
      </c>
      <c r="KJ16" s="77">
        <v>338.81175400000001</v>
      </c>
      <c r="KK16" s="77">
        <v>323.73791</v>
      </c>
      <c r="KL16" s="77">
        <v>320.48094700000001</v>
      </c>
      <c r="KM16" s="77">
        <v>337.95435300000003</v>
      </c>
      <c r="KN16" s="77">
        <v>323.75561199999999</v>
      </c>
      <c r="KO16" s="77">
        <v>322.84385900000001</v>
      </c>
      <c r="KP16" s="77">
        <v>323.788748</v>
      </c>
      <c r="KQ16" s="77">
        <v>348.479197</v>
      </c>
      <c r="KR16" s="77">
        <v>320.20873799999998</v>
      </c>
      <c r="KS16" s="77">
        <v>315.39682499999998</v>
      </c>
      <c r="KT16" s="77">
        <v>330.18901299999999</v>
      </c>
      <c r="KU16" s="77">
        <v>313.24016999999998</v>
      </c>
      <c r="KV16" s="77">
        <v>312.55946599999999</v>
      </c>
      <c r="KW16" s="77">
        <v>314.75899700000002</v>
      </c>
      <c r="KX16" s="77">
        <v>331.05601300000001</v>
      </c>
      <c r="KY16" s="77">
        <v>310.06145400000003</v>
      </c>
      <c r="KZ16" s="77">
        <v>306.40285699999998</v>
      </c>
      <c r="LA16" s="77">
        <v>321.58908500000001</v>
      </c>
      <c r="LB16" s="77">
        <v>306.75830100000002</v>
      </c>
      <c r="LC16" s="77">
        <v>305.71757300000002</v>
      </c>
      <c r="LD16" s="77">
        <v>307.03022099999998</v>
      </c>
      <c r="LE16" s="77">
        <v>331.661676</v>
      </c>
      <c r="LF16" s="77">
        <v>312.98259400000001</v>
      </c>
      <c r="LG16" s="77">
        <v>308.74294600000002</v>
      </c>
      <c r="LH16" s="77">
        <v>327.53402599999998</v>
      </c>
      <c r="LI16" s="77">
        <v>311.52352400000001</v>
      </c>
      <c r="LJ16" s="77">
        <v>311.04119100000003</v>
      </c>
      <c r="LK16" s="77">
        <v>312.716432</v>
      </c>
      <c r="LL16" s="77">
        <v>328.65713899999997</v>
      </c>
      <c r="LM16" s="77">
        <v>317.39377400000001</v>
      </c>
      <c r="LN16" s="77">
        <v>313.79947299999998</v>
      </c>
      <c r="LO16" s="77">
        <v>326.60790800000001</v>
      </c>
      <c r="LP16" s="77">
        <v>311.87377700000002</v>
      </c>
      <c r="LQ16" s="77">
        <v>310.84601900000001</v>
      </c>
      <c r="LR16" s="77">
        <v>312.10103700000002</v>
      </c>
      <c r="LS16" s="77">
        <v>336.87602500000003</v>
      </c>
      <c r="LT16" s="77">
        <v>294.51627400000001</v>
      </c>
      <c r="LU16" s="77">
        <v>290.17548499999998</v>
      </c>
      <c r="LV16" s="77">
        <v>306.90173299999998</v>
      </c>
      <c r="LW16" s="77">
        <v>290.70036900000002</v>
      </c>
      <c r="LX16" s="77">
        <v>290.19547999999998</v>
      </c>
      <c r="LY16" s="77">
        <v>291.95912199999998</v>
      </c>
      <c r="LZ16" s="77">
        <v>307.948195</v>
      </c>
      <c r="MA16" s="77">
        <v>299.93937899999997</v>
      </c>
      <c r="MB16" s="77">
        <v>296.53346199999999</v>
      </c>
      <c r="MC16" s="77">
        <v>322.12801999999999</v>
      </c>
      <c r="MD16" s="77">
        <v>307.67002000000002</v>
      </c>
      <c r="ME16" s="77">
        <v>306.66820300000001</v>
      </c>
      <c r="MF16" s="77">
        <v>307.756328</v>
      </c>
      <c r="MG16" s="77">
        <v>333.16354200000001</v>
      </c>
      <c r="MH16" s="77">
        <v>306.46095600000001</v>
      </c>
      <c r="MI16" s="77">
        <v>302.25692299999997</v>
      </c>
      <c r="MJ16" s="77">
        <v>307.91641199999998</v>
      </c>
      <c r="MK16" s="77">
        <v>291.89415100000002</v>
      </c>
      <c r="ML16" s="77">
        <v>291.45920899999999</v>
      </c>
      <c r="MM16" s="77">
        <v>293.08986700000003</v>
      </c>
      <c r="MN16" s="77">
        <v>308.96746000000002</v>
      </c>
      <c r="MO16" s="77">
        <v>312.992008</v>
      </c>
      <c r="MP16" s="77">
        <v>309.78472799999997</v>
      </c>
      <c r="MQ16" s="77">
        <v>323.93822499999999</v>
      </c>
      <c r="MR16" s="77">
        <v>309.78769299999999</v>
      </c>
      <c r="MS16" s="77">
        <v>308.84094599999997</v>
      </c>
      <c r="MT16" s="77">
        <v>309.748628</v>
      </c>
      <c r="MU16" s="77">
        <v>335.33748000000003</v>
      </c>
      <c r="MV16" s="77">
        <v>301.80327499999999</v>
      </c>
      <c r="MW16" s="77">
        <v>297.34790600000002</v>
      </c>
      <c r="MX16" s="77">
        <v>320.23785400000003</v>
      </c>
      <c r="MY16" s="77">
        <v>303.84186999999997</v>
      </c>
      <c r="MZ16" s="77">
        <v>303.30060300000002</v>
      </c>
      <c r="NA16" s="77">
        <v>305.16809000000001</v>
      </c>
      <c r="NB16" s="77">
        <v>321.22458599999999</v>
      </c>
      <c r="NC16" s="77">
        <v>283.92656099999999</v>
      </c>
      <c r="ND16" s="77">
        <v>281.36826000000002</v>
      </c>
      <c r="NE16" s="77">
        <v>288.98339900000002</v>
      </c>
      <c r="NF16" s="77">
        <v>275.91802899999999</v>
      </c>
      <c r="NG16" s="77">
        <v>275.288095</v>
      </c>
      <c r="NH16" s="77">
        <v>275.58403199999998</v>
      </c>
      <c r="NI16" s="77">
        <v>299.36978299999998</v>
      </c>
      <c r="NJ16" s="77">
        <v>298.00332500000002</v>
      </c>
      <c r="NK16" s="77">
        <v>293.64696400000003</v>
      </c>
      <c r="NL16" s="77">
        <v>310.38804800000003</v>
      </c>
      <c r="NM16" s="77">
        <v>294.135445</v>
      </c>
      <c r="NN16" s="77">
        <v>293.638015</v>
      </c>
      <c r="NO16" s="77">
        <v>295.411518</v>
      </c>
      <c r="NP16" s="77">
        <v>311.39525099999997</v>
      </c>
      <c r="NQ16" s="77">
        <v>305.76340099999999</v>
      </c>
      <c r="NR16" s="77">
        <v>302.19199400000002</v>
      </c>
      <c r="NS16" s="77">
        <v>314.17083300000002</v>
      </c>
      <c r="NT16" s="77">
        <v>299.443939</v>
      </c>
      <c r="NU16" s="77">
        <v>298.37453699999998</v>
      </c>
      <c r="NV16" s="77">
        <v>299.61647699999997</v>
      </c>
      <c r="NW16" s="77">
        <v>325.25304299999999</v>
      </c>
      <c r="NX16" s="77">
        <v>316.56326999999999</v>
      </c>
      <c r="NY16" s="77">
        <v>311.73407800000001</v>
      </c>
      <c r="NZ16" s="77">
        <v>332.57623599999999</v>
      </c>
      <c r="OA16" s="77">
        <v>315.481582</v>
      </c>
      <c r="OB16" s="77">
        <v>314.853589</v>
      </c>
      <c r="OC16" s="77">
        <v>317.048856</v>
      </c>
      <c r="OD16" s="77">
        <v>333.28801399999998</v>
      </c>
      <c r="OE16" s="77">
        <v>309.02740399999999</v>
      </c>
      <c r="OF16" s="77">
        <v>305.99400600000001</v>
      </c>
      <c r="OG16" s="77">
        <v>319.72059100000001</v>
      </c>
      <c r="OH16" s="77">
        <v>305.81461999999999</v>
      </c>
      <c r="OI16" s="77">
        <v>304.87418500000001</v>
      </c>
      <c r="OJ16" s="77">
        <v>305.63061599999997</v>
      </c>
      <c r="OK16" s="77">
        <v>332.11224099999998</v>
      </c>
      <c r="OL16" s="77">
        <v>306.07833900000003</v>
      </c>
      <c r="OM16" s="77">
        <v>301.73580500000003</v>
      </c>
      <c r="ON16" s="77">
        <v>336.656677</v>
      </c>
      <c r="OO16" s="77">
        <v>320.30528700000002</v>
      </c>
      <c r="OP16" s="77">
        <v>319.87327800000003</v>
      </c>
      <c r="OQ16" s="77">
        <v>321.61340100000001</v>
      </c>
      <c r="OR16" s="77">
        <v>337.517652</v>
      </c>
      <c r="OS16" s="77">
        <v>317.30285500000002</v>
      </c>
      <c r="OT16" s="77">
        <v>314.41363000000001</v>
      </c>
      <c r="OU16" s="77">
        <v>310.47883899999999</v>
      </c>
      <c r="OV16" s="77">
        <v>296.784963</v>
      </c>
      <c r="OW16" s="77">
        <v>295.86573900000002</v>
      </c>
      <c r="OX16" s="77">
        <v>296.49424399999998</v>
      </c>
      <c r="OY16" s="77">
        <v>323.43600400000003</v>
      </c>
      <c r="OZ16" s="77">
        <v>303.25831399999998</v>
      </c>
      <c r="PA16" s="77">
        <v>298.57961299999999</v>
      </c>
      <c r="PB16" s="77">
        <v>315.94417900000002</v>
      </c>
      <c r="PC16" s="77">
        <v>299.082718</v>
      </c>
      <c r="PD16" s="77">
        <v>298.513623</v>
      </c>
      <c r="PE16" s="77">
        <v>300.56877300000002</v>
      </c>
      <c r="PF16" s="77">
        <v>316.706324</v>
      </c>
      <c r="PG16" s="77">
        <v>312.06285400000002</v>
      </c>
      <c r="PH16" s="77">
        <v>308.975345</v>
      </c>
      <c r="PI16" s="77">
        <v>317.34414600000002</v>
      </c>
      <c r="PJ16" s="77">
        <v>303.35878600000001</v>
      </c>
      <c r="PK16" s="77">
        <v>302.41079500000001</v>
      </c>
      <c r="PL16" s="77">
        <v>303.21520500000003</v>
      </c>
      <c r="PM16" s="77">
        <v>329.51683700000001</v>
      </c>
      <c r="PN16" s="77">
        <v>322.416449</v>
      </c>
      <c r="PO16" s="77">
        <v>318.024247</v>
      </c>
      <c r="PP16" s="77">
        <v>340.72734300000002</v>
      </c>
      <c r="PQ16" s="77">
        <v>324.27730400000002</v>
      </c>
      <c r="PR16" s="77">
        <v>323.83667700000001</v>
      </c>
      <c r="PS16" s="77">
        <v>325.61938400000003</v>
      </c>
      <c r="PT16" s="77">
        <v>341.54450600000001</v>
      </c>
      <c r="PU16" s="77">
        <v>308.56420600000001</v>
      </c>
      <c r="PV16" s="77">
        <v>305.59688299999999</v>
      </c>
      <c r="PW16" s="77">
        <v>319.20054900000002</v>
      </c>
      <c r="PX16" s="77">
        <v>305.41127599999999</v>
      </c>
      <c r="PY16" s="77">
        <v>304.51379500000002</v>
      </c>
      <c r="PZ16" s="77">
        <v>305.20625699999999</v>
      </c>
      <c r="QA16" s="77">
        <v>331.316824</v>
      </c>
      <c r="QB16" s="77">
        <v>306.93159600000001</v>
      </c>
      <c r="QC16" s="77">
        <v>301.74751600000002</v>
      </c>
      <c r="QD16" s="77">
        <v>320.23901799999999</v>
      </c>
      <c r="QE16" s="77">
        <v>302.63700899999998</v>
      </c>
      <c r="QF16" s="77">
        <v>301.84875199999999</v>
      </c>
      <c r="QG16" s="77">
        <v>304.38190700000001</v>
      </c>
      <c r="QH16" s="77">
        <v>320.88555700000001</v>
      </c>
      <c r="QI16" s="77">
        <v>292.36495300000001</v>
      </c>
      <c r="QJ16" s="77">
        <v>289.37604099999999</v>
      </c>
      <c r="QK16" s="77">
        <v>303.11486500000001</v>
      </c>
      <c r="QL16" s="77">
        <v>289.34529300000003</v>
      </c>
      <c r="QM16" s="77">
        <v>288.53201799999999</v>
      </c>
      <c r="QN16" s="77">
        <v>289.22952299999997</v>
      </c>
      <c r="QO16" s="77">
        <v>313.74109399999998</v>
      </c>
      <c r="QP16" s="77">
        <v>280.76597099999998</v>
      </c>
      <c r="QQ16" s="77">
        <v>276.77764100000002</v>
      </c>
      <c r="QR16" s="77">
        <v>292.79717399999998</v>
      </c>
      <c r="QS16" s="77">
        <v>277.22577999999999</v>
      </c>
    </row>
    <row r="17" spans="6:461" x14ac:dyDescent="0.25">
      <c r="F17" s="76" t="str">
        <f xml:space="preserve"> _xll.EPMOlapMemberO("[PRDDESCR].[].[HELGAS GFREE TRAD WHITE 470G]","","HELGAS GFREE TRAD WHITE 470G","","000")</f>
        <v>HELGAS GFREE TRAD WHITE 470G</v>
      </c>
      <c r="G17" s="76" t="str">
        <f xml:space="preserve"> _xll.EPMOlapMemberO("[PRDID].[].[168846]","","168846","","000")</f>
        <v>168846</v>
      </c>
      <c r="H17" s="76" t="str">
        <f xml:space="preserve"> _xll.EPMOlapMemberO("[LOCID].[].[6110]","","6110","","000")</f>
        <v>6110</v>
      </c>
      <c r="I17" s="76" t="str">
        <f xml:space="preserve"> _xll.EPMOlapMemberO("[LOCDESCR].[].[QBA-Burleigh Heads]","","QBA-Burleigh Heads","","000")</f>
        <v>QBA-Burleigh Heads</v>
      </c>
      <c r="J17" s="76" t="str">
        <f xml:space="preserve"> _xll.EPMOlapMemberO("[KEY_FIGURES].[].[ZGFAPPROVEDFCSTQTY]","","Approved Forecast","","000")</f>
        <v>Approved Forecast</v>
      </c>
      <c r="K17" s="77">
        <v>1051.802214</v>
      </c>
      <c r="L17" s="77">
        <v>532.08076800000003</v>
      </c>
      <c r="M17" s="77">
        <v>824.35866899999996</v>
      </c>
      <c r="N17" s="77">
        <v>507.29108100000002</v>
      </c>
      <c r="O17" s="77">
        <v>817.09927700000003</v>
      </c>
      <c r="P17" s="77">
        <v>592.778054</v>
      </c>
      <c r="Q17" s="77">
        <v>0.377494</v>
      </c>
      <c r="R17" s="77">
        <v>1037.661779</v>
      </c>
      <c r="S17" s="77">
        <v>528.01670999999999</v>
      </c>
      <c r="T17" s="77">
        <v>822.23579600000005</v>
      </c>
      <c r="U17" s="77">
        <v>502.71647899999999</v>
      </c>
      <c r="V17" s="77">
        <v>818.05946800000004</v>
      </c>
      <c r="W17" s="77">
        <v>596.25753999999995</v>
      </c>
      <c r="X17" s="77">
        <v>5.5953999999999997E-2</v>
      </c>
      <c r="Y17" s="77">
        <v>1068.4627849999999</v>
      </c>
      <c r="Z17" s="77">
        <v>552.39609399999995</v>
      </c>
      <c r="AA17" s="77">
        <v>845.97897599999999</v>
      </c>
      <c r="AB17" s="77">
        <v>558.08215900000005</v>
      </c>
      <c r="AC17" s="77">
        <v>834.74892299999999</v>
      </c>
      <c r="AD17" s="77">
        <v>594.78360899999996</v>
      </c>
      <c r="AE17" s="77"/>
      <c r="AF17" s="77"/>
      <c r="AG17" s="77"/>
      <c r="AH17" s="77"/>
      <c r="AI17" s="77"/>
      <c r="AJ17" s="77"/>
      <c r="AK17" s="77"/>
      <c r="AL17" s="77">
        <v>5.5183999999999997E-2</v>
      </c>
      <c r="AM17" s="77">
        <v>1010.8312989999999</v>
      </c>
      <c r="AN17" s="77">
        <v>522.51383299999998</v>
      </c>
      <c r="AO17" s="77">
        <v>800.848388</v>
      </c>
      <c r="AP17" s="77">
        <v>537.60418900000002</v>
      </c>
      <c r="AQ17" s="77">
        <v>782.99470499999995</v>
      </c>
      <c r="AR17" s="77">
        <v>545.00698299999999</v>
      </c>
      <c r="AS17" s="77">
        <v>4.9384999999999998E-2</v>
      </c>
      <c r="AT17" s="77">
        <v>950.40206699999999</v>
      </c>
      <c r="AU17" s="77">
        <v>483.71005400000001</v>
      </c>
      <c r="AV17" s="77">
        <v>747.06209100000001</v>
      </c>
      <c r="AW17" s="77">
        <v>498.04958599999998</v>
      </c>
      <c r="AX17" s="77">
        <v>738.37523499999998</v>
      </c>
      <c r="AY17" s="77">
        <v>521.28052400000001</v>
      </c>
      <c r="AZ17" s="77">
        <v>5.5114999999999997E-2</v>
      </c>
      <c r="BA17" s="77">
        <v>988.61907099999996</v>
      </c>
      <c r="BB17" s="77">
        <v>514.98900100000003</v>
      </c>
      <c r="BC17" s="77">
        <v>785.26891999999998</v>
      </c>
      <c r="BD17" s="77">
        <v>529.06789500000002</v>
      </c>
      <c r="BE17" s="77">
        <v>764.75163199999997</v>
      </c>
      <c r="BF17" s="77">
        <v>528.88052400000004</v>
      </c>
      <c r="BG17" s="77">
        <v>5.3473E-2</v>
      </c>
      <c r="BH17" s="77">
        <v>1098.556476</v>
      </c>
      <c r="BI17" s="77">
        <v>542.28743599999996</v>
      </c>
      <c r="BJ17" s="77">
        <v>841.15429600000004</v>
      </c>
      <c r="BK17" s="77">
        <v>560.51</v>
      </c>
      <c r="BL17" s="77">
        <v>829.64348700000005</v>
      </c>
      <c r="BM17" s="77">
        <v>588.00903400000004</v>
      </c>
      <c r="BN17" s="77">
        <v>5.2061999999999997E-2</v>
      </c>
      <c r="BO17" s="77">
        <v>1076.085102</v>
      </c>
      <c r="BP17" s="77">
        <v>540.86612100000002</v>
      </c>
      <c r="BQ17" s="77">
        <v>844.53659800000003</v>
      </c>
      <c r="BR17" s="77">
        <v>560.38887099999999</v>
      </c>
      <c r="BS17" s="77">
        <v>835.48348999999996</v>
      </c>
      <c r="BT17" s="77">
        <v>596.54022399999997</v>
      </c>
      <c r="BU17" s="77">
        <v>5.6211999999999998E-2</v>
      </c>
      <c r="BV17" s="77">
        <v>1033.094883</v>
      </c>
      <c r="BW17" s="77">
        <v>545.41976699999998</v>
      </c>
      <c r="BX17" s="77">
        <v>847.25345100000004</v>
      </c>
      <c r="BY17" s="77">
        <v>563.15307499999994</v>
      </c>
      <c r="BZ17" s="77">
        <v>828.13512900000001</v>
      </c>
      <c r="CA17" s="77">
        <v>584.21774200000004</v>
      </c>
      <c r="CB17" s="77">
        <v>5.5108999999999998E-2</v>
      </c>
      <c r="CC17" s="77">
        <v>1053.6502740000001</v>
      </c>
      <c r="CD17" s="77">
        <v>534.59688400000005</v>
      </c>
      <c r="CE17" s="77">
        <v>828.62973899999997</v>
      </c>
      <c r="CF17" s="77">
        <v>550.27322800000002</v>
      </c>
      <c r="CG17" s="77">
        <v>818.61888299999998</v>
      </c>
      <c r="CH17" s="77">
        <v>579.75570000000005</v>
      </c>
      <c r="CI17" s="77">
        <v>4.7466000000000001E-2</v>
      </c>
      <c r="CJ17" s="77">
        <v>980.68247199999996</v>
      </c>
      <c r="CK17" s="77">
        <v>497.21958100000001</v>
      </c>
      <c r="CL17" s="77">
        <v>762.45881499999996</v>
      </c>
      <c r="CM17" s="77">
        <v>513.12431700000002</v>
      </c>
      <c r="CN17" s="77">
        <v>763.63941399999999</v>
      </c>
      <c r="CO17" s="77">
        <v>538.86126000000002</v>
      </c>
      <c r="CP17" s="77">
        <v>5.3941999999999997E-2</v>
      </c>
      <c r="CQ17" s="77">
        <v>1116.392288</v>
      </c>
      <c r="CR17" s="77">
        <v>558.64707499999997</v>
      </c>
      <c r="CS17" s="77">
        <v>877.95070499999997</v>
      </c>
      <c r="CT17" s="77">
        <v>579.01935400000002</v>
      </c>
      <c r="CU17" s="77">
        <v>871.13964599999997</v>
      </c>
      <c r="CV17" s="77">
        <v>625.78479900000002</v>
      </c>
      <c r="CW17" s="77">
        <v>5.7655999999999999E-2</v>
      </c>
      <c r="CX17" s="77">
        <v>1159.567305</v>
      </c>
      <c r="CY17" s="77">
        <v>584.467758</v>
      </c>
      <c r="CZ17" s="77">
        <v>913.62473599999998</v>
      </c>
      <c r="DA17" s="77">
        <v>604.40528800000004</v>
      </c>
      <c r="DB17" s="77">
        <v>903.44744800000001</v>
      </c>
      <c r="DC17" s="77">
        <v>645.24347</v>
      </c>
      <c r="DD17" s="77">
        <v>5.4585000000000002E-2</v>
      </c>
      <c r="DE17" s="77">
        <v>1060.5874630000001</v>
      </c>
      <c r="DF17" s="77">
        <v>561.17837899999995</v>
      </c>
      <c r="DG17" s="77">
        <v>871.00672799999995</v>
      </c>
      <c r="DH17" s="77">
        <v>580.83290099999999</v>
      </c>
      <c r="DI17" s="77">
        <v>860.37638400000003</v>
      </c>
      <c r="DJ17" s="77">
        <v>609.84363699999994</v>
      </c>
      <c r="DK17" s="77">
        <v>5.4993E-2</v>
      </c>
      <c r="DL17" s="77">
        <v>1016.523681</v>
      </c>
      <c r="DM17" s="77">
        <v>500.88942700000001</v>
      </c>
      <c r="DN17" s="77">
        <v>775.97797300000002</v>
      </c>
      <c r="DO17" s="77">
        <v>514.24086899999998</v>
      </c>
      <c r="DP17" s="77">
        <v>757.13434700000005</v>
      </c>
      <c r="DQ17" s="77">
        <v>532.17335300000002</v>
      </c>
      <c r="DR17" s="77">
        <v>5.0194999999999997E-2</v>
      </c>
      <c r="DS17" s="77">
        <v>1027.3671300000001</v>
      </c>
      <c r="DT17" s="77">
        <v>523.47124099999996</v>
      </c>
      <c r="DU17" s="77">
        <v>807.15319899999997</v>
      </c>
      <c r="DV17" s="77">
        <v>541.65419899999995</v>
      </c>
      <c r="DW17" s="77">
        <v>800.02183000000002</v>
      </c>
      <c r="DX17" s="77">
        <v>564.45836699999995</v>
      </c>
      <c r="DY17" s="77">
        <v>5.1265999999999999E-2</v>
      </c>
      <c r="DZ17" s="77">
        <v>1085.116626</v>
      </c>
      <c r="EA17" s="77">
        <v>539.68489799999998</v>
      </c>
      <c r="EB17" s="77">
        <v>840.41906600000004</v>
      </c>
      <c r="EC17" s="77">
        <v>560.01539600000001</v>
      </c>
      <c r="ED17" s="77">
        <v>829.44277399999999</v>
      </c>
      <c r="EE17" s="77">
        <v>589.497477</v>
      </c>
      <c r="EF17" s="77">
        <v>5.0345000000000001E-2</v>
      </c>
      <c r="EG17" s="77">
        <v>993.94332899999995</v>
      </c>
      <c r="EH17" s="77">
        <v>509.77356900000001</v>
      </c>
      <c r="EI17" s="77">
        <v>794.83063500000003</v>
      </c>
      <c r="EJ17" s="77">
        <v>526.99116700000002</v>
      </c>
      <c r="EK17" s="77">
        <v>788.19624199999998</v>
      </c>
      <c r="EL17" s="77">
        <v>561.83160899999996</v>
      </c>
      <c r="EM17" s="77">
        <v>5.1685000000000002E-2</v>
      </c>
      <c r="EN17" s="77">
        <v>975.13973699999997</v>
      </c>
      <c r="EO17" s="77">
        <v>501.40365800000001</v>
      </c>
      <c r="EP17" s="77">
        <v>772.367436</v>
      </c>
      <c r="EQ17" s="77">
        <v>516.94853799999999</v>
      </c>
      <c r="ER17" s="77">
        <v>756.69068300000004</v>
      </c>
      <c r="ES17" s="77">
        <v>530.08069899999998</v>
      </c>
      <c r="ET17" s="77">
        <v>5.0502999999999999E-2</v>
      </c>
      <c r="EU17" s="77">
        <v>987.37862199999995</v>
      </c>
      <c r="EV17" s="77">
        <v>503.12931099999997</v>
      </c>
      <c r="EW17" s="77">
        <v>776.51834299999996</v>
      </c>
      <c r="EX17" s="77">
        <v>518.93039799999997</v>
      </c>
      <c r="EY17" s="77">
        <v>767.52669900000001</v>
      </c>
      <c r="EZ17" s="77">
        <v>541.29163400000004</v>
      </c>
      <c r="FA17" s="77">
        <v>6.0143000000000002E-2</v>
      </c>
      <c r="FB17" s="77">
        <v>1195.025447</v>
      </c>
      <c r="FC17" s="77">
        <v>584.68249300000002</v>
      </c>
      <c r="FD17" s="77">
        <v>919.92048999999997</v>
      </c>
      <c r="FE17" s="77">
        <v>604.28722600000003</v>
      </c>
      <c r="FF17" s="77">
        <v>904.51000999999997</v>
      </c>
      <c r="FG17" s="77">
        <v>647.20889199999999</v>
      </c>
      <c r="FH17" s="77">
        <v>5.5470999999999999E-2</v>
      </c>
      <c r="FI17" s="77">
        <v>1143.4999379999999</v>
      </c>
      <c r="FJ17" s="77">
        <v>595.68911300000002</v>
      </c>
      <c r="FK17" s="77">
        <v>927.12189899999998</v>
      </c>
      <c r="FL17" s="77">
        <v>618.86754199999996</v>
      </c>
      <c r="FM17" s="77">
        <v>917.83385199999998</v>
      </c>
      <c r="FN17" s="77">
        <v>652.68615899999998</v>
      </c>
      <c r="FO17" s="77">
        <v>5.6776E-2</v>
      </c>
      <c r="FP17" s="77">
        <v>1104.236028</v>
      </c>
      <c r="FQ17" s="77">
        <v>566.98452499999996</v>
      </c>
      <c r="FR17" s="77">
        <v>874.43063400000005</v>
      </c>
      <c r="FS17" s="77">
        <v>584.14672700000006</v>
      </c>
      <c r="FT17" s="77">
        <v>868.62226699999997</v>
      </c>
      <c r="FU17" s="77">
        <v>613.80253300000004</v>
      </c>
      <c r="FV17" s="77">
        <v>5.3338999999999998E-2</v>
      </c>
      <c r="FW17" s="77">
        <v>1036.22794</v>
      </c>
      <c r="FX17" s="77">
        <v>519.48687900000004</v>
      </c>
      <c r="FY17" s="77">
        <v>805.38287000000003</v>
      </c>
      <c r="FZ17" s="77">
        <v>534.85793799999999</v>
      </c>
      <c r="GA17" s="77">
        <v>795.75431000000003</v>
      </c>
      <c r="GB17" s="77">
        <v>563.78569800000002</v>
      </c>
      <c r="GC17" s="77">
        <v>5.3744E-2</v>
      </c>
      <c r="GD17" s="77">
        <v>1005.316174</v>
      </c>
      <c r="GE17" s="77">
        <v>536.99335199999996</v>
      </c>
      <c r="GF17" s="77">
        <v>836.44498799999997</v>
      </c>
      <c r="GG17" s="77">
        <v>555.81266700000003</v>
      </c>
      <c r="GH17" s="77">
        <v>821.43257300000005</v>
      </c>
      <c r="GI17" s="77">
        <v>581.91450599999996</v>
      </c>
      <c r="GJ17" s="77">
        <v>5.2736999999999999E-2</v>
      </c>
      <c r="GK17" s="77">
        <v>1058.586231</v>
      </c>
      <c r="GL17" s="77">
        <v>515.71975399999997</v>
      </c>
      <c r="GM17" s="77">
        <v>794.96584900000005</v>
      </c>
      <c r="GN17" s="77">
        <v>531.58078899999998</v>
      </c>
      <c r="GO17" s="77">
        <v>782.05830900000001</v>
      </c>
      <c r="GP17" s="77">
        <v>549.48102500000005</v>
      </c>
      <c r="GQ17" s="77">
        <v>5.0445999999999998E-2</v>
      </c>
      <c r="GR17" s="77">
        <v>961.43998599999998</v>
      </c>
      <c r="GS17" s="77">
        <v>494.71228500000001</v>
      </c>
      <c r="GT17" s="77">
        <v>759.63634100000002</v>
      </c>
      <c r="GU17" s="77">
        <v>509.85358300000001</v>
      </c>
      <c r="GV17" s="77">
        <v>746.21978100000001</v>
      </c>
      <c r="GW17" s="77">
        <v>522.13660400000003</v>
      </c>
      <c r="GX17" s="77">
        <v>4.9352E-2</v>
      </c>
      <c r="GY17" s="77">
        <v>1006.003643</v>
      </c>
      <c r="GZ17" s="77">
        <v>510.86081200000001</v>
      </c>
      <c r="HA17" s="77">
        <v>797.45609200000001</v>
      </c>
      <c r="HB17" s="77">
        <v>529.89188799999999</v>
      </c>
      <c r="HC17" s="77">
        <v>785.41151100000002</v>
      </c>
      <c r="HD17" s="77">
        <v>558.71228399999995</v>
      </c>
      <c r="HE17" s="77">
        <v>5.4677999999999997E-2</v>
      </c>
      <c r="HF17" s="77">
        <v>1099.4041279999999</v>
      </c>
      <c r="HG17" s="77">
        <v>554.35940500000004</v>
      </c>
      <c r="HH17" s="77">
        <v>865.11426100000006</v>
      </c>
      <c r="HI17" s="77">
        <v>573.52108299999998</v>
      </c>
      <c r="HJ17" s="77">
        <v>854.96693700000003</v>
      </c>
      <c r="HK17" s="77">
        <v>609.08745499999998</v>
      </c>
      <c r="HL17" s="77">
        <v>5.6827999999999997E-2</v>
      </c>
      <c r="HM17" s="77">
        <v>1054.629377</v>
      </c>
      <c r="HN17" s="77">
        <v>549.56244000000004</v>
      </c>
      <c r="HO17" s="77">
        <v>838.67742299999998</v>
      </c>
      <c r="HP17" s="77">
        <v>567.10934099999997</v>
      </c>
      <c r="HQ17" s="77">
        <v>822.52272300000004</v>
      </c>
      <c r="HR17" s="77">
        <v>571.00210300000003</v>
      </c>
      <c r="HS17" s="77">
        <v>5.0974999999999999E-2</v>
      </c>
      <c r="HT17" s="77">
        <v>1019.566615</v>
      </c>
      <c r="HU17" s="77">
        <v>512.07715700000006</v>
      </c>
      <c r="HV17" s="77">
        <v>782.07025799999997</v>
      </c>
      <c r="HW17" s="77">
        <v>528.173224</v>
      </c>
      <c r="HX17" s="77">
        <v>773.34310200000004</v>
      </c>
      <c r="HY17" s="77">
        <v>539.80078900000001</v>
      </c>
      <c r="HZ17" s="77">
        <v>5.1332000000000003E-2</v>
      </c>
      <c r="IA17" s="77">
        <v>1054.397393</v>
      </c>
      <c r="IB17" s="77">
        <v>542.53046199999994</v>
      </c>
      <c r="IC17" s="77">
        <v>842.17271100000005</v>
      </c>
      <c r="ID17" s="77">
        <v>561.83664999999996</v>
      </c>
      <c r="IE17" s="77">
        <v>831.50490500000001</v>
      </c>
      <c r="IF17" s="77">
        <v>588.849962</v>
      </c>
      <c r="IG17" s="77">
        <v>5.4292E-2</v>
      </c>
      <c r="IH17" s="77">
        <v>1178.6147129999999</v>
      </c>
      <c r="II17" s="77">
        <v>584.21933999999999</v>
      </c>
      <c r="IJ17" s="77">
        <v>932.39084400000002</v>
      </c>
      <c r="IK17" s="77">
        <v>608.48620700000004</v>
      </c>
      <c r="IL17" s="77">
        <v>925.952586</v>
      </c>
      <c r="IM17" s="77">
        <v>674.65309300000001</v>
      </c>
      <c r="IN17" s="77">
        <v>5.7440999999999999E-2</v>
      </c>
      <c r="IO17" s="77">
        <v>1172.8992579999999</v>
      </c>
      <c r="IP17" s="77">
        <v>592.37854400000003</v>
      </c>
      <c r="IQ17" s="77">
        <v>930.40957700000001</v>
      </c>
      <c r="IR17" s="77">
        <v>614.14069300000006</v>
      </c>
      <c r="IS17" s="77">
        <v>920.35856799999999</v>
      </c>
      <c r="IT17" s="77">
        <v>659.81207199999994</v>
      </c>
      <c r="IU17" s="77">
        <v>5.8108E-2</v>
      </c>
      <c r="IV17" s="77">
        <v>1165.5165830000001</v>
      </c>
      <c r="IW17" s="77">
        <v>573.80967999999996</v>
      </c>
      <c r="IX17" s="77">
        <v>906.90439900000001</v>
      </c>
      <c r="IY17" s="77">
        <v>592.88509299999998</v>
      </c>
      <c r="IZ17" s="77">
        <v>898.20210599999996</v>
      </c>
      <c r="JA17" s="77">
        <v>648.10711800000001</v>
      </c>
      <c r="JB17" s="77">
        <v>5.5418000000000002E-2</v>
      </c>
      <c r="JC17" s="77">
        <v>1127.831441</v>
      </c>
      <c r="JD17" s="77">
        <v>564.44208600000002</v>
      </c>
      <c r="JE17" s="77">
        <v>886.41327899999999</v>
      </c>
      <c r="JF17" s="77">
        <v>583.18698800000004</v>
      </c>
      <c r="JG17" s="77">
        <v>884.40636600000005</v>
      </c>
      <c r="JH17" s="77">
        <v>636.90551100000005</v>
      </c>
      <c r="JI17" s="77">
        <v>5.7243000000000002E-2</v>
      </c>
      <c r="JJ17" s="77">
        <v>1143.1592920000001</v>
      </c>
      <c r="JK17" s="77">
        <v>582.71556799999996</v>
      </c>
      <c r="JL17" s="77">
        <v>911.58573000000001</v>
      </c>
      <c r="JM17" s="77">
        <v>602.29249200000004</v>
      </c>
      <c r="JN17" s="77">
        <v>906.44332199999997</v>
      </c>
      <c r="JO17" s="77">
        <v>649.32718599999998</v>
      </c>
      <c r="JP17" s="77">
        <v>5.4769999999999999E-2</v>
      </c>
      <c r="JQ17" s="77">
        <v>1058.3341350000001</v>
      </c>
      <c r="JR17" s="77">
        <v>570.33889199999999</v>
      </c>
      <c r="JS17" s="77">
        <v>841.88660100000004</v>
      </c>
      <c r="JT17" s="77">
        <v>586.96314800000005</v>
      </c>
      <c r="JU17" s="77">
        <v>832.68757500000004</v>
      </c>
      <c r="JV17" s="77">
        <v>562.52418599999999</v>
      </c>
      <c r="JW17" s="77">
        <v>1.2218800000000001</v>
      </c>
      <c r="JX17" s="77">
        <v>1809.7861909999999</v>
      </c>
      <c r="JY17" s="77">
        <v>851.51816899999994</v>
      </c>
      <c r="JZ17" s="77">
        <v>1408.089831</v>
      </c>
      <c r="KA17" s="77">
        <v>852.838932</v>
      </c>
      <c r="KB17" s="77">
        <v>1.2188829999999999</v>
      </c>
      <c r="KC17" s="77">
        <v>1.301453</v>
      </c>
      <c r="KD17" s="77">
        <v>664.93209200000001</v>
      </c>
      <c r="KE17" s="77">
        <v>719.12197000000003</v>
      </c>
      <c r="KF17" s="77">
        <v>788.70984999999996</v>
      </c>
      <c r="KG17" s="77">
        <v>736.56401900000003</v>
      </c>
      <c r="KH17" s="77">
        <v>724.83451200000002</v>
      </c>
      <c r="KI17" s="77">
        <v>679.53265399999998</v>
      </c>
      <c r="KJ17" s="77">
        <v>767.91263500000002</v>
      </c>
      <c r="KK17" s="77">
        <v>640.99658199999999</v>
      </c>
      <c r="KL17" s="77">
        <v>694.47386800000004</v>
      </c>
      <c r="KM17" s="77">
        <v>776.82616299999995</v>
      </c>
      <c r="KN17" s="77">
        <v>724.740093</v>
      </c>
      <c r="KO17" s="77">
        <v>712.11174700000004</v>
      </c>
      <c r="KP17" s="77">
        <v>668.11656300000004</v>
      </c>
      <c r="KQ17" s="77">
        <v>758.11930500000005</v>
      </c>
      <c r="KR17" s="77">
        <v>636.04540799999995</v>
      </c>
      <c r="KS17" s="77">
        <v>689.12834099999998</v>
      </c>
      <c r="KT17" s="77">
        <v>759.12611700000002</v>
      </c>
      <c r="KU17" s="77">
        <v>707.86364800000001</v>
      </c>
      <c r="KV17" s="77">
        <v>692.91301199999998</v>
      </c>
      <c r="KW17" s="77">
        <v>653.04992400000003</v>
      </c>
      <c r="KX17" s="77">
        <v>746.40694199999996</v>
      </c>
      <c r="KY17" s="77">
        <v>566.95008499999994</v>
      </c>
      <c r="KZ17" s="77">
        <v>614.62257799999998</v>
      </c>
      <c r="LA17" s="77">
        <v>682.82155</v>
      </c>
      <c r="LB17" s="77">
        <v>636.568758</v>
      </c>
      <c r="LC17" s="77">
        <v>623.23812499999997</v>
      </c>
      <c r="LD17" s="77">
        <v>586.93205399999999</v>
      </c>
      <c r="LE17" s="77">
        <v>670.90770899999995</v>
      </c>
      <c r="LF17" s="77">
        <v>609.57878800000003</v>
      </c>
      <c r="LG17" s="77">
        <v>659.99018100000001</v>
      </c>
      <c r="LH17" s="77">
        <v>736.55123500000002</v>
      </c>
      <c r="LI17" s="77">
        <v>687.50552900000002</v>
      </c>
      <c r="LJ17" s="77">
        <v>675.19428500000004</v>
      </c>
      <c r="LK17" s="77">
        <v>634.16302099999996</v>
      </c>
      <c r="LL17" s="77">
        <v>719.770216</v>
      </c>
      <c r="LM17" s="77">
        <v>589.09531800000002</v>
      </c>
      <c r="LN17" s="77">
        <v>638.86709099999996</v>
      </c>
      <c r="LO17" s="77">
        <v>705.144361</v>
      </c>
      <c r="LP17" s="77">
        <v>657.06256299999995</v>
      </c>
      <c r="LQ17" s="77">
        <v>644.38524800000005</v>
      </c>
      <c r="LR17" s="77">
        <v>605.41415099999995</v>
      </c>
      <c r="LS17" s="77">
        <v>690.34033299999999</v>
      </c>
      <c r="LT17" s="77">
        <v>571.71071700000005</v>
      </c>
      <c r="LU17" s="77">
        <v>619.72448999999995</v>
      </c>
      <c r="LV17" s="77">
        <v>687.58147099999996</v>
      </c>
      <c r="LW17" s="77">
        <v>641.00710000000004</v>
      </c>
      <c r="LX17" s="77">
        <v>628.52387099999999</v>
      </c>
      <c r="LY17" s="77">
        <v>591.17008399999997</v>
      </c>
      <c r="LZ17" s="77">
        <v>673.77712099999997</v>
      </c>
      <c r="MA17" s="77">
        <v>574.58073200000001</v>
      </c>
      <c r="MB17" s="77">
        <v>623.18006500000001</v>
      </c>
      <c r="MC17" s="77">
        <v>714.92462399999999</v>
      </c>
      <c r="MD17" s="77">
        <v>666.81408999999996</v>
      </c>
      <c r="ME17" s="77">
        <v>654.45458599999995</v>
      </c>
      <c r="MF17" s="77">
        <v>614.90833799999996</v>
      </c>
      <c r="MG17" s="77">
        <v>699.30715999999995</v>
      </c>
      <c r="MH17" s="77">
        <v>617.00198</v>
      </c>
      <c r="MI17" s="77">
        <v>667.09358799999995</v>
      </c>
      <c r="MJ17" s="77">
        <v>712.11806100000001</v>
      </c>
      <c r="MK17" s="77">
        <v>664.74959999999999</v>
      </c>
      <c r="ML17" s="77">
        <v>652.00022300000001</v>
      </c>
      <c r="MM17" s="77">
        <v>613.23996699999998</v>
      </c>
      <c r="MN17" s="77">
        <v>697.65423599999997</v>
      </c>
      <c r="MO17" s="77">
        <v>583.09689400000002</v>
      </c>
      <c r="MP17" s="77">
        <v>631.23482000000001</v>
      </c>
      <c r="MQ17" s="77">
        <v>700.15745000000004</v>
      </c>
      <c r="MR17" s="77">
        <v>653.50417500000003</v>
      </c>
      <c r="MS17" s="77">
        <v>641.18361400000003</v>
      </c>
      <c r="MT17" s="77">
        <v>602.84689500000002</v>
      </c>
      <c r="MU17" s="77">
        <v>685.48224800000003</v>
      </c>
      <c r="MV17" s="77">
        <v>583.16518299999996</v>
      </c>
      <c r="MW17" s="77">
        <v>632.30638499999998</v>
      </c>
      <c r="MX17" s="77">
        <v>714.27558499999998</v>
      </c>
      <c r="MY17" s="77">
        <v>666.10902499999997</v>
      </c>
      <c r="MZ17" s="77">
        <v>654.33460500000001</v>
      </c>
      <c r="NA17" s="77">
        <v>614.01154299999996</v>
      </c>
      <c r="NB17" s="77">
        <v>697.34265000000005</v>
      </c>
      <c r="NC17" s="77">
        <v>604.47222699999998</v>
      </c>
      <c r="ND17" s="77">
        <v>655.09601599999996</v>
      </c>
      <c r="NE17" s="77">
        <v>714.15889200000004</v>
      </c>
      <c r="NF17" s="77">
        <v>665.60954300000003</v>
      </c>
      <c r="NG17" s="77">
        <v>652.98879999999997</v>
      </c>
      <c r="NH17" s="77">
        <v>613.52904000000001</v>
      </c>
      <c r="NI17" s="77">
        <v>698.89245800000003</v>
      </c>
      <c r="NJ17" s="77">
        <v>566.06960800000002</v>
      </c>
      <c r="NK17" s="77">
        <v>614.33003099999996</v>
      </c>
      <c r="NL17" s="77">
        <v>682.16175899999996</v>
      </c>
      <c r="NM17" s="77">
        <v>635.35821499999997</v>
      </c>
      <c r="NN17" s="77">
        <v>623.37047900000005</v>
      </c>
      <c r="NO17" s="77">
        <v>585.27614200000005</v>
      </c>
      <c r="NP17" s="77">
        <v>667.16304400000001</v>
      </c>
      <c r="NQ17" s="77">
        <v>580.20063900000002</v>
      </c>
      <c r="NR17" s="77">
        <v>628.89061300000003</v>
      </c>
      <c r="NS17" s="77">
        <v>691.76828899999998</v>
      </c>
      <c r="NT17" s="77">
        <v>644.83642699999996</v>
      </c>
      <c r="NU17" s="77">
        <v>632.094877</v>
      </c>
      <c r="NV17" s="77">
        <v>594.28961100000004</v>
      </c>
      <c r="NW17" s="77">
        <v>677.975008</v>
      </c>
      <c r="NX17" s="77">
        <v>598.97743100000002</v>
      </c>
      <c r="NY17" s="77">
        <v>647.97923700000001</v>
      </c>
      <c r="NZ17" s="77">
        <v>724.99676499999998</v>
      </c>
      <c r="OA17" s="77">
        <v>677.21609899999999</v>
      </c>
      <c r="OB17" s="77">
        <v>665.127748</v>
      </c>
      <c r="OC17" s="77">
        <v>625.19534599999997</v>
      </c>
      <c r="OD17" s="77">
        <v>708.80494399999998</v>
      </c>
      <c r="OE17" s="77">
        <v>536.83889599999998</v>
      </c>
      <c r="OF17" s="77">
        <v>582.29496200000006</v>
      </c>
      <c r="OG17" s="77">
        <v>646.70880199999999</v>
      </c>
      <c r="OH17" s="77">
        <v>602.61140599999999</v>
      </c>
      <c r="OI17" s="77">
        <v>590.55131600000004</v>
      </c>
      <c r="OJ17" s="77">
        <v>555.41769899999997</v>
      </c>
      <c r="OK17" s="77">
        <v>634.12083299999995</v>
      </c>
      <c r="OL17" s="77">
        <v>546.92711299999996</v>
      </c>
      <c r="OM17" s="77">
        <v>593.07189200000005</v>
      </c>
      <c r="ON17" s="77">
        <v>694.433311</v>
      </c>
      <c r="OO17" s="77">
        <v>648.14037699999994</v>
      </c>
      <c r="OP17" s="77">
        <v>636.00192600000003</v>
      </c>
      <c r="OQ17" s="77">
        <v>598.11990900000001</v>
      </c>
      <c r="OR17" s="77">
        <v>679.85432000000003</v>
      </c>
      <c r="OS17" s="77">
        <v>543.14652599999999</v>
      </c>
      <c r="OT17" s="77">
        <v>588.52909799999998</v>
      </c>
      <c r="OU17" s="77">
        <v>617.96806800000002</v>
      </c>
      <c r="OV17" s="77">
        <v>575.45829200000003</v>
      </c>
      <c r="OW17" s="77">
        <v>564.52603899999997</v>
      </c>
      <c r="OX17" s="77">
        <v>529.98898799999995</v>
      </c>
      <c r="OY17" s="77">
        <v>604.44671600000004</v>
      </c>
      <c r="OZ17" s="77">
        <v>535.52375600000005</v>
      </c>
      <c r="PA17" s="77">
        <v>580.56537500000002</v>
      </c>
      <c r="PB17" s="77">
        <v>644.40748199999996</v>
      </c>
      <c r="PC17" s="77">
        <v>600.68431799999996</v>
      </c>
      <c r="PD17" s="77">
        <v>588.06989199999998</v>
      </c>
      <c r="PE17" s="77">
        <v>554.19950200000005</v>
      </c>
      <c r="PF17" s="77">
        <v>633.453757</v>
      </c>
      <c r="PG17" s="77">
        <v>595.15540199999998</v>
      </c>
      <c r="PH17" s="77">
        <v>644.33738800000003</v>
      </c>
      <c r="PI17" s="77">
        <v>701.82779800000003</v>
      </c>
      <c r="PJ17" s="77">
        <v>654.70385299999998</v>
      </c>
      <c r="PK17" s="77">
        <v>642.67683499999998</v>
      </c>
      <c r="PL17" s="77">
        <v>603.70715099999995</v>
      </c>
      <c r="PM17" s="77">
        <v>686.27035100000001</v>
      </c>
      <c r="PN17" s="77">
        <v>589.87835600000005</v>
      </c>
      <c r="PO17" s="77">
        <v>638.68090400000006</v>
      </c>
      <c r="PP17" s="77">
        <v>721.35353399999997</v>
      </c>
      <c r="PQ17" s="77">
        <v>673.52700700000003</v>
      </c>
      <c r="PR17" s="77">
        <v>662.13340300000004</v>
      </c>
      <c r="PS17" s="77">
        <v>621.20044399999995</v>
      </c>
      <c r="PT17" s="77">
        <v>703.55233199999998</v>
      </c>
      <c r="PU17" s="77">
        <v>578.40719799999999</v>
      </c>
      <c r="PV17" s="77">
        <v>626.24074800000005</v>
      </c>
      <c r="PW17" s="77">
        <v>694.08692900000005</v>
      </c>
      <c r="PX17" s="77">
        <v>647.71975899999995</v>
      </c>
      <c r="PY17" s="77">
        <v>635.82715499999995</v>
      </c>
      <c r="PZ17" s="77">
        <v>597.66682300000002</v>
      </c>
      <c r="QA17" s="77">
        <v>678.97878100000003</v>
      </c>
      <c r="QB17" s="77">
        <v>568.08223099999998</v>
      </c>
      <c r="QC17" s="77">
        <v>616.733835</v>
      </c>
      <c r="QD17" s="77">
        <v>684.88970700000004</v>
      </c>
      <c r="QE17" s="77">
        <v>637.71510000000001</v>
      </c>
      <c r="QF17" s="77">
        <v>626.02043500000002</v>
      </c>
      <c r="QG17" s="77">
        <v>587.21092999999996</v>
      </c>
      <c r="QH17" s="77">
        <v>668.97094300000003</v>
      </c>
      <c r="QI17" s="77">
        <v>526.93251999999995</v>
      </c>
      <c r="QJ17" s="77">
        <v>572.63044100000002</v>
      </c>
      <c r="QK17" s="77">
        <v>637.20753300000001</v>
      </c>
      <c r="QL17" s="77">
        <v>592.86614699999996</v>
      </c>
      <c r="QM17" s="77">
        <v>580.67824099999996</v>
      </c>
      <c r="QN17" s="77">
        <v>545.57131000000004</v>
      </c>
      <c r="QO17" s="77">
        <v>624.77685599999995</v>
      </c>
      <c r="QP17" s="77">
        <v>603.29062499999998</v>
      </c>
      <c r="QQ17" s="77">
        <v>653.79135799999995</v>
      </c>
      <c r="QR17" s="77">
        <v>725.13444000000004</v>
      </c>
      <c r="QS17" s="77">
        <v>676.22100799999998</v>
      </c>
    </row>
    <row r="18" spans="6:461" x14ac:dyDescent="0.25">
      <c r="F18" s="76" t="str">
        <f xml:space="preserve"> _xll.EPMOlapMemberO("[PRDDESCR].[].[HELGAS GFREE TRAD WHITE 470G]","","HELGAS GFREE TRAD WHITE 470G","","000")</f>
        <v>HELGAS GFREE TRAD WHITE 470G</v>
      </c>
      <c r="G18" s="76" t="str">
        <f xml:space="preserve"> _xll.EPMOlapMemberO("[PRDID].[].[168846]","","168846","","000")</f>
        <v>168846</v>
      </c>
      <c r="H18" s="76" t="str">
        <f xml:space="preserve"> _xll.EPMOlapMemberO("[LOCID].[].[6120]","","6120","","000")</f>
        <v>6120</v>
      </c>
      <c r="I18" s="76" t="str">
        <f xml:space="preserve"> _xll.EPMOlapMemberO("[LOCDESCR].[].[QBA-Hobart]","","QBA-Hobart","","000")</f>
        <v>QBA-Hobart</v>
      </c>
      <c r="J18" s="76" t="str">
        <f xml:space="preserve"> _xll.EPMOlapMemberO("[KEY_FIGURES].[].[ZGFAPPROVEDFCSTQTY]","","Approved Forecast","","000")</f>
        <v>Approved Forecast</v>
      </c>
      <c r="K18" s="77">
        <v>0.15498000000000001</v>
      </c>
      <c r="L18" s="77">
        <v>123.78188900000001</v>
      </c>
      <c r="M18" s="77">
        <v>0.29985600000000001</v>
      </c>
      <c r="N18" s="77">
        <v>124.100583</v>
      </c>
      <c r="O18" s="77">
        <v>8.1886740000000007</v>
      </c>
      <c r="P18" s="77">
        <v>0.21079500000000001</v>
      </c>
      <c r="Q18" s="77">
        <v>143.369485</v>
      </c>
      <c r="R18" s="77">
        <v>0.14472399999999999</v>
      </c>
      <c r="S18" s="77">
        <v>124.80636199999999</v>
      </c>
      <c r="T18" s="77">
        <v>0.30069699999999999</v>
      </c>
      <c r="U18" s="77">
        <v>126.766763</v>
      </c>
      <c r="V18" s="77">
        <v>8.2114390000000004</v>
      </c>
      <c r="W18" s="77">
        <v>0.21154300000000001</v>
      </c>
      <c r="X18" s="77">
        <v>184.47778199999999</v>
      </c>
      <c r="Y18" s="77">
        <v>0.290076</v>
      </c>
      <c r="Z18" s="77">
        <v>146.68297699999999</v>
      </c>
      <c r="AA18" s="77">
        <v>9.5834000000000003E-2</v>
      </c>
      <c r="AB18" s="77">
        <v>177.22810100000001</v>
      </c>
      <c r="AC18" s="77">
        <v>0</v>
      </c>
      <c r="AD18" s="77">
        <v>0</v>
      </c>
      <c r="AE18" s="77"/>
      <c r="AF18" s="77"/>
      <c r="AG18" s="77"/>
      <c r="AH18" s="77"/>
      <c r="AI18" s="77"/>
      <c r="AJ18" s="77"/>
      <c r="AK18" s="77"/>
      <c r="AL18" s="77">
        <v>203.34696099999999</v>
      </c>
      <c r="AM18" s="77">
        <v>0.27778999999999998</v>
      </c>
      <c r="AN18" s="77">
        <v>167.38415699999999</v>
      </c>
      <c r="AO18" s="77">
        <v>9.1775999999999996E-2</v>
      </c>
      <c r="AP18" s="77">
        <v>202.90905699999999</v>
      </c>
      <c r="AQ18" s="77">
        <v>0</v>
      </c>
      <c r="AR18" s="77">
        <v>0</v>
      </c>
      <c r="AS18" s="77">
        <v>203.54419200000001</v>
      </c>
      <c r="AT18" s="77">
        <v>0.280802</v>
      </c>
      <c r="AU18" s="77">
        <v>167.15213700000001</v>
      </c>
      <c r="AV18" s="77">
        <v>9.2770000000000005E-2</v>
      </c>
      <c r="AW18" s="77">
        <v>202.68972199999999</v>
      </c>
      <c r="AX18" s="77">
        <v>0</v>
      </c>
      <c r="AY18" s="77">
        <v>0</v>
      </c>
      <c r="AZ18" s="77">
        <v>209.097262</v>
      </c>
      <c r="BA18" s="77">
        <v>0.29596</v>
      </c>
      <c r="BB18" s="77">
        <v>170.63437099999999</v>
      </c>
      <c r="BC18" s="77">
        <v>9.7778000000000004E-2</v>
      </c>
      <c r="BD18" s="77">
        <v>207.08198200000001</v>
      </c>
      <c r="BE18" s="77">
        <v>0</v>
      </c>
      <c r="BF18" s="77">
        <v>0</v>
      </c>
      <c r="BG18" s="77">
        <v>184.64813799999999</v>
      </c>
      <c r="BH18" s="77">
        <v>0.244614</v>
      </c>
      <c r="BI18" s="77">
        <v>150.63249999999999</v>
      </c>
      <c r="BJ18" s="77">
        <v>8.0814999999999998E-2</v>
      </c>
      <c r="BK18" s="77">
        <v>182.52568500000001</v>
      </c>
      <c r="BL18" s="77">
        <v>0</v>
      </c>
      <c r="BM18" s="77">
        <v>0</v>
      </c>
      <c r="BN18" s="77">
        <v>182.288783</v>
      </c>
      <c r="BO18" s="77">
        <v>0.230686</v>
      </c>
      <c r="BP18" s="77">
        <v>152.07938100000001</v>
      </c>
      <c r="BQ18" s="77">
        <v>7.6213000000000003E-2</v>
      </c>
      <c r="BR18" s="77">
        <v>183.984633</v>
      </c>
      <c r="BS18" s="77">
        <v>0</v>
      </c>
      <c r="BT18" s="77">
        <v>0</v>
      </c>
      <c r="BU18" s="77">
        <v>189.44868600000001</v>
      </c>
      <c r="BV18" s="77">
        <v>0.24890699999999999</v>
      </c>
      <c r="BW18" s="77">
        <v>160.71707799999999</v>
      </c>
      <c r="BX18" s="77">
        <v>8.2232E-2</v>
      </c>
      <c r="BY18" s="77">
        <v>194.50209699999999</v>
      </c>
      <c r="BZ18" s="77">
        <v>0</v>
      </c>
      <c r="CA18" s="77">
        <v>0</v>
      </c>
      <c r="CB18" s="77">
        <v>208.39275799999999</v>
      </c>
      <c r="CC18" s="77">
        <v>0.26516200000000001</v>
      </c>
      <c r="CD18" s="77">
        <v>174.344764</v>
      </c>
      <c r="CE18" s="77">
        <v>8.7603E-2</v>
      </c>
      <c r="CF18" s="77">
        <v>210.90609499999999</v>
      </c>
      <c r="CG18" s="77">
        <v>0</v>
      </c>
      <c r="CH18" s="77">
        <v>0</v>
      </c>
      <c r="CI18" s="77">
        <v>152.971103</v>
      </c>
      <c r="CJ18" s="77">
        <v>0.21155399999999999</v>
      </c>
      <c r="CK18" s="77">
        <v>125.546283</v>
      </c>
      <c r="CL18" s="77">
        <v>6.9891999999999996E-2</v>
      </c>
      <c r="CM18" s="77">
        <v>152.249966</v>
      </c>
      <c r="CN18" s="77">
        <v>0</v>
      </c>
      <c r="CO18" s="77">
        <v>0</v>
      </c>
      <c r="CP18" s="77">
        <v>233.12069099999999</v>
      </c>
      <c r="CQ18" s="77">
        <v>0.28418300000000002</v>
      </c>
      <c r="CR18" s="77">
        <v>197.304731</v>
      </c>
      <c r="CS18" s="77">
        <v>9.3886999999999998E-2</v>
      </c>
      <c r="CT18" s="77">
        <v>237.71923699999999</v>
      </c>
      <c r="CU18" s="77">
        <v>0</v>
      </c>
      <c r="CV18" s="77">
        <v>0</v>
      </c>
      <c r="CW18" s="77">
        <v>216.954399</v>
      </c>
      <c r="CX18" s="77">
        <v>0.229489</v>
      </c>
      <c r="CY18" s="77">
        <v>188.442238</v>
      </c>
      <c r="CZ18" s="77">
        <v>7.5816999999999996E-2</v>
      </c>
      <c r="DA18" s="77">
        <v>226.58709200000001</v>
      </c>
      <c r="DB18" s="77">
        <v>0</v>
      </c>
      <c r="DC18" s="77">
        <v>0</v>
      </c>
      <c r="DD18" s="77">
        <v>270.80742299999997</v>
      </c>
      <c r="DE18" s="77">
        <v>0.27207999999999999</v>
      </c>
      <c r="DF18" s="77">
        <v>253.55361300000001</v>
      </c>
      <c r="DG18" s="77">
        <v>8.9888999999999997E-2</v>
      </c>
      <c r="DH18" s="77">
        <v>304.71347800000001</v>
      </c>
      <c r="DI18" s="77">
        <v>0</v>
      </c>
      <c r="DJ18" s="77">
        <v>0</v>
      </c>
      <c r="DK18" s="77">
        <v>251.29037299999999</v>
      </c>
      <c r="DL18" s="77">
        <v>0.25397399999999998</v>
      </c>
      <c r="DM18" s="77">
        <v>206.187613</v>
      </c>
      <c r="DN18" s="77">
        <v>8.3907999999999996E-2</v>
      </c>
      <c r="DO18" s="77">
        <v>248.33963900000001</v>
      </c>
      <c r="DP18" s="77">
        <v>0</v>
      </c>
      <c r="DQ18" s="77">
        <v>0</v>
      </c>
      <c r="DR18" s="77">
        <v>233.975122</v>
      </c>
      <c r="DS18" s="77">
        <v>0.238259</v>
      </c>
      <c r="DT18" s="77">
        <v>204.34836799999999</v>
      </c>
      <c r="DU18" s="77">
        <v>7.8716999999999995E-2</v>
      </c>
      <c r="DV18" s="77">
        <v>245.80735999999999</v>
      </c>
      <c r="DW18" s="77">
        <v>0</v>
      </c>
      <c r="DX18" s="77">
        <v>0</v>
      </c>
      <c r="DY18" s="77">
        <v>261.20392500000003</v>
      </c>
      <c r="DZ18" s="77">
        <v>0.27882699999999999</v>
      </c>
      <c r="EA18" s="77">
        <v>220.928325</v>
      </c>
      <c r="EB18" s="77">
        <v>9.2119000000000006E-2</v>
      </c>
      <c r="EC18" s="77">
        <v>266.26005400000003</v>
      </c>
      <c r="ED18" s="77">
        <v>0</v>
      </c>
      <c r="EE18" s="77">
        <v>0</v>
      </c>
      <c r="EF18" s="77">
        <v>240.86218099999999</v>
      </c>
      <c r="EG18" s="77">
        <v>0.24293400000000001</v>
      </c>
      <c r="EH18" s="77">
        <v>216.172282</v>
      </c>
      <c r="EI18" s="77">
        <v>8.0259999999999998E-2</v>
      </c>
      <c r="EJ18" s="77">
        <v>259.94002699999999</v>
      </c>
      <c r="EK18" s="77">
        <v>0</v>
      </c>
      <c r="EL18" s="77">
        <v>0</v>
      </c>
      <c r="EM18" s="77">
        <v>250.767841</v>
      </c>
      <c r="EN18" s="77">
        <v>0.26593099999999997</v>
      </c>
      <c r="EO18" s="77">
        <v>217.693904</v>
      </c>
      <c r="EP18" s="77">
        <v>8.7857000000000005E-2</v>
      </c>
      <c r="EQ18" s="77">
        <v>261.80381599999998</v>
      </c>
      <c r="ER18" s="77">
        <v>0</v>
      </c>
      <c r="ES18" s="77">
        <v>0</v>
      </c>
      <c r="ET18" s="77">
        <v>248.154932</v>
      </c>
      <c r="EU18" s="77">
        <v>0.27315099999999998</v>
      </c>
      <c r="EV18" s="77">
        <v>213.73696699999999</v>
      </c>
      <c r="EW18" s="77">
        <v>9.0243000000000004E-2</v>
      </c>
      <c r="EX18" s="77">
        <v>257.61241000000001</v>
      </c>
      <c r="EY18" s="77">
        <v>0</v>
      </c>
      <c r="EZ18" s="77">
        <v>0</v>
      </c>
      <c r="FA18" s="77">
        <v>232.24734599999999</v>
      </c>
      <c r="FB18" s="77">
        <v>0.23622199999999999</v>
      </c>
      <c r="FC18" s="77">
        <v>195.61571499999999</v>
      </c>
      <c r="FD18" s="77">
        <v>7.8040999999999999E-2</v>
      </c>
      <c r="FE18" s="77">
        <v>235.290029</v>
      </c>
      <c r="FF18" s="77">
        <v>0</v>
      </c>
      <c r="FG18" s="77">
        <v>0</v>
      </c>
      <c r="FH18" s="77">
        <v>250.50372400000001</v>
      </c>
      <c r="FI18" s="77">
        <v>0.26897700000000002</v>
      </c>
      <c r="FJ18" s="77">
        <v>224.91918899999999</v>
      </c>
      <c r="FK18" s="77">
        <v>8.8865E-2</v>
      </c>
      <c r="FL18" s="77">
        <v>270.59100699999999</v>
      </c>
      <c r="FM18" s="77">
        <v>0</v>
      </c>
      <c r="FN18" s="77">
        <v>0</v>
      </c>
      <c r="FO18" s="77">
        <v>229.317094</v>
      </c>
      <c r="FP18" s="77">
        <v>0.238007</v>
      </c>
      <c r="FQ18" s="77">
        <v>206.138845</v>
      </c>
      <c r="FR18" s="77">
        <v>8.3987000000000006E-2</v>
      </c>
      <c r="FS18" s="77">
        <v>248.021648</v>
      </c>
      <c r="FT18" s="77">
        <v>0</v>
      </c>
      <c r="FU18" s="77">
        <v>0</v>
      </c>
      <c r="FV18" s="77">
        <v>210.77313100000001</v>
      </c>
      <c r="FW18" s="77">
        <v>0.24349299999999999</v>
      </c>
      <c r="FX18" s="77">
        <v>173.79122000000001</v>
      </c>
      <c r="FY18" s="77">
        <v>7.5315999999999994E-2</v>
      </c>
      <c r="FZ18" s="77">
        <v>209.57386</v>
      </c>
      <c r="GA18" s="77">
        <v>0</v>
      </c>
      <c r="GB18" s="77">
        <v>0</v>
      </c>
      <c r="GC18" s="77">
        <v>222.94507999999999</v>
      </c>
      <c r="GD18" s="77">
        <v>0.230598</v>
      </c>
      <c r="GE18" s="77">
        <v>210.19150400000001</v>
      </c>
      <c r="GF18" s="77">
        <v>7.6185000000000003E-2</v>
      </c>
      <c r="GG18" s="77">
        <v>252.69329300000001</v>
      </c>
      <c r="GH18" s="77">
        <v>0</v>
      </c>
      <c r="GI18" s="77">
        <v>0</v>
      </c>
      <c r="GJ18" s="77">
        <v>295.65613300000001</v>
      </c>
      <c r="GK18" s="77">
        <v>0.28451500000000002</v>
      </c>
      <c r="GL18" s="77">
        <v>240.740557</v>
      </c>
      <c r="GM18" s="77">
        <v>9.3996999999999997E-2</v>
      </c>
      <c r="GN18" s="77">
        <v>289.60921999999999</v>
      </c>
      <c r="GO18" s="77">
        <v>0</v>
      </c>
      <c r="GP18" s="77">
        <v>0</v>
      </c>
      <c r="GQ18" s="77">
        <v>179.173923</v>
      </c>
      <c r="GR18" s="77">
        <v>0.18273600000000001</v>
      </c>
      <c r="GS18" s="77">
        <v>156.45206300000001</v>
      </c>
      <c r="GT18" s="77">
        <v>6.0372000000000002E-2</v>
      </c>
      <c r="GU18" s="77">
        <v>188.19116299999999</v>
      </c>
      <c r="GV18" s="77">
        <v>0</v>
      </c>
      <c r="GW18" s="77">
        <v>0</v>
      </c>
      <c r="GX18" s="77">
        <v>235.00448499999999</v>
      </c>
      <c r="GY18" s="77">
        <v>0.24266499999999999</v>
      </c>
      <c r="GZ18" s="77">
        <v>205.70126999999999</v>
      </c>
      <c r="HA18" s="77">
        <v>8.0171000000000006E-2</v>
      </c>
      <c r="HB18" s="77">
        <v>247.60230200000001</v>
      </c>
      <c r="HC18" s="77">
        <v>0</v>
      </c>
      <c r="HD18" s="77">
        <v>0</v>
      </c>
      <c r="HE18" s="77">
        <v>178.44931</v>
      </c>
      <c r="HF18" s="77">
        <v>0.15310000000000001</v>
      </c>
      <c r="HG18" s="77">
        <v>159.07477499999999</v>
      </c>
      <c r="HH18" s="77">
        <v>5.0581000000000001E-2</v>
      </c>
      <c r="HI18" s="77">
        <v>190.814212</v>
      </c>
      <c r="HJ18" s="77">
        <v>0</v>
      </c>
      <c r="HK18" s="77">
        <v>0</v>
      </c>
      <c r="HL18" s="77">
        <v>216.19170299999999</v>
      </c>
      <c r="HM18" s="77">
        <v>0.21371399999999999</v>
      </c>
      <c r="HN18" s="77">
        <v>199.30780300000001</v>
      </c>
      <c r="HO18" s="77">
        <v>7.8612000000000001E-2</v>
      </c>
      <c r="HP18" s="77">
        <v>239.78251</v>
      </c>
      <c r="HQ18" s="77">
        <v>0</v>
      </c>
      <c r="HR18" s="77">
        <v>0</v>
      </c>
      <c r="HS18" s="77">
        <v>216.78102699999999</v>
      </c>
      <c r="HT18" s="77">
        <v>0.24327099999999999</v>
      </c>
      <c r="HU18" s="77">
        <v>176.31442100000001</v>
      </c>
      <c r="HV18" s="77">
        <v>7.2187000000000001E-2</v>
      </c>
      <c r="HW18" s="77">
        <v>212.38340400000001</v>
      </c>
      <c r="HX18" s="77">
        <v>0</v>
      </c>
      <c r="HY18" s="77">
        <v>0</v>
      </c>
      <c r="HZ18" s="77">
        <v>233.319298</v>
      </c>
      <c r="IA18" s="77">
        <v>0.24163799999999999</v>
      </c>
      <c r="IB18" s="77">
        <v>202.75349</v>
      </c>
      <c r="IC18" s="77">
        <v>7.9832E-2</v>
      </c>
      <c r="ID18" s="77">
        <v>244.03820400000001</v>
      </c>
      <c r="IE18" s="77">
        <v>0</v>
      </c>
      <c r="IF18" s="77">
        <v>0</v>
      </c>
      <c r="IG18" s="77">
        <v>264.91214000000002</v>
      </c>
      <c r="IH18" s="77">
        <v>0.25437500000000002</v>
      </c>
      <c r="II18" s="77">
        <v>234.11103399999999</v>
      </c>
      <c r="IJ18" s="77">
        <v>8.4040000000000004E-2</v>
      </c>
      <c r="IK18" s="77">
        <v>281.35184400000003</v>
      </c>
      <c r="IL18" s="77">
        <v>0</v>
      </c>
      <c r="IM18" s="77">
        <v>0</v>
      </c>
      <c r="IN18" s="77">
        <v>260.152894</v>
      </c>
      <c r="IO18" s="77">
        <v>0.27007799999999998</v>
      </c>
      <c r="IP18" s="77">
        <v>230.317059</v>
      </c>
      <c r="IQ18" s="77">
        <v>9.2511999999999997E-2</v>
      </c>
      <c r="IR18" s="77">
        <v>277.335037</v>
      </c>
      <c r="IS18" s="77">
        <v>0</v>
      </c>
      <c r="IT18" s="77">
        <v>0</v>
      </c>
      <c r="IU18" s="77">
        <v>223.90667300000001</v>
      </c>
      <c r="IV18" s="77">
        <v>0.20751600000000001</v>
      </c>
      <c r="IW18" s="77">
        <v>194.351158</v>
      </c>
      <c r="IX18" s="77">
        <v>6.6126000000000004E-2</v>
      </c>
      <c r="IY18" s="77">
        <v>233.413702</v>
      </c>
      <c r="IZ18" s="77">
        <v>0</v>
      </c>
      <c r="JA18" s="77">
        <v>0</v>
      </c>
      <c r="JB18" s="77">
        <v>228.32387399999999</v>
      </c>
      <c r="JC18" s="77">
        <v>0.23297300000000001</v>
      </c>
      <c r="JD18" s="77">
        <v>200.46167</v>
      </c>
      <c r="JE18" s="77">
        <v>7.6969999999999997E-2</v>
      </c>
      <c r="JF18" s="77">
        <v>241.18886699999999</v>
      </c>
      <c r="JG18" s="77">
        <v>0</v>
      </c>
      <c r="JH18" s="77">
        <v>0</v>
      </c>
      <c r="JI18" s="77">
        <v>282.48314699999997</v>
      </c>
      <c r="JJ18" s="77">
        <v>0.28581299999999998</v>
      </c>
      <c r="JK18" s="77">
        <v>254.243268</v>
      </c>
      <c r="JL18" s="77">
        <v>9.4425999999999996E-2</v>
      </c>
      <c r="JM18" s="77">
        <v>305.777064</v>
      </c>
      <c r="JN18" s="77">
        <v>0</v>
      </c>
      <c r="JO18" s="77">
        <v>0</v>
      </c>
      <c r="JP18" s="77">
        <v>256.06687299999999</v>
      </c>
      <c r="JQ18" s="77">
        <v>0.25195899999999999</v>
      </c>
      <c r="JR18" s="77">
        <v>234.20212100000001</v>
      </c>
      <c r="JS18" s="77">
        <v>9.6532000000000007E-2</v>
      </c>
      <c r="JT18" s="77">
        <v>282.14894700000002</v>
      </c>
      <c r="JU18" s="77">
        <v>0</v>
      </c>
      <c r="JV18" s="77">
        <v>0</v>
      </c>
      <c r="JW18" s="77">
        <v>130.84114199999999</v>
      </c>
      <c r="JX18" s="77">
        <v>0.19597700000000001</v>
      </c>
      <c r="JY18" s="77">
        <v>103.711512</v>
      </c>
      <c r="JZ18" s="77">
        <v>5.0757999999999998E-2</v>
      </c>
      <c r="KA18" s="77">
        <v>124.446859</v>
      </c>
      <c r="KB18" s="77">
        <v>99.310315000000003</v>
      </c>
      <c r="KC18" s="77">
        <v>99.153908000000001</v>
      </c>
      <c r="KD18" s="77">
        <v>72.035252999999997</v>
      </c>
      <c r="KE18" s="77">
        <v>62.124879</v>
      </c>
      <c r="KF18" s="77">
        <v>77.843095000000005</v>
      </c>
      <c r="KG18" s="77">
        <v>61.641585999999997</v>
      </c>
      <c r="KH18" s="77">
        <v>60.156829999999999</v>
      </c>
      <c r="KI18" s="77">
        <v>60.161588999999999</v>
      </c>
      <c r="KJ18" s="77">
        <v>60.100369000000001</v>
      </c>
      <c r="KK18" s="77">
        <v>69.57526</v>
      </c>
      <c r="KL18" s="77">
        <v>59.995978000000001</v>
      </c>
      <c r="KM18" s="77">
        <v>76.090906000000004</v>
      </c>
      <c r="KN18" s="77">
        <v>60.582725000000003</v>
      </c>
      <c r="KO18" s="77">
        <v>59.244923</v>
      </c>
      <c r="KP18" s="77">
        <v>59.240482999999998</v>
      </c>
      <c r="KQ18" s="77">
        <v>59.130056000000003</v>
      </c>
      <c r="KR18" s="77">
        <v>69.812334000000007</v>
      </c>
      <c r="KS18" s="77">
        <v>60.217758000000003</v>
      </c>
      <c r="KT18" s="77">
        <v>75.597521999999998</v>
      </c>
      <c r="KU18" s="77">
        <v>59.780433000000002</v>
      </c>
      <c r="KV18" s="77">
        <v>58.323931000000002</v>
      </c>
      <c r="KW18" s="77">
        <v>58.330666999999998</v>
      </c>
      <c r="KX18" s="77">
        <v>58.271593000000003</v>
      </c>
      <c r="KY18" s="77">
        <v>71.049361000000005</v>
      </c>
      <c r="KZ18" s="77">
        <v>61.300657000000001</v>
      </c>
      <c r="LA18" s="77">
        <v>77.504080999999999</v>
      </c>
      <c r="LB18" s="77">
        <v>61.362057</v>
      </c>
      <c r="LC18" s="77">
        <v>59.881825999999997</v>
      </c>
      <c r="LD18" s="77">
        <v>59.886837999999997</v>
      </c>
      <c r="LE18" s="77">
        <v>59.825933999999997</v>
      </c>
      <c r="LF18" s="77">
        <v>85.365662</v>
      </c>
      <c r="LG18" s="77">
        <v>73.605885000000001</v>
      </c>
      <c r="LH18" s="77">
        <v>93.133650000000003</v>
      </c>
      <c r="LI18" s="77">
        <v>74.191320000000005</v>
      </c>
      <c r="LJ18" s="77">
        <v>72.561349000000007</v>
      </c>
      <c r="LK18" s="77">
        <v>72.554897999999994</v>
      </c>
      <c r="LL18" s="77">
        <v>72.419098000000005</v>
      </c>
      <c r="LM18" s="77">
        <v>68.774922000000004</v>
      </c>
      <c r="LN18" s="77">
        <v>59.327668000000003</v>
      </c>
      <c r="LO18" s="77">
        <v>74.645364000000001</v>
      </c>
      <c r="LP18" s="77">
        <v>59.001263000000002</v>
      </c>
      <c r="LQ18" s="77">
        <v>57.558481999999998</v>
      </c>
      <c r="LR18" s="77">
        <v>57.565807999999997</v>
      </c>
      <c r="LS18" s="77">
        <v>57.507607</v>
      </c>
      <c r="LT18" s="77">
        <v>73.335498999999999</v>
      </c>
      <c r="LU18" s="77">
        <v>63.269480000000001</v>
      </c>
      <c r="LV18" s="77">
        <v>79.951471999999995</v>
      </c>
      <c r="LW18" s="77">
        <v>63.332619999999999</v>
      </c>
      <c r="LX18" s="77">
        <v>61.811427000000002</v>
      </c>
      <c r="LY18" s="77">
        <v>61.815767000000001</v>
      </c>
      <c r="LZ18" s="77">
        <v>61.752788000000002</v>
      </c>
      <c r="MA18" s="77">
        <v>75.458534</v>
      </c>
      <c r="MB18" s="77">
        <v>65.103149999999999</v>
      </c>
      <c r="MC18" s="77">
        <v>84.669650000000004</v>
      </c>
      <c r="MD18" s="77">
        <v>67.329010999999994</v>
      </c>
      <c r="ME18" s="77">
        <v>65.824535999999995</v>
      </c>
      <c r="MF18" s="77">
        <v>65.821757000000005</v>
      </c>
      <c r="MG18" s="77">
        <v>65.700239999999994</v>
      </c>
      <c r="MH18" s="77">
        <v>86.900447</v>
      </c>
      <c r="MI18" s="77">
        <v>74.854628000000005</v>
      </c>
      <c r="MJ18" s="77">
        <v>90.450365000000005</v>
      </c>
      <c r="MK18" s="77">
        <v>72.230476999999993</v>
      </c>
      <c r="ML18" s="77">
        <v>70.610344999999995</v>
      </c>
      <c r="MM18" s="77">
        <v>70.600819000000001</v>
      </c>
      <c r="MN18" s="77">
        <v>70.527001999999996</v>
      </c>
      <c r="MO18" s="77">
        <v>81.440869000000006</v>
      </c>
      <c r="MP18" s="77">
        <v>70.224348000000006</v>
      </c>
      <c r="MQ18" s="77">
        <v>88.303167000000002</v>
      </c>
      <c r="MR18" s="77">
        <v>70.292088000000007</v>
      </c>
      <c r="MS18" s="77">
        <v>68.672444999999996</v>
      </c>
      <c r="MT18" s="77">
        <v>68.668446000000003</v>
      </c>
      <c r="MU18" s="77">
        <v>68.597284000000002</v>
      </c>
      <c r="MV18" s="77">
        <v>88.87894</v>
      </c>
      <c r="MW18" s="77">
        <v>76.639826999999997</v>
      </c>
      <c r="MX18" s="77">
        <v>98.004499999999993</v>
      </c>
      <c r="MY18" s="77">
        <v>78.156132999999997</v>
      </c>
      <c r="MZ18" s="77">
        <v>76.456902999999997</v>
      </c>
      <c r="NA18" s="77">
        <v>76.447939000000005</v>
      </c>
      <c r="NB18" s="77">
        <v>76.303667000000004</v>
      </c>
      <c r="NC18" s="77">
        <v>85.590249</v>
      </c>
      <c r="ND18" s="77">
        <v>73.812886000000006</v>
      </c>
      <c r="NE18" s="77">
        <v>91.789236000000002</v>
      </c>
      <c r="NF18" s="77">
        <v>72.612060999999997</v>
      </c>
      <c r="NG18" s="77">
        <v>70.848464000000007</v>
      </c>
      <c r="NH18" s="77">
        <v>70.855941000000001</v>
      </c>
      <c r="NI18" s="77">
        <v>70.784081</v>
      </c>
      <c r="NJ18" s="77">
        <v>76.816557000000003</v>
      </c>
      <c r="NK18" s="77">
        <v>66.243561999999997</v>
      </c>
      <c r="NL18" s="77">
        <v>83.374076000000002</v>
      </c>
      <c r="NM18" s="77">
        <v>66.307874999999996</v>
      </c>
      <c r="NN18" s="77">
        <v>64.768009000000006</v>
      </c>
      <c r="NO18" s="77">
        <v>64.765775000000005</v>
      </c>
      <c r="NP18" s="77">
        <v>64.698868000000004</v>
      </c>
      <c r="NQ18" s="77">
        <v>86.296764999999994</v>
      </c>
      <c r="NR18" s="77">
        <v>74.442266000000004</v>
      </c>
      <c r="NS18" s="77">
        <v>93.397958000000003</v>
      </c>
      <c r="NT18" s="77">
        <v>73.946281999999997</v>
      </c>
      <c r="NU18" s="77">
        <v>72.225615000000005</v>
      </c>
      <c r="NV18" s="77">
        <v>72.230863999999997</v>
      </c>
      <c r="NW18" s="77">
        <v>72.102045000000004</v>
      </c>
      <c r="NX18" s="77">
        <v>88.209091000000001</v>
      </c>
      <c r="NY18" s="77">
        <v>76.091244000000003</v>
      </c>
      <c r="NZ18" s="77">
        <v>96.861014999999995</v>
      </c>
      <c r="OA18" s="77">
        <v>76.726136999999994</v>
      </c>
      <c r="OB18" s="77">
        <v>74.883016999999995</v>
      </c>
      <c r="OC18" s="77">
        <v>74.888302999999993</v>
      </c>
      <c r="OD18" s="77">
        <v>74.812005999999997</v>
      </c>
      <c r="OE18" s="77">
        <v>78.353818000000004</v>
      </c>
      <c r="OF18" s="77">
        <v>67.559471000000002</v>
      </c>
      <c r="OG18" s="77">
        <v>84.917727999999997</v>
      </c>
      <c r="OH18" s="77">
        <v>67.624454999999998</v>
      </c>
      <c r="OI18" s="77">
        <v>66.071707000000004</v>
      </c>
      <c r="OJ18" s="77">
        <v>66.067151999999993</v>
      </c>
      <c r="OK18" s="77">
        <v>65.998608000000004</v>
      </c>
      <c r="OL18" s="77">
        <v>85.846733</v>
      </c>
      <c r="OM18" s="77">
        <v>74.053051999999994</v>
      </c>
      <c r="ON18" s="77">
        <v>98.048738</v>
      </c>
      <c r="OO18" s="77">
        <v>78.329064000000002</v>
      </c>
      <c r="OP18" s="77">
        <v>76.655081999999993</v>
      </c>
      <c r="OQ18" s="77">
        <v>76.642571000000004</v>
      </c>
      <c r="OR18" s="77">
        <v>76.496010999999996</v>
      </c>
      <c r="OS18" s="77">
        <v>90.647300000000001</v>
      </c>
      <c r="OT18" s="77">
        <v>78.119497999999993</v>
      </c>
      <c r="OU18" s="77">
        <v>93.546786999999995</v>
      </c>
      <c r="OV18" s="77">
        <v>74.071383999999995</v>
      </c>
      <c r="OW18" s="77">
        <v>72.286146000000002</v>
      </c>
      <c r="OX18" s="77">
        <v>72.292000000000002</v>
      </c>
      <c r="OY18" s="77">
        <v>72.218453999999994</v>
      </c>
      <c r="OZ18" s="77">
        <v>87.658349000000001</v>
      </c>
      <c r="PA18" s="77">
        <v>75.667473000000001</v>
      </c>
      <c r="PB18" s="77">
        <v>96.091414</v>
      </c>
      <c r="PC18" s="77">
        <v>75.745532999999995</v>
      </c>
      <c r="PD18" s="77">
        <v>73.851817999999994</v>
      </c>
      <c r="PE18" s="77">
        <v>73.866536999999994</v>
      </c>
      <c r="PF18" s="77">
        <v>73.792575999999997</v>
      </c>
      <c r="PG18" s="77">
        <v>78.408444000000003</v>
      </c>
      <c r="PH18" s="77">
        <v>67.598393999999999</v>
      </c>
      <c r="PI18" s="77">
        <v>83.784706999999997</v>
      </c>
      <c r="PJ18" s="77">
        <v>66.609053000000003</v>
      </c>
      <c r="PK18" s="77">
        <v>65.117228999999995</v>
      </c>
      <c r="PL18" s="77">
        <v>65.114894000000007</v>
      </c>
      <c r="PM18" s="77">
        <v>64.994905000000003</v>
      </c>
      <c r="PN18" s="77">
        <v>78.080540999999997</v>
      </c>
      <c r="PO18" s="77">
        <v>67.240995999999996</v>
      </c>
      <c r="PP18" s="77">
        <v>85.074541999999994</v>
      </c>
      <c r="PQ18" s="77">
        <v>68.481527</v>
      </c>
      <c r="PR18" s="77">
        <v>67.054646000000005</v>
      </c>
      <c r="PS18" s="77">
        <v>67.031390999999999</v>
      </c>
      <c r="PT18" s="77">
        <v>66.959294999999997</v>
      </c>
      <c r="PU18" s="77">
        <v>82.225560000000002</v>
      </c>
      <c r="PV18" s="77">
        <v>70.857251000000005</v>
      </c>
      <c r="PW18" s="77">
        <v>88.595647999999997</v>
      </c>
      <c r="PX18" s="77">
        <v>70.922898000000004</v>
      </c>
      <c r="PY18" s="77">
        <v>69.367863</v>
      </c>
      <c r="PZ18" s="77">
        <v>69.353682000000006</v>
      </c>
      <c r="QA18" s="77">
        <v>69.280438000000004</v>
      </c>
      <c r="QB18" s="77">
        <v>89.142784000000006</v>
      </c>
      <c r="QC18" s="77">
        <v>76.798454000000007</v>
      </c>
      <c r="QD18" s="77">
        <v>95.797510000000003</v>
      </c>
      <c r="QE18" s="77">
        <v>76.868384000000006</v>
      </c>
      <c r="QF18" s="77">
        <v>75.218635000000006</v>
      </c>
      <c r="QG18" s="77">
        <v>75.198689000000002</v>
      </c>
      <c r="QH18" s="77">
        <v>75.118651999999997</v>
      </c>
      <c r="QI18" s="77">
        <v>64.425438</v>
      </c>
      <c r="QJ18" s="77">
        <v>55.587560000000003</v>
      </c>
      <c r="QK18" s="77">
        <v>70.303397000000004</v>
      </c>
      <c r="QL18" s="77">
        <v>55.643355999999997</v>
      </c>
      <c r="QM18" s="77">
        <v>54.297536000000001</v>
      </c>
      <c r="QN18" s="77">
        <v>54.302540999999998</v>
      </c>
      <c r="QO18" s="77">
        <v>54.247376000000003</v>
      </c>
      <c r="QP18" s="77">
        <v>100.496938</v>
      </c>
      <c r="QQ18" s="77">
        <v>86.560840999999996</v>
      </c>
      <c r="QR18" s="77">
        <v>107.231729</v>
      </c>
      <c r="QS18" s="77">
        <v>86.635780999999994</v>
      </c>
    </row>
    <row r="19" spans="6:461" x14ac:dyDescent="0.25">
      <c r="F19" s="76" t="str">
        <f xml:space="preserve"> _xll.EPMOlapMemberO("[PRDDESCR].[].[HELGAS GFREE TRAD WHITE 470G]","","HELGAS GFREE TRAD WHITE 470G","","000")</f>
        <v>HELGAS GFREE TRAD WHITE 470G</v>
      </c>
      <c r="G19" s="76" t="str">
        <f xml:space="preserve"> _xll.EPMOlapMemberO("[PRDID].[].[168846]","","168846","","000")</f>
        <v>168846</v>
      </c>
      <c r="H19" s="76" t="str">
        <f xml:space="preserve"> _xll.EPMOlapMemberO("[LOCID].[].[6123]","","6123","","000")</f>
        <v>6123</v>
      </c>
      <c r="I19" s="76" t="str">
        <f xml:space="preserve"> _xll.EPMOlapMemberO("[LOCDESCR].[].[QBA-Clayton - Fairbank]","","QBA-Clayton - Fairbank","","000")</f>
        <v>QBA-Clayton - Fairbank</v>
      </c>
      <c r="J19" s="76" t="str">
        <f xml:space="preserve"> _xll.EPMOlapMemberO("[KEY_FIGURES].[].[ZGFAPPROVEDFCSTQTY]","","Approved Forecast","","000")</f>
        <v>Approved Forecast</v>
      </c>
      <c r="K19" s="77">
        <v>0</v>
      </c>
      <c r="L19" s="77">
        <v>918.60950400000002</v>
      </c>
      <c r="M19" s="77">
        <v>283.789018</v>
      </c>
      <c r="N19" s="77">
        <v>532.63397099999997</v>
      </c>
      <c r="O19" s="77">
        <v>340.01119299999999</v>
      </c>
      <c r="P19" s="77">
        <v>743.11351400000001</v>
      </c>
      <c r="Q19" s="77">
        <v>0</v>
      </c>
      <c r="R19" s="77">
        <v>0</v>
      </c>
      <c r="S19" s="77">
        <v>961.69771500000002</v>
      </c>
      <c r="T19" s="77">
        <v>300.52713299999999</v>
      </c>
      <c r="U19" s="77">
        <v>556.37683700000002</v>
      </c>
      <c r="V19" s="77">
        <v>349.901543</v>
      </c>
      <c r="W19" s="77">
        <v>761.18433500000003</v>
      </c>
      <c r="X19" s="77">
        <v>3.5680999999999997E-2</v>
      </c>
      <c r="Y19" s="77">
        <v>0.48695300000000002</v>
      </c>
      <c r="Z19" s="77">
        <v>965.80449599999997</v>
      </c>
      <c r="AA19" s="77">
        <v>253.98191299999999</v>
      </c>
      <c r="AB19" s="77">
        <v>552.14659800000004</v>
      </c>
      <c r="AC19" s="77">
        <v>341.53099400000002</v>
      </c>
      <c r="AD19" s="77">
        <v>747.66352800000004</v>
      </c>
      <c r="AE19" s="77"/>
      <c r="AF19" s="77"/>
      <c r="AG19" s="77"/>
      <c r="AH19" s="77"/>
      <c r="AI19" s="77"/>
      <c r="AJ19" s="77"/>
      <c r="AK19" s="77"/>
      <c r="AL19" s="77">
        <v>3.1753999999999998E-2</v>
      </c>
      <c r="AM19" s="77">
        <v>0.47421200000000002</v>
      </c>
      <c r="AN19" s="77">
        <v>943.00611300000003</v>
      </c>
      <c r="AO19" s="77">
        <v>223.23690300000001</v>
      </c>
      <c r="AP19" s="77">
        <v>522.37849800000004</v>
      </c>
      <c r="AQ19" s="77">
        <v>328.523865</v>
      </c>
      <c r="AR19" s="77">
        <v>715.91544299999998</v>
      </c>
      <c r="AS19" s="77">
        <v>4.2200000000000001E-2</v>
      </c>
      <c r="AT19" s="77">
        <v>0.50702999999999998</v>
      </c>
      <c r="AU19" s="77">
        <v>948.17920300000003</v>
      </c>
      <c r="AV19" s="77">
        <v>230.55224799999999</v>
      </c>
      <c r="AW19" s="77">
        <v>533.77306399999998</v>
      </c>
      <c r="AX19" s="77">
        <v>323.93296299999997</v>
      </c>
      <c r="AY19" s="77">
        <v>712.25725399999999</v>
      </c>
      <c r="AZ19" s="77">
        <v>3.3852E-2</v>
      </c>
      <c r="BA19" s="77">
        <v>0.48060000000000003</v>
      </c>
      <c r="BB19" s="77">
        <v>916.83175500000004</v>
      </c>
      <c r="BC19" s="77">
        <v>220.03270900000001</v>
      </c>
      <c r="BD19" s="77">
        <v>511.27981199999999</v>
      </c>
      <c r="BE19" s="77">
        <v>317.89011199999999</v>
      </c>
      <c r="BF19" s="77">
        <v>699.08584599999995</v>
      </c>
      <c r="BG19" s="77">
        <v>3.0200999999999999E-2</v>
      </c>
      <c r="BH19" s="77">
        <v>0.46900399999999998</v>
      </c>
      <c r="BI19" s="77">
        <v>980.61987699999997</v>
      </c>
      <c r="BJ19" s="77">
        <v>236.06700599999999</v>
      </c>
      <c r="BK19" s="77">
        <v>553.02354700000001</v>
      </c>
      <c r="BL19" s="77">
        <v>343.94946099999999</v>
      </c>
      <c r="BM19" s="77">
        <v>794.33649700000001</v>
      </c>
      <c r="BN19" s="77">
        <v>2.9787999999999999E-2</v>
      </c>
      <c r="BO19" s="77">
        <v>0.46763700000000002</v>
      </c>
      <c r="BP19" s="77">
        <v>989.89850000000001</v>
      </c>
      <c r="BQ19" s="77">
        <v>235.67407800000001</v>
      </c>
      <c r="BR19" s="77">
        <v>553.31064600000002</v>
      </c>
      <c r="BS19" s="77">
        <v>347.35218800000001</v>
      </c>
      <c r="BT19" s="77">
        <v>786.10869100000002</v>
      </c>
      <c r="BU19" s="77">
        <v>3.5524E-2</v>
      </c>
      <c r="BV19" s="77">
        <v>0.48567500000000002</v>
      </c>
      <c r="BW19" s="77">
        <v>1040.087041</v>
      </c>
      <c r="BX19" s="77">
        <v>246.58327700000001</v>
      </c>
      <c r="BY19" s="77">
        <v>581.04575299999999</v>
      </c>
      <c r="BZ19" s="77">
        <v>361.71852200000001</v>
      </c>
      <c r="CA19" s="77">
        <v>805.86611000000005</v>
      </c>
      <c r="CB19" s="77">
        <v>3.3783000000000001E-2</v>
      </c>
      <c r="CC19" s="77">
        <v>0.48014299999999999</v>
      </c>
      <c r="CD19" s="77">
        <v>978.10173899999995</v>
      </c>
      <c r="CE19" s="77">
        <v>235.32274000000001</v>
      </c>
      <c r="CF19" s="77">
        <v>550.65138899999999</v>
      </c>
      <c r="CG19" s="77">
        <v>340.60670599999997</v>
      </c>
      <c r="CH19" s="77">
        <v>774.15180599999997</v>
      </c>
      <c r="CI19" s="77">
        <v>2.4102999999999999E-2</v>
      </c>
      <c r="CJ19" s="77">
        <v>0.44957999999999998</v>
      </c>
      <c r="CK19" s="77">
        <v>970.179575</v>
      </c>
      <c r="CL19" s="77">
        <v>225.28358499999999</v>
      </c>
      <c r="CM19" s="77">
        <v>532.31595800000002</v>
      </c>
      <c r="CN19" s="77">
        <v>343.48333300000002</v>
      </c>
      <c r="CO19" s="77">
        <v>753.47547899999995</v>
      </c>
      <c r="CP19" s="77">
        <v>2.6738999999999999E-2</v>
      </c>
      <c r="CQ19" s="77">
        <v>0.45786700000000002</v>
      </c>
      <c r="CR19" s="77">
        <v>1008.26382</v>
      </c>
      <c r="CS19" s="77">
        <v>235.09590700000001</v>
      </c>
      <c r="CT19" s="77">
        <v>555.90660400000002</v>
      </c>
      <c r="CU19" s="77">
        <v>355.83735000000001</v>
      </c>
      <c r="CV19" s="77">
        <v>787.36192800000003</v>
      </c>
      <c r="CW19" s="77">
        <v>2.8705999999999999E-2</v>
      </c>
      <c r="CX19" s="77">
        <v>0.46404899999999999</v>
      </c>
      <c r="CY19" s="77">
        <v>1020.156787</v>
      </c>
      <c r="CZ19" s="77">
        <v>238.71866299999999</v>
      </c>
      <c r="DA19" s="77">
        <v>564.28616199999999</v>
      </c>
      <c r="DB19" s="77">
        <v>358.90360900000002</v>
      </c>
      <c r="DC19" s="77">
        <v>796.194661</v>
      </c>
      <c r="DD19" s="77">
        <v>2.947E-2</v>
      </c>
      <c r="DE19" s="77">
        <v>0.466443</v>
      </c>
      <c r="DF19" s="77">
        <v>999.18036900000004</v>
      </c>
      <c r="DG19" s="77">
        <v>234.048498</v>
      </c>
      <c r="DH19" s="77">
        <v>551.77874899999995</v>
      </c>
      <c r="DI19" s="77">
        <v>350.66321199999999</v>
      </c>
      <c r="DJ19" s="77">
        <v>770.98146599999995</v>
      </c>
      <c r="DK19" s="77">
        <v>3.4763000000000002E-2</v>
      </c>
      <c r="DL19" s="77">
        <v>0.483122</v>
      </c>
      <c r="DM19" s="77">
        <v>950.09214299999996</v>
      </c>
      <c r="DN19" s="77">
        <v>226.890972</v>
      </c>
      <c r="DO19" s="77">
        <v>529.79996400000005</v>
      </c>
      <c r="DP19" s="77">
        <v>329.25424800000002</v>
      </c>
      <c r="DQ19" s="77">
        <v>723.19473900000003</v>
      </c>
      <c r="DR19" s="77">
        <v>3.1924000000000001E-2</v>
      </c>
      <c r="DS19" s="77">
        <v>0.474157</v>
      </c>
      <c r="DT19" s="77">
        <v>1007.957394</v>
      </c>
      <c r="DU19" s="77">
        <v>238.34555599999999</v>
      </c>
      <c r="DV19" s="77">
        <v>560.49610900000005</v>
      </c>
      <c r="DW19" s="77">
        <v>352.52573699999999</v>
      </c>
      <c r="DX19" s="77">
        <v>784.79494399999999</v>
      </c>
      <c r="DY19" s="77">
        <v>2.8538999999999998E-2</v>
      </c>
      <c r="DZ19" s="77">
        <v>0.463472</v>
      </c>
      <c r="EA19" s="77">
        <v>1024.8490730000001</v>
      </c>
      <c r="EB19" s="77">
        <v>243.87862799999999</v>
      </c>
      <c r="EC19" s="77">
        <v>575.48088800000005</v>
      </c>
      <c r="ED19" s="77">
        <v>361.34129200000001</v>
      </c>
      <c r="EE19" s="77">
        <v>835.00316599999996</v>
      </c>
      <c r="EF19" s="77">
        <v>3.2183000000000003E-2</v>
      </c>
      <c r="EG19" s="77">
        <v>0.47495799999999999</v>
      </c>
      <c r="EH19" s="77">
        <v>915.43303800000001</v>
      </c>
      <c r="EI19" s="77">
        <v>221.822666</v>
      </c>
      <c r="EJ19" s="77">
        <v>516.29665599999998</v>
      </c>
      <c r="EK19" s="77">
        <v>318.69705499999998</v>
      </c>
      <c r="EL19" s="77">
        <v>724.52114600000004</v>
      </c>
      <c r="EM19" s="77">
        <v>3.3845E-2</v>
      </c>
      <c r="EN19" s="77">
        <v>0.48019299999999998</v>
      </c>
      <c r="EO19" s="77">
        <v>923.49241900000004</v>
      </c>
      <c r="EP19" s="77">
        <v>223.91099199999999</v>
      </c>
      <c r="EQ19" s="77">
        <v>522.12856399999998</v>
      </c>
      <c r="ER19" s="77">
        <v>320.290368</v>
      </c>
      <c r="ES19" s="77">
        <v>726.18675699999994</v>
      </c>
      <c r="ET19" s="77">
        <v>2.9774999999999999E-2</v>
      </c>
      <c r="EU19" s="77">
        <v>0.46735500000000002</v>
      </c>
      <c r="EV19" s="77">
        <v>899.92022199999997</v>
      </c>
      <c r="EW19" s="77">
        <v>218.12647799999999</v>
      </c>
      <c r="EX19" s="77">
        <v>507.75605899999999</v>
      </c>
      <c r="EY19" s="77">
        <v>314.66742199999999</v>
      </c>
      <c r="EZ19" s="77">
        <v>720.58952399999998</v>
      </c>
      <c r="FA19" s="77">
        <v>4.3707000000000003E-2</v>
      </c>
      <c r="FB19" s="77">
        <v>0.51128899999999999</v>
      </c>
      <c r="FC19" s="77">
        <v>1029.4683560000001</v>
      </c>
      <c r="FD19" s="77">
        <v>250.45156299999999</v>
      </c>
      <c r="FE19" s="77">
        <v>583.39078300000006</v>
      </c>
      <c r="FF19" s="77">
        <v>353.11884700000002</v>
      </c>
      <c r="FG19" s="77">
        <v>799.29585099999997</v>
      </c>
      <c r="FH19" s="77">
        <v>3.5499000000000003E-2</v>
      </c>
      <c r="FI19" s="77">
        <v>0.4854</v>
      </c>
      <c r="FJ19" s="77">
        <v>967.87455599999998</v>
      </c>
      <c r="FK19" s="77">
        <v>236.94409400000001</v>
      </c>
      <c r="FL19" s="77">
        <v>552.35251600000004</v>
      </c>
      <c r="FM19" s="77">
        <v>336.13196799999997</v>
      </c>
      <c r="FN19" s="77">
        <v>785.98326399999996</v>
      </c>
      <c r="FO19" s="77">
        <v>3.2508000000000002E-2</v>
      </c>
      <c r="FP19" s="77">
        <v>0.47596300000000002</v>
      </c>
      <c r="FQ19" s="77">
        <v>909.35249499999998</v>
      </c>
      <c r="FR19" s="77">
        <v>217.05975100000001</v>
      </c>
      <c r="FS19" s="77">
        <v>505.26624500000003</v>
      </c>
      <c r="FT19" s="77">
        <v>315.82084300000002</v>
      </c>
      <c r="FU19" s="77">
        <v>688.976947</v>
      </c>
      <c r="FV19" s="77">
        <v>3.2508000000000002E-2</v>
      </c>
      <c r="FW19" s="77">
        <v>0.47596300000000002</v>
      </c>
      <c r="FX19" s="77">
        <v>926.45015599999999</v>
      </c>
      <c r="FY19" s="77">
        <v>220.76877099999999</v>
      </c>
      <c r="FZ19" s="77">
        <v>515.25489600000003</v>
      </c>
      <c r="GA19" s="77">
        <v>322.03587800000003</v>
      </c>
      <c r="GB19" s="77">
        <v>705.36159399999997</v>
      </c>
      <c r="GC19" s="77">
        <v>3.2349000000000003E-2</v>
      </c>
      <c r="GD19" s="77">
        <v>0.47545900000000002</v>
      </c>
      <c r="GE19" s="77">
        <v>939.51123299999995</v>
      </c>
      <c r="GF19" s="77">
        <v>225.80162100000001</v>
      </c>
      <c r="GG19" s="77">
        <v>527.360905</v>
      </c>
      <c r="GH19" s="77">
        <v>327.230164</v>
      </c>
      <c r="GI19" s="77">
        <v>736.46967400000005</v>
      </c>
      <c r="GJ19" s="77">
        <v>3.3949E-2</v>
      </c>
      <c r="GK19" s="77">
        <v>0.48050399999999999</v>
      </c>
      <c r="GL19" s="77">
        <v>894.10939599999995</v>
      </c>
      <c r="GM19" s="77">
        <v>215.641752</v>
      </c>
      <c r="GN19" s="77">
        <v>500.41834999999998</v>
      </c>
      <c r="GO19" s="77">
        <v>309.383782</v>
      </c>
      <c r="GP19" s="77">
        <v>681.87769100000003</v>
      </c>
      <c r="GQ19" s="77">
        <v>3.1308000000000002E-2</v>
      </c>
      <c r="GR19" s="77">
        <v>0.47217399999999998</v>
      </c>
      <c r="GS19" s="77">
        <v>966.60464400000001</v>
      </c>
      <c r="GT19" s="77">
        <v>227.816675</v>
      </c>
      <c r="GU19" s="77">
        <v>535.89262499999995</v>
      </c>
      <c r="GV19" s="77">
        <v>337.22282000000001</v>
      </c>
      <c r="GW19" s="77">
        <v>737.219424</v>
      </c>
      <c r="GX19" s="77">
        <v>3.4733E-2</v>
      </c>
      <c r="GY19" s="77">
        <v>0.48297600000000002</v>
      </c>
      <c r="GZ19" s="77">
        <v>1012.421161</v>
      </c>
      <c r="HA19" s="77">
        <v>244.13902999999999</v>
      </c>
      <c r="HB19" s="77">
        <v>572.40184999999997</v>
      </c>
      <c r="HC19" s="77">
        <v>352.75113800000003</v>
      </c>
      <c r="HD19" s="77">
        <v>812.510582</v>
      </c>
      <c r="HE19" s="77">
        <v>4.0096E-2</v>
      </c>
      <c r="HF19" s="77">
        <v>0.49989</v>
      </c>
      <c r="HG19" s="77">
        <v>1003.5655819999999</v>
      </c>
      <c r="HH19" s="77">
        <v>242.59956500000001</v>
      </c>
      <c r="HI19" s="77">
        <v>566.29577300000005</v>
      </c>
      <c r="HJ19" s="77">
        <v>345.71017699999999</v>
      </c>
      <c r="HK19" s="77">
        <v>777.24012600000003</v>
      </c>
      <c r="HL19" s="77">
        <v>3.2524999999999998E-2</v>
      </c>
      <c r="HM19" s="77">
        <v>0.47600999999999999</v>
      </c>
      <c r="HN19" s="77">
        <v>950.74443099999996</v>
      </c>
      <c r="HO19" s="77">
        <v>223.49767900000001</v>
      </c>
      <c r="HP19" s="77">
        <v>524.54236400000002</v>
      </c>
      <c r="HQ19" s="77">
        <v>330.59235799999999</v>
      </c>
      <c r="HR19" s="77">
        <v>712.593525</v>
      </c>
      <c r="HS19" s="77">
        <v>3.1455999999999998E-2</v>
      </c>
      <c r="HT19" s="77">
        <v>0.46054200000000001</v>
      </c>
      <c r="HU19" s="77">
        <v>891.38469699999996</v>
      </c>
      <c r="HV19" s="77">
        <v>212.76694000000001</v>
      </c>
      <c r="HW19" s="77">
        <v>496.29834699999998</v>
      </c>
      <c r="HX19" s="77">
        <v>309.78948000000003</v>
      </c>
      <c r="HY19" s="77">
        <v>680.37934600000006</v>
      </c>
      <c r="HZ19" s="77">
        <v>3.7786E-2</v>
      </c>
      <c r="IA19" s="77">
        <v>0.47873500000000002</v>
      </c>
      <c r="IB19" s="77">
        <v>1015.732294</v>
      </c>
      <c r="IC19" s="77">
        <v>240.309967</v>
      </c>
      <c r="ID19" s="77">
        <v>562.91270199999997</v>
      </c>
      <c r="IE19" s="77">
        <v>351.31502999999998</v>
      </c>
      <c r="IF19" s="77">
        <v>761.49428999999998</v>
      </c>
      <c r="IG19" s="77">
        <v>3.2842000000000003E-2</v>
      </c>
      <c r="IH19" s="77">
        <v>0.47700999999999999</v>
      </c>
      <c r="II19" s="77">
        <v>1024.8753819999999</v>
      </c>
      <c r="IJ19" s="77">
        <v>244.72980699999999</v>
      </c>
      <c r="IK19" s="77">
        <v>575.42521099999999</v>
      </c>
      <c r="IL19" s="77">
        <v>358.44554900000003</v>
      </c>
      <c r="IM19" s="77">
        <v>817.70742800000005</v>
      </c>
      <c r="IN19" s="77">
        <v>3.3583000000000002E-2</v>
      </c>
      <c r="IO19" s="77">
        <v>0.47934700000000002</v>
      </c>
      <c r="IP19" s="77">
        <v>1028.7938730000001</v>
      </c>
      <c r="IQ19" s="77">
        <v>244.23187300000001</v>
      </c>
      <c r="IR19" s="77">
        <v>574.44570999999996</v>
      </c>
      <c r="IS19" s="77">
        <v>359.193309</v>
      </c>
      <c r="IT19" s="77">
        <v>806.34186999999997</v>
      </c>
      <c r="IU19" s="77">
        <v>3.3388000000000001E-2</v>
      </c>
      <c r="IV19" s="77">
        <v>0.47873199999999999</v>
      </c>
      <c r="IW19" s="77">
        <v>966.96556299999997</v>
      </c>
      <c r="IX19" s="77">
        <v>233.04550499999999</v>
      </c>
      <c r="IY19" s="77">
        <v>544.61050699999998</v>
      </c>
      <c r="IZ19" s="77">
        <v>336.85587199999998</v>
      </c>
      <c r="JA19" s="77">
        <v>766.88314300000002</v>
      </c>
      <c r="JB19" s="77">
        <v>3.5103000000000002E-2</v>
      </c>
      <c r="JC19" s="77">
        <v>0.48414000000000001</v>
      </c>
      <c r="JD19" s="77">
        <v>978.78834800000004</v>
      </c>
      <c r="JE19" s="77">
        <v>235.64122599999999</v>
      </c>
      <c r="JF19" s="77">
        <v>550.55238299999996</v>
      </c>
      <c r="JG19" s="77">
        <v>340.01173499999999</v>
      </c>
      <c r="JH19" s="77">
        <v>768.69824400000005</v>
      </c>
      <c r="JI19" s="77">
        <v>3.1432000000000002E-2</v>
      </c>
      <c r="JJ19" s="77">
        <v>0.47256199999999998</v>
      </c>
      <c r="JK19" s="77">
        <v>924.053586</v>
      </c>
      <c r="JL19" s="77">
        <v>221.53083699999999</v>
      </c>
      <c r="JM19" s="77">
        <v>518.57661499999995</v>
      </c>
      <c r="JN19" s="77">
        <v>321.78778</v>
      </c>
      <c r="JO19" s="77">
        <v>720.20776799999999</v>
      </c>
      <c r="JP19" s="77">
        <v>2.7039000000000001E-2</v>
      </c>
      <c r="JQ19" s="77">
        <v>0.458708</v>
      </c>
      <c r="JR19" s="77">
        <v>880.08810900000003</v>
      </c>
      <c r="JS19" s="77">
        <v>207.99976599999999</v>
      </c>
      <c r="JT19" s="77">
        <v>485.12215500000002</v>
      </c>
      <c r="JU19" s="77">
        <v>308.59965299999999</v>
      </c>
      <c r="JV19" s="77">
        <v>669.85888499999999</v>
      </c>
      <c r="JW19" s="77">
        <v>1.471784</v>
      </c>
      <c r="JX19" s="77">
        <v>2.2950979999999999</v>
      </c>
      <c r="JY19" s="77">
        <v>1535.5447220000001</v>
      </c>
      <c r="JZ19" s="77">
        <v>429.59005500000001</v>
      </c>
      <c r="KA19" s="77">
        <v>874.05341899999996</v>
      </c>
      <c r="KB19" s="77">
        <v>1.4769190000000001</v>
      </c>
      <c r="KC19" s="77">
        <v>1.4491179999999999</v>
      </c>
      <c r="KD19" s="77">
        <v>425.884388</v>
      </c>
      <c r="KE19" s="77">
        <v>392.31219299999998</v>
      </c>
      <c r="KF19" s="77">
        <v>421.83653399999997</v>
      </c>
      <c r="KG19" s="77">
        <v>492.48587800000001</v>
      </c>
      <c r="KH19" s="77">
        <v>411.83462700000001</v>
      </c>
      <c r="KI19" s="77">
        <v>422.79880300000002</v>
      </c>
      <c r="KJ19" s="77">
        <v>402.90630099999998</v>
      </c>
      <c r="KK19" s="77">
        <v>404.92876100000001</v>
      </c>
      <c r="KL19" s="77">
        <v>371.35658599999999</v>
      </c>
      <c r="KM19" s="77">
        <v>407.83917500000001</v>
      </c>
      <c r="KN19" s="77">
        <v>476.95000099999999</v>
      </c>
      <c r="KO19" s="77">
        <v>398.301064</v>
      </c>
      <c r="KP19" s="77">
        <v>408.766031</v>
      </c>
      <c r="KQ19" s="77">
        <v>389.260086</v>
      </c>
      <c r="KR19" s="77">
        <v>389.272738</v>
      </c>
      <c r="KS19" s="77">
        <v>355.700558</v>
      </c>
      <c r="KT19" s="77">
        <v>382.445764</v>
      </c>
      <c r="KU19" s="77">
        <v>449.89039000000002</v>
      </c>
      <c r="KV19" s="77">
        <v>373.83991099999997</v>
      </c>
      <c r="KW19" s="77">
        <v>384.06302699999998</v>
      </c>
      <c r="KX19" s="77">
        <v>366.60173700000001</v>
      </c>
      <c r="KY19" s="77">
        <v>383.88154800000001</v>
      </c>
      <c r="KZ19" s="77">
        <v>350.309372</v>
      </c>
      <c r="LA19" s="77">
        <v>379.43833699999999</v>
      </c>
      <c r="LB19" s="77">
        <v>444.04257699999999</v>
      </c>
      <c r="LC19" s="77">
        <v>371.48990700000002</v>
      </c>
      <c r="LD19" s="77">
        <v>380.653164</v>
      </c>
      <c r="LE19" s="77">
        <v>363.153569</v>
      </c>
      <c r="LF19" s="77">
        <v>427.14680900000002</v>
      </c>
      <c r="LG19" s="77">
        <v>393.57463100000001</v>
      </c>
      <c r="LH19" s="77">
        <v>431.73707999999999</v>
      </c>
      <c r="LI19" s="77">
        <v>503.69418000000002</v>
      </c>
      <c r="LJ19" s="77">
        <v>421.19173499999999</v>
      </c>
      <c r="LK19" s="77">
        <v>432.47658300000001</v>
      </c>
      <c r="LL19" s="77">
        <v>411.69137499999999</v>
      </c>
      <c r="LM19" s="77">
        <v>406.53936299999998</v>
      </c>
      <c r="LN19" s="77">
        <v>372.96719100000001</v>
      </c>
      <c r="LO19" s="77">
        <v>401.794781</v>
      </c>
      <c r="LP19" s="77">
        <v>470.695086</v>
      </c>
      <c r="LQ19" s="77">
        <v>392.58749299999999</v>
      </c>
      <c r="LR19" s="77">
        <v>403.16993200000002</v>
      </c>
      <c r="LS19" s="77">
        <v>384.72795400000001</v>
      </c>
      <c r="LT19" s="77">
        <v>381.68754100000001</v>
      </c>
      <c r="LU19" s="77">
        <v>348.11536999999998</v>
      </c>
      <c r="LV19" s="77">
        <v>377.31054399999999</v>
      </c>
      <c r="LW19" s="77">
        <v>443.73078500000003</v>
      </c>
      <c r="LX19" s="77">
        <v>369.04438099999999</v>
      </c>
      <c r="LY19" s="77">
        <v>378.95655599999998</v>
      </c>
      <c r="LZ19" s="77">
        <v>361.86937799999998</v>
      </c>
      <c r="MA19" s="77">
        <v>383.37258100000003</v>
      </c>
      <c r="MB19" s="77">
        <v>349.800411</v>
      </c>
      <c r="MC19" s="77">
        <v>394.37847799999997</v>
      </c>
      <c r="MD19" s="77">
        <v>462.34430400000002</v>
      </c>
      <c r="ME19" s="77">
        <v>385.44749200000001</v>
      </c>
      <c r="MF19" s="77">
        <v>395.72295400000002</v>
      </c>
      <c r="MG19" s="77">
        <v>377.49527799999998</v>
      </c>
      <c r="MH19" s="77">
        <v>442.39209699999998</v>
      </c>
      <c r="MI19" s="77">
        <v>408.81993299999999</v>
      </c>
      <c r="MJ19" s="77">
        <v>425.48846300000002</v>
      </c>
      <c r="MK19" s="77">
        <v>496.90427799999998</v>
      </c>
      <c r="ML19" s="77">
        <v>415.229873</v>
      </c>
      <c r="MM19" s="77">
        <v>426.42495700000001</v>
      </c>
      <c r="MN19" s="77">
        <v>406.24310000000003</v>
      </c>
      <c r="MO19" s="77">
        <v>419.68768399999999</v>
      </c>
      <c r="MP19" s="77">
        <v>386.11551700000001</v>
      </c>
      <c r="MQ19" s="77">
        <v>419.79314099999999</v>
      </c>
      <c r="MR19" s="77">
        <v>490.87828300000001</v>
      </c>
      <c r="MS19" s="77">
        <v>409.70780000000002</v>
      </c>
      <c r="MT19" s="77">
        <v>420.84680900000001</v>
      </c>
      <c r="MU19" s="77">
        <v>401.026432</v>
      </c>
      <c r="MV19" s="77">
        <v>400.95432799999998</v>
      </c>
      <c r="MW19" s="77">
        <v>367.382158</v>
      </c>
      <c r="MX19" s="77">
        <v>406.886439</v>
      </c>
      <c r="MY19" s="77">
        <v>476.02513499999998</v>
      </c>
      <c r="MZ19" s="77">
        <v>397.55116700000002</v>
      </c>
      <c r="NA19" s="77">
        <v>408.17199699999998</v>
      </c>
      <c r="NB19" s="77">
        <v>389.458055</v>
      </c>
      <c r="NC19" s="77">
        <v>400.13894900000003</v>
      </c>
      <c r="ND19" s="77">
        <v>366.56677999999999</v>
      </c>
      <c r="NE19" s="77">
        <v>389.43726400000003</v>
      </c>
      <c r="NF19" s="77">
        <v>457.026974</v>
      </c>
      <c r="NG19" s="77">
        <v>380.73706600000003</v>
      </c>
      <c r="NH19" s="77">
        <v>390.97202399999998</v>
      </c>
      <c r="NI19" s="77">
        <v>373.28279800000001</v>
      </c>
      <c r="NJ19" s="77">
        <v>377.22700700000001</v>
      </c>
      <c r="NK19" s="77">
        <v>343.65484099999998</v>
      </c>
      <c r="NL19" s="77">
        <v>371.24163800000002</v>
      </c>
      <c r="NM19" s="77">
        <v>435.40835600000003</v>
      </c>
      <c r="NN19" s="77">
        <v>363.72472800000003</v>
      </c>
      <c r="NO19" s="77">
        <v>372.95421599999997</v>
      </c>
      <c r="NP19" s="77">
        <v>356.697475</v>
      </c>
      <c r="NQ19" s="77">
        <v>452.28932800000001</v>
      </c>
      <c r="NR19" s="77">
        <v>418.71714600000001</v>
      </c>
      <c r="NS19" s="77">
        <v>449.50779299999999</v>
      </c>
      <c r="NT19" s="77">
        <v>524.16111899999999</v>
      </c>
      <c r="NU19" s="77">
        <v>438.41183599999999</v>
      </c>
      <c r="NV19" s="77">
        <v>450.753828</v>
      </c>
      <c r="NW19" s="77">
        <v>430.28285299999999</v>
      </c>
      <c r="NX19" s="77">
        <v>425.30285099999998</v>
      </c>
      <c r="NY19" s="77">
        <v>391.73068000000001</v>
      </c>
      <c r="NZ19" s="77">
        <v>430.90373099999999</v>
      </c>
      <c r="OA19" s="77">
        <v>502.341093</v>
      </c>
      <c r="OB19" s="77">
        <v>420.56298800000002</v>
      </c>
      <c r="OC19" s="77">
        <v>431.71251999999998</v>
      </c>
      <c r="OD19" s="77">
        <v>411.239238</v>
      </c>
      <c r="OE19" s="77">
        <v>373.20938599999999</v>
      </c>
      <c r="OF19" s="77">
        <v>339.63721900000002</v>
      </c>
      <c r="OG19" s="77">
        <v>368.114912</v>
      </c>
      <c r="OH19" s="77">
        <v>434.51482199999998</v>
      </c>
      <c r="OI19" s="77">
        <v>360.01899700000001</v>
      </c>
      <c r="OJ19" s="77">
        <v>370.03863000000001</v>
      </c>
      <c r="OK19" s="77">
        <v>353.57714800000002</v>
      </c>
      <c r="OL19" s="77">
        <v>395.74778800000001</v>
      </c>
      <c r="OM19" s="77">
        <v>362.17562700000002</v>
      </c>
      <c r="ON19" s="77">
        <v>419.15610600000002</v>
      </c>
      <c r="OO19" s="77">
        <v>492.65889199999998</v>
      </c>
      <c r="OP19" s="77">
        <v>408.63514800000002</v>
      </c>
      <c r="OQ19" s="77">
        <v>420.76229000000001</v>
      </c>
      <c r="OR19" s="77">
        <v>401.44299899999999</v>
      </c>
      <c r="OS19" s="77">
        <v>422.99015100000003</v>
      </c>
      <c r="OT19" s="77">
        <v>389.41796699999998</v>
      </c>
      <c r="OU19" s="77">
        <v>395.62258400000002</v>
      </c>
      <c r="OV19" s="77">
        <v>462.776183</v>
      </c>
      <c r="OW19" s="77">
        <v>387.07384500000001</v>
      </c>
      <c r="OX19" s="77">
        <v>397.18128100000001</v>
      </c>
      <c r="OY19" s="77">
        <v>379.67728099999999</v>
      </c>
      <c r="OZ19" s="77">
        <v>387.37186200000002</v>
      </c>
      <c r="PA19" s="77">
        <v>353.79969999999997</v>
      </c>
      <c r="PB19" s="77">
        <v>383.43387899999999</v>
      </c>
      <c r="PC19" s="77">
        <v>451.27179599999999</v>
      </c>
      <c r="PD19" s="77">
        <v>374.82959099999999</v>
      </c>
      <c r="PE19" s="77">
        <v>385.26379100000003</v>
      </c>
      <c r="PF19" s="77">
        <v>368.15790600000003</v>
      </c>
      <c r="PG19" s="77">
        <v>433.96405700000003</v>
      </c>
      <c r="PH19" s="77">
        <v>400.391887</v>
      </c>
      <c r="PI19" s="77">
        <v>426.47596800000002</v>
      </c>
      <c r="PJ19" s="77">
        <v>499.034672</v>
      </c>
      <c r="PK19" s="77">
        <v>415.89256899999998</v>
      </c>
      <c r="PL19" s="77">
        <v>427.47222299999999</v>
      </c>
      <c r="PM19" s="77">
        <v>407.07789200000002</v>
      </c>
      <c r="PN19" s="77">
        <v>427.09374700000001</v>
      </c>
      <c r="PO19" s="77">
        <v>393.52157399999999</v>
      </c>
      <c r="PP19" s="77">
        <v>438.12488100000002</v>
      </c>
      <c r="PQ19" s="77">
        <v>513.42173700000001</v>
      </c>
      <c r="PR19" s="77">
        <v>426.76851599999998</v>
      </c>
      <c r="PS19" s="77">
        <v>439.27318300000002</v>
      </c>
      <c r="PT19" s="77">
        <v>418.38947100000001</v>
      </c>
      <c r="PU19" s="77">
        <v>435.91368</v>
      </c>
      <c r="PV19" s="77">
        <v>402.34150499999998</v>
      </c>
      <c r="PW19" s="77">
        <v>437.71229099999999</v>
      </c>
      <c r="PX19" s="77">
        <v>513.17388900000003</v>
      </c>
      <c r="PY19" s="77">
        <v>426.50458200000003</v>
      </c>
      <c r="PZ19" s="77">
        <v>439.200425</v>
      </c>
      <c r="QA19" s="77">
        <v>419.02518700000002</v>
      </c>
      <c r="QB19" s="77">
        <v>415.62179200000003</v>
      </c>
      <c r="QC19" s="77">
        <v>382.04962699999999</v>
      </c>
      <c r="QD19" s="77">
        <v>415.13426800000002</v>
      </c>
      <c r="QE19" s="77">
        <v>486.18741699999998</v>
      </c>
      <c r="QF19" s="77">
        <v>405.19222300000001</v>
      </c>
      <c r="QG19" s="77">
        <v>416.41363699999999</v>
      </c>
      <c r="QH19" s="77">
        <v>397.10642000000001</v>
      </c>
      <c r="QI19" s="77">
        <v>406.84526399999999</v>
      </c>
      <c r="QJ19" s="77">
        <v>373.27310199999999</v>
      </c>
      <c r="QK19" s="77">
        <v>406.759659</v>
      </c>
      <c r="QL19" s="77">
        <v>481.82387599999998</v>
      </c>
      <c r="QM19" s="77">
        <v>396.05633</v>
      </c>
      <c r="QN19" s="77">
        <v>408.890512</v>
      </c>
      <c r="QO19" s="77">
        <v>390.26932399999998</v>
      </c>
      <c r="QP19" s="77">
        <v>422.60115300000001</v>
      </c>
      <c r="QQ19" s="77">
        <v>389.02899000000002</v>
      </c>
      <c r="QR19" s="77">
        <v>424.07709299999999</v>
      </c>
      <c r="QS19" s="77">
        <v>500.62540200000001</v>
      </c>
    </row>
    <row r="20" spans="6:461" x14ac:dyDescent="0.25">
      <c r="F20" s="76" t="str">
        <f xml:space="preserve"> _xll.EPMOlapMemberO("[PRDDESCR].[].[HELGAS GFREE TRAD WHITE 470G]","","HELGAS GFREE TRAD WHITE 470G","","000")</f>
        <v>HELGAS GFREE TRAD WHITE 470G</v>
      </c>
      <c r="G20" s="76" t="str">
        <f xml:space="preserve"> _xll.EPMOlapMemberO("[PRDID].[].[168846]","","168846","","000")</f>
        <v>168846</v>
      </c>
      <c r="H20" s="76" t="str">
        <f xml:space="preserve"> _xll.EPMOlapMemberO("[LOCID].[].[6125]","","6125","","000")</f>
        <v>6125</v>
      </c>
      <c r="I20" s="76" t="str">
        <f xml:space="preserve"> _xll.EPMOlapMemberO("[LOCDESCR].[].[QBA -Keilor Park]","","QBA -Keilor Park","","000")</f>
        <v>QBA -Keilor Park</v>
      </c>
      <c r="J20" s="76" t="str">
        <f xml:space="preserve"> _xll.EPMOlapMemberO("[KEY_FIGURES].[].[ZGFAPPROVEDFCSTQTY]","","Approved Forecast","","000")</f>
        <v>Approved Forecast</v>
      </c>
      <c r="K20" s="77">
        <v>1.2067490000000001</v>
      </c>
      <c r="L20" s="77">
        <v>956.12899900000002</v>
      </c>
      <c r="M20" s="77">
        <v>236.05004500000001</v>
      </c>
      <c r="N20" s="77">
        <v>423.00269400000002</v>
      </c>
      <c r="O20" s="77">
        <v>528.62475099999995</v>
      </c>
      <c r="P20" s="77">
        <v>483.34410200000002</v>
      </c>
      <c r="Q20" s="77">
        <v>0</v>
      </c>
      <c r="R20" s="77">
        <v>0.89147299999999996</v>
      </c>
      <c r="S20" s="77">
        <v>931.64367100000004</v>
      </c>
      <c r="T20" s="77">
        <v>210.24909</v>
      </c>
      <c r="U20" s="77">
        <v>416.08423499999998</v>
      </c>
      <c r="V20" s="77">
        <v>520.43607099999997</v>
      </c>
      <c r="W20" s="77">
        <v>494.064029</v>
      </c>
      <c r="X20" s="77">
        <v>0.33446300000000001</v>
      </c>
      <c r="Y20" s="77">
        <v>0.14444899999999999</v>
      </c>
      <c r="Z20" s="77">
        <v>1136.5333840000001</v>
      </c>
      <c r="AA20" s="77">
        <v>213.597408</v>
      </c>
      <c r="AB20" s="77">
        <v>489.56725799999998</v>
      </c>
      <c r="AC20" s="77">
        <v>622.31989299999998</v>
      </c>
      <c r="AD20" s="77">
        <v>515.44687599999997</v>
      </c>
      <c r="AE20" s="77"/>
      <c r="AF20" s="77"/>
      <c r="AG20" s="77"/>
      <c r="AH20" s="77"/>
      <c r="AI20" s="77"/>
      <c r="AJ20" s="77"/>
      <c r="AK20" s="77"/>
      <c r="AL20" s="77">
        <v>0.307894</v>
      </c>
      <c r="AM20" s="77">
        <v>0.13398299999999999</v>
      </c>
      <c r="AN20" s="77">
        <v>1027.5082809999999</v>
      </c>
      <c r="AO20" s="77">
        <v>191.86992799999999</v>
      </c>
      <c r="AP20" s="77">
        <v>439.89742699999999</v>
      </c>
      <c r="AQ20" s="77">
        <v>565.84759399999996</v>
      </c>
      <c r="AR20" s="77">
        <v>466.16804999999999</v>
      </c>
      <c r="AS20" s="77">
        <v>0.256214</v>
      </c>
      <c r="AT20" s="77">
        <v>0.138376</v>
      </c>
      <c r="AU20" s="77">
        <v>980.80214100000001</v>
      </c>
      <c r="AV20" s="77">
        <v>174.93066899999999</v>
      </c>
      <c r="AW20" s="77">
        <v>423.92883899999998</v>
      </c>
      <c r="AX20" s="77">
        <v>558.53266799999994</v>
      </c>
      <c r="AY20" s="77">
        <v>495.62306100000001</v>
      </c>
      <c r="AZ20" s="77">
        <v>0.273428</v>
      </c>
      <c r="BA20" s="77">
        <v>0.127689</v>
      </c>
      <c r="BB20" s="77">
        <v>935.28823499999999</v>
      </c>
      <c r="BC20" s="77">
        <v>172.35903500000001</v>
      </c>
      <c r="BD20" s="77">
        <v>404.22959200000003</v>
      </c>
      <c r="BE20" s="77">
        <v>520.48550599999999</v>
      </c>
      <c r="BF20" s="77">
        <v>444.99822899999998</v>
      </c>
      <c r="BG20" s="77">
        <v>0.28897899999999999</v>
      </c>
      <c r="BH20" s="77">
        <v>0.14924100000000001</v>
      </c>
      <c r="BI20" s="77">
        <v>1071.0187350000001</v>
      </c>
      <c r="BJ20" s="77">
        <v>191.40013300000001</v>
      </c>
      <c r="BK20" s="77">
        <v>462.98656299999999</v>
      </c>
      <c r="BL20" s="77">
        <v>609.12930900000003</v>
      </c>
      <c r="BM20" s="77">
        <v>538.64116000000001</v>
      </c>
      <c r="BN20" s="77">
        <v>0.28426400000000002</v>
      </c>
      <c r="BO20" s="77">
        <v>0.15176700000000001</v>
      </c>
      <c r="BP20" s="77">
        <v>1076.3305089999999</v>
      </c>
      <c r="BQ20" s="77">
        <v>192.85316700000001</v>
      </c>
      <c r="BR20" s="77">
        <v>465.60333100000003</v>
      </c>
      <c r="BS20" s="77">
        <v>611.89480000000003</v>
      </c>
      <c r="BT20" s="77">
        <v>541.13451399999997</v>
      </c>
      <c r="BU20" s="77">
        <v>0.28276200000000001</v>
      </c>
      <c r="BV20" s="77">
        <v>0.142096</v>
      </c>
      <c r="BW20" s="77">
        <v>1046.419578</v>
      </c>
      <c r="BX20" s="77">
        <v>188.50241199999999</v>
      </c>
      <c r="BY20" s="77">
        <v>453.50056000000001</v>
      </c>
      <c r="BZ20" s="77">
        <v>591.77818300000001</v>
      </c>
      <c r="CA20" s="77">
        <v>522.06416400000001</v>
      </c>
      <c r="CB20" s="77">
        <v>0.29196</v>
      </c>
      <c r="CC20" s="77">
        <v>0.15107799999999999</v>
      </c>
      <c r="CD20" s="77">
        <v>1092.850567</v>
      </c>
      <c r="CE20" s="77">
        <v>197.491962</v>
      </c>
      <c r="CF20" s="77">
        <v>469.228295</v>
      </c>
      <c r="CG20" s="77">
        <v>616.764096</v>
      </c>
      <c r="CH20" s="77">
        <v>532.53350499999999</v>
      </c>
      <c r="CI20" s="77">
        <v>0.24179700000000001</v>
      </c>
      <c r="CJ20" s="77">
        <v>0.12917300000000001</v>
      </c>
      <c r="CK20" s="77">
        <v>899.27599699999996</v>
      </c>
      <c r="CL20" s="77">
        <v>161.596745</v>
      </c>
      <c r="CM20" s="77">
        <v>390.31097199999999</v>
      </c>
      <c r="CN20" s="77">
        <v>509.86590000000001</v>
      </c>
      <c r="CO20" s="77">
        <v>452.802775</v>
      </c>
      <c r="CP20" s="77">
        <v>0.29190199999999999</v>
      </c>
      <c r="CQ20" s="77">
        <v>0.14102500000000001</v>
      </c>
      <c r="CR20" s="77">
        <v>1034.448474</v>
      </c>
      <c r="CS20" s="77">
        <v>188.614802</v>
      </c>
      <c r="CT20" s="77">
        <v>446.47935100000001</v>
      </c>
      <c r="CU20" s="77">
        <v>579.91072299999996</v>
      </c>
      <c r="CV20" s="77">
        <v>500.49472100000003</v>
      </c>
      <c r="CW20" s="77">
        <v>0.29047899999999999</v>
      </c>
      <c r="CX20" s="77">
        <v>0.13308</v>
      </c>
      <c r="CY20" s="77">
        <v>1022.567291</v>
      </c>
      <c r="CZ20" s="77">
        <v>186.86024499999999</v>
      </c>
      <c r="DA20" s="77">
        <v>438.31135599999999</v>
      </c>
      <c r="DB20" s="77">
        <v>571.44941700000004</v>
      </c>
      <c r="DC20" s="77">
        <v>484.28591999999998</v>
      </c>
      <c r="DD20" s="77">
        <v>0.245499</v>
      </c>
      <c r="DE20" s="77">
        <v>0.13808500000000001</v>
      </c>
      <c r="DF20" s="77">
        <v>983.90013499999998</v>
      </c>
      <c r="DG20" s="77">
        <v>172.863812</v>
      </c>
      <c r="DH20" s="77">
        <v>429.51664299999999</v>
      </c>
      <c r="DI20" s="77">
        <v>566.287059</v>
      </c>
      <c r="DJ20" s="77">
        <v>520.122118</v>
      </c>
      <c r="DK20" s="77">
        <v>0.25818099999999999</v>
      </c>
      <c r="DL20" s="77">
        <v>0.14040900000000001</v>
      </c>
      <c r="DM20" s="77">
        <v>944.02523699999995</v>
      </c>
      <c r="DN20" s="77">
        <v>169.96714499999999</v>
      </c>
      <c r="DO20" s="77">
        <v>408.92475000000002</v>
      </c>
      <c r="DP20" s="77">
        <v>534.61247500000002</v>
      </c>
      <c r="DQ20" s="77">
        <v>472.05542600000001</v>
      </c>
      <c r="DR20" s="77">
        <v>0.27911900000000001</v>
      </c>
      <c r="DS20" s="77">
        <v>0.14153299999999999</v>
      </c>
      <c r="DT20" s="77">
        <v>1027.821222</v>
      </c>
      <c r="DU20" s="77">
        <v>184.83171300000001</v>
      </c>
      <c r="DV20" s="77">
        <v>444.35519699999998</v>
      </c>
      <c r="DW20" s="77">
        <v>581.68101200000001</v>
      </c>
      <c r="DX20" s="77">
        <v>511.46103900000003</v>
      </c>
      <c r="DY20" s="77">
        <v>0.28413899999999997</v>
      </c>
      <c r="DZ20" s="77">
        <v>0.147032</v>
      </c>
      <c r="EA20" s="77">
        <v>1062.466469</v>
      </c>
      <c r="EB20" s="77">
        <v>189.40090000000001</v>
      </c>
      <c r="EC20" s="77">
        <v>458.503129</v>
      </c>
      <c r="ED20" s="77">
        <v>604.44193700000005</v>
      </c>
      <c r="EE20" s="77">
        <v>534.21256000000005</v>
      </c>
      <c r="EF20" s="77">
        <v>0.28130899999999998</v>
      </c>
      <c r="EG20" s="77">
        <v>0.13760800000000001</v>
      </c>
      <c r="EH20" s="77">
        <v>1035.5647530000001</v>
      </c>
      <c r="EI20" s="77">
        <v>187.811826</v>
      </c>
      <c r="EJ20" s="77">
        <v>444.54535900000002</v>
      </c>
      <c r="EK20" s="77">
        <v>582.45960600000001</v>
      </c>
      <c r="EL20" s="77">
        <v>500.16901899999999</v>
      </c>
      <c r="EM20" s="77">
        <v>0.28104200000000001</v>
      </c>
      <c r="EN20" s="77">
        <v>0.139539</v>
      </c>
      <c r="EO20" s="77">
        <v>1018.51847</v>
      </c>
      <c r="EP20" s="77">
        <v>184.68209400000001</v>
      </c>
      <c r="EQ20" s="77">
        <v>439.10682100000002</v>
      </c>
      <c r="ER20" s="77">
        <v>573.20052799999996</v>
      </c>
      <c r="ES20" s="77">
        <v>496.75635399999999</v>
      </c>
      <c r="ET20" s="77">
        <v>0.27320299999999997</v>
      </c>
      <c r="EU20" s="77">
        <v>0.13312099999999999</v>
      </c>
      <c r="EV20" s="77">
        <v>966.08190200000001</v>
      </c>
      <c r="EW20" s="77">
        <v>176.71142900000001</v>
      </c>
      <c r="EX20" s="77">
        <v>416.76256699999999</v>
      </c>
      <c r="EY20" s="77">
        <v>540.59630500000003</v>
      </c>
      <c r="EZ20" s="77">
        <v>464.64471200000003</v>
      </c>
      <c r="FA20" s="77">
        <v>0.32233299999999998</v>
      </c>
      <c r="FB20" s="77">
        <v>0.158863</v>
      </c>
      <c r="FC20" s="77">
        <v>1155.0286699999999</v>
      </c>
      <c r="FD20" s="77">
        <v>210.645072</v>
      </c>
      <c r="FE20" s="77">
        <v>494.54398700000002</v>
      </c>
      <c r="FF20" s="77">
        <v>647.27654800000005</v>
      </c>
      <c r="FG20" s="77">
        <v>549.48103100000003</v>
      </c>
      <c r="FH20" s="77">
        <v>0.26250800000000002</v>
      </c>
      <c r="FI20" s="77">
        <v>0.13957600000000001</v>
      </c>
      <c r="FJ20" s="77">
        <v>1038.469392</v>
      </c>
      <c r="FK20" s="77">
        <v>182.29266899999999</v>
      </c>
      <c r="FL20" s="77">
        <v>450.58507500000002</v>
      </c>
      <c r="FM20" s="77">
        <v>596.872612</v>
      </c>
      <c r="FN20" s="77">
        <v>541.44242699999995</v>
      </c>
      <c r="FO20" s="77">
        <v>0.30163299999999998</v>
      </c>
      <c r="FP20" s="77">
        <v>0.14022399999999999</v>
      </c>
      <c r="FQ20" s="77">
        <v>1052.197527</v>
      </c>
      <c r="FR20" s="77">
        <v>195.633702</v>
      </c>
      <c r="FS20" s="77">
        <v>453.20255500000002</v>
      </c>
      <c r="FT20" s="77">
        <v>581.75429399999996</v>
      </c>
      <c r="FU20" s="77">
        <v>488.48652199999998</v>
      </c>
      <c r="FV20" s="77">
        <v>0.28171099999999999</v>
      </c>
      <c r="FW20" s="77">
        <v>0.134158</v>
      </c>
      <c r="FX20" s="77">
        <v>961.58140000000003</v>
      </c>
      <c r="FY20" s="77">
        <v>175.72723500000001</v>
      </c>
      <c r="FZ20" s="77">
        <v>415.006167</v>
      </c>
      <c r="GA20" s="77">
        <v>538.544217</v>
      </c>
      <c r="GB20" s="77">
        <v>463.90627000000001</v>
      </c>
      <c r="GC20" s="77">
        <v>0.28398099999999998</v>
      </c>
      <c r="GD20" s="77">
        <v>0.131163</v>
      </c>
      <c r="GE20" s="77">
        <v>1032.263528</v>
      </c>
      <c r="GF20" s="77">
        <v>187.52214499999999</v>
      </c>
      <c r="GG20" s="77">
        <v>444.42946000000001</v>
      </c>
      <c r="GH20" s="77">
        <v>579.54887099999996</v>
      </c>
      <c r="GI20" s="77">
        <v>499.21517399999999</v>
      </c>
      <c r="GJ20" s="77">
        <v>0.28734100000000001</v>
      </c>
      <c r="GK20" s="77">
        <v>0.14629600000000001</v>
      </c>
      <c r="GL20" s="77">
        <v>1008.96656</v>
      </c>
      <c r="GM20" s="77">
        <v>183.13159300000001</v>
      </c>
      <c r="GN20" s="77">
        <v>436.422844</v>
      </c>
      <c r="GO20" s="77">
        <v>567.65795100000003</v>
      </c>
      <c r="GP20" s="77">
        <v>494.80793699999998</v>
      </c>
      <c r="GQ20" s="77">
        <v>0.28104200000000001</v>
      </c>
      <c r="GR20" s="77">
        <v>0.13584099999999999</v>
      </c>
      <c r="GS20" s="77">
        <v>977.58167500000002</v>
      </c>
      <c r="GT20" s="77">
        <v>179.188017</v>
      </c>
      <c r="GU20" s="77">
        <v>423.52456699999999</v>
      </c>
      <c r="GV20" s="77">
        <v>546.41002600000002</v>
      </c>
      <c r="GW20" s="77">
        <v>472.667484</v>
      </c>
      <c r="GX20" s="77">
        <v>0.26128800000000002</v>
      </c>
      <c r="GY20" s="77">
        <v>0.13519700000000001</v>
      </c>
      <c r="GZ20" s="77">
        <v>970.96032200000002</v>
      </c>
      <c r="HA20" s="77">
        <v>174.806918</v>
      </c>
      <c r="HB20" s="77">
        <v>419.20744100000002</v>
      </c>
      <c r="HC20" s="77">
        <v>549.32078999999999</v>
      </c>
      <c r="HD20" s="77">
        <v>481.42891900000001</v>
      </c>
      <c r="HE20" s="77">
        <v>0.285578</v>
      </c>
      <c r="HF20" s="77">
        <v>0.14968200000000001</v>
      </c>
      <c r="HG20" s="77">
        <v>1076.0687359999999</v>
      </c>
      <c r="HH20" s="77">
        <v>193.25628599999999</v>
      </c>
      <c r="HI20" s="77">
        <v>463.58774299999999</v>
      </c>
      <c r="HJ20" s="77">
        <v>609.81423400000006</v>
      </c>
      <c r="HK20" s="77">
        <v>533.61211700000001</v>
      </c>
      <c r="HL20" s="77">
        <v>0.27306200000000003</v>
      </c>
      <c r="HM20" s="77">
        <v>0.13392699999999999</v>
      </c>
      <c r="HN20" s="77">
        <v>987.28800999999999</v>
      </c>
      <c r="HO20" s="77">
        <v>181.86275000000001</v>
      </c>
      <c r="HP20" s="77">
        <v>426.99737900000002</v>
      </c>
      <c r="HQ20" s="77">
        <v>549.26706999999999</v>
      </c>
      <c r="HR20" s="77">
        <v>470.13721900000002</v>
      </c>
      <c r="HS20" s="77">
        <v>0.29120200000000002</v>
      </c>
      <c r="HT20" s="77">
        <v>0.133913</v>
      </c>
      <c r="HU20" s="77">
        <v>974.89834900000005</v>
      </c>
      <c r="HV20" s="77">
        <v>177.76784699999999</v>
      </c>
      <c r="HW20" s="77">
        <v>419.61130300000002</v>
      </c>
      <c r="HX20" s="77">
        <v>546.37471200000005</v>
      </c>
      <c r="HY20" s="77">
        <v>468.83760899999999</v>
      </c>
      <c r="HZ20" s="77">
        <v>0.293937</v>
      </c>
      <c r="IA20" s="77">
        <v>0.14117499999999999</v>
      </c>
      <c r="IB20" s="77">
        <v>1042.654192</v>
      </c>
      <c r="IC20" s="77">
        <v>190.755053</v>
      </c>
      <c r="ID20" s="77">
        <v>449.60677099999998</v>
      </c>
      <c r="IE20" s="77">
        <v>583.53519700000004</v>
      </c>
      <c r="IF20" s="77">
        <v>501.14741500000002</v>
      </c>
      <c r="IG20" s="77">
        <v>0.31108400000000003</v>
      </c>
      <c r="IH20" s="77">
        <v>0.149841</v>
      </c>
      <c r="II20" s="77">
        <v>1135.9466</v>
      </c>
      <c r="IJ20" s="77">
        <v>204.217467</v>
      </c>
      <c r="IK20" s="77">
        <v>489.71581099999997</v>
      </c>
      <c r="IL20" s="77">
        <v>642.14777600000002</v>
      </c>
      <c r="IM20" s="77">
        <v>560.83560499999999</v>
      </c>
      <c r="IN20" s="77">
        <v>0.29006199999999999</v>
      </c>
      <c r="IO20" s="77">
        <v>0.14530999999999999</v>
      </c>
      <c r="IP20" s="77">
        <v>1071.1842019999999</v>
      </c>
      <c r="IQ20" s="77">
        <v>192.89780400000001</v>
      </c>
      <c r="IR20" s="77">
        <v>464.12770399999999</v>
      </c>
      <c r="IS20" s="77">
        <v>605.39894400000003</v>
      </c>
      <c r="IT20" s="77">
        <v>533.512745</v>
      </c>
      <c r="IU20" s="77">
        <v>0.28182000000000001</v>
      </c>
      <c r="IV20" s="77">
        <v>0.14468700000000001</v>
      </c>
      <c r="IW20" s="77">
        <v>1010.960139</v>
      </c>
      <c r="IX20" s="77">
        <v>182.98592500000001</v>
      </c>
      <c r="IY20" s="77">
        <v>437.28777500000001</v>
      </c>
      <c r="IZ20" s="77">
        <v>570.39948700000002</v>
      </c>
      <c r="JA20" s="77">
        <v>499.26840800000002</v>
      </c>
      <c r="JB20" s="77">
        <v>0.27432899999999999</v>
      </c>
      <c r="JC20" s="77">
        <v>0.14249800000000001</v>
      </c>
      <c r="JD20" s="77">
        <v>1034.011252</v>
      </c>
      <c r="JE20" s="77">
        <v>185.250439</v>
      </c>
      <c r="JF20" s="77">
        <v>446.30276199999997</v>
      </c>
      <c r="JG20" s="77">
        <v>586.77079700000002</v>
      </c>
      <c r="JH20" s="77">
        <v>516.50607500000001</v>
      </c>
      <c r="JI20" s="77">
        <v>0.26028699999999999</v>
      </c>
      <c r="JJ20" s="77">
        <v>0.137521</v>
      </c>
      <c r="JK20" s="77">
        <v>991.97838999999999</v>
      </c>
      <c r="JL20" s="77">
        <v>177.63570000000001</v>
      </c>
      <c r="JM20" s="77">
        <v>428.71927499999998</v>
      </c>
      <c r="JN20" s="77">
        <v>563.39901199999997</v>
      </c>
      <c r="JO20" s="77">
        <v>497.74328700000001</v>
      </c>
      <c r="JP20" s="77">
        <v>0.27480300000000002</v>
      </c>
      <c r="JQ20" s="77">
        <v>0.12587799999999999</v>
      </c>
      <c r="JR20" s="77">
        <v>964.77495599999997</v>
      </c>
      <c r="JS20" s="77">
        <v>180.59843000000001</v>
      </c>
      <c r="JT20" s="77">
        <v>415.75172099999997</v>
      </c>
      <c r="JU20" s="77">
        <v>530.23965399999997</v>
      </c>
      <c r="JV20" s="77">
        <v>441.373492</v>
      </c>
      <c r="JW20" s="77">
        <v>2.643297</v>
      </c>
      <c r="JX20" s="77">
        <v>2.3618000000000001</v>
      </c>
      <c r="JY20" s="77">
        <v>1787.962499</v>
      </c>
      <c r="JZ20" s="77">
        <v>353.492368</v>
      </c>
      <c r="KA20" s="77">
        <v>672.18495299999995</v>
      </c>
      <c r="KB20" s="77">
        <v>2.8108</v>
      </c>
      <c r="KC20" s="77">
        <v>2.5125519999999999</v>
      </c>
      <c r="KD20" s="77">
        <v>350.357506</v>
      </c>
      <c r="KE20" s="77">
        <v>350.31270999999998</v>
      </c>
      <c r="KF20" s="77">
        <v>369.83228200000002</v>
      </c>
      <c r="KG20" s="77">
        <v>475.343976</v>
      </c>
      <c r="KH20" s="77">
        <v>392.84049099999999</v>
      </c>
      <c r="KI20" s="77">
        <v>374.148842</v>
      </c>
      <c r="KJ20" s="77">
        <v>354.843682</v>
      </c>
      <c r="KK20" s="77">
        <v>346.86454099999997</v>
      </c>
      <c r="KL20" s="77">
        <v>346.82247599999999</v>
      </c>
      <c r="KM20" s="77">
        <v>373.40927699999997</v>
      </c>
      <c r="KN20" s="77">
        <v>480.52330000000001</v>
      </c>
      <c r="KO20" s="77">
        <v>397.15402499999999</v>
      </c>
      <c r="KP20" s="77">
        <v>377.193355</v>
      </c>
      <c r="KQ20" s="77">
        <v>358.53232800000001</v>
      </c>
      <c r="KR20" s="77">
        <v>343.45605799999998</v>
      </c>
      <c r="KS20" s="77">
        <v>343.41253399999999</v>
      </c>
      <c r="KT20" s="77">
        <v>362.17542900000001</v>
      </c>
      <c r="KU20" s="77">
        <v>460.41603800000001</v>
      </c>
      <c r="KV20" s="77">
        <v>383.46556500000003</v>
      </c>
      <c r="KW20" s="77">
        <v>366.73277999999999</v>
      </c>
      <c r="KX20" s="77">
        <v>348.14630399999999</v>
      </c>
      <c r="KY20" s="77">
        <v>348.73218400000002</v>
      </c>
      <c r="KZ20" s="77">
        <v>348.68557199999998</v>
      </c>
      <c r="LA20" s="77">
        <v>371.65895899999998</v>
      </c>
      <c r="LB20" s="77">
        <v>473.00809400000003</v>
      </c>
      <c r="LC20" s="77">
        <v>393.39664599999998</v>
      </c>
      <c r="LD20" s="77">
        <v>376.57271900000001</v>
      </c>
      <c r="LE20" s="77">
        <v>356.97021599999999</v>
      </c>
      <c r="LF20" s="77">
        <v>359.39010100000002</v>
      </c>
      <c r="LG20" s="77">
        <v>359.34488700000003</v>
      </c>
      <c r="LH20" s="77">
        <v>386.23949299999998</v>
      </c>
      <c r="LI20" s="77">
        <v>496.72294499999998</v>
      </c>
      <c r="LJ20" s="77">
        <v>410.49271399999998</v>
      </c>
      <c r="LK20" s="77">
        <v>390.36110300000001</v>
      </c>
      <c r="LL20" s="77">
        <v>370.66643099999999</v>
      </c>
      <c r="LM20" s="77">
        <v>344.92030699999998</v>
      </c>
      <c r="LN20" s="77">
        <v>344.87343700000002</v>
      </c>
      <c r="LO20" s="77">
        <v>365.42185499999999</v>
      </c>
      <c r="LP20" s="77">
        <v>467.19253099999997</v>
      </c>
      <c r="LQ20" s="77">
        <v>387.15342700000002</v>
      </c>
      <c r="LR20" s="77">
        <v>370.07906000000003</v>
      </c>
      <c r="LS20" s="77">
        <v>350.53283599999997</v>
      </c>
      <c r="LT20" s="77">
        <v>328.14881700000001</v>
      </c>
      <c r="LU20" s="77">
        <v>328.10529400000001</v>
      </c>
      <c r="LV20" s="77">
        <v>349.80801300000002</v>
      </c>
      <c r="LW20" s="77">
        <v>446.251734</v>
      </c>
      <c r="LX20" s="77">
        <v>370.588908</v>
      </c>
      <c r="LY20" s="77">
        <v>354.327111</v>
      </c>
      <c r="LZ20" s="77">
        <v>335.91255000000001</v>
      </c>
      <c r="MA20" s="77">
        <v>331.15839299999999</v>
      </c>
      <c r="MB20" s="77">
        <v>331.114779</v>
      </c>
      <c r="MC20" s="77">
        <v>366.941441</v>
      </c>
      <c r="MD20" s="77">
        <v>467.60434299999997</v>
      </c>
      <c r="ME20" s="77">
        <v>388.78509300000002</v>
      </c>
      <c r="MF20" s="77">
        <v>371.183967</v>
      </c>
      <c r="MG20" s="77">
        <v>352.54235699999998</v>
      </c>
      <c r="MH20" s="77">
        <v>396.910954</v>
      </c>
      <c r="MI20" s="77">
        <v>396.86384600000002</v>
      </c>
      <c r="MJ20" s="77">
        <v>404.271231</v>
      </c>
      <c r="MK20" s="77">
        <v>514.22861999999998</v>
      </c>
      <c r="ML20" s="77">
        <v>428.05423500000001</v>
      </c>
      <c r="MM20" s="77">
        <v>408.41599300000001</v>
      </c>
      <c r="MN20" s="77">
        <v>388.39670100000001</v>
      </c>
      <c r="MO20" s="77">
        <v>375.41706299999998</v>
      </c>
      <c r="MP20" s="77">
        <v>375.37393300000002</v>
      </c>
      <c r="MQ20" s="77">
        <v>398.94448599999998</v>
      </c>
      <c r="MR20" s="77">
        <v>508.81238400000001</v>
      </c>
      <c r="MS20" s="77">
        <v>423.26557200000002</v>
      </c>
      <c r="MT20" s="77">
        <v>402.695153</v>
      </c>
      <c r="MU20" s="77">
        <v>383.63165700000002</v>
      </c>
      <c r="MV20" s="77">
        <v>343.31199099999998</v>
      </c>
      <c r="MW20" s="77">
        <v>343.27119499999998</v>
      </c>
      <c r="MX20" s="77">
        <v>373.91380099999998</v>
      </c>
      <c r="MY20" s="77">
        <v>481.31906199999997</v>
      </c>
      <c r="MZ20" s="77">
        <v>397.93876599999999</v>
      </c>
      <c r="NA20" s="77">
        <v>377.63800900000001</v>
      </c>
      <c r="NB20" s="77">
        <v>359.21909199999999</v>
      </c>
      <c r="NC20" s="77">
        <v>356.32278700000001</v>
      </c>
      <c r="ND20" s="77">
        <v>356.281564</v>
      </c>
      <c r="NE20" s="77">
        <v>370.62541900000002</v>
      </c>
      <c r="NF20" s="77">
        <v>469.07293099999998</v>
      </c>
      <c r="NG20" s="77">
        <v>392.29362099999997</v>
      </c>
      <c r="NH20" s="77">
        <v>374.964856</v>
      </c>
      <c r="NI20" s="77">
        <v>356.89556399999998</v>
      </c>
      <c r="NJ20" s="77">
        <v>345.57188100000002</v>
      </c>
      <c r="NK20" s="77">
        <v>345.52837699999998</v>
      </c>
      <c r="NL20" s="77">
        <v>367.31242200000003</v>
      </c>
      <c r="NM20" s="77">
        <v>464.488089</v>
      </c>
      <c r="NN20" s="77">
        <v>388.32819000000001</v>
      </c>
      <c r="NO20" s="77">
        <v>371.93994800000002</v>
      </c>
      <c r="NP20" s="77">
        <v>353.40385099999997</v>
      </c>
      <c r="NQ20" s="77">
        <v>379.75637899999998</v>
      </c>
      <c r="NR20" s="77">
        <v>379.70985899999999</v>
      </c>
      <c r="NS20" s="77">
        <v>399.92668500000002</v>
      </c>
      <c r="NT20" s="77">
        <v>514.24398399999995</v>
      </c>
      <c r="NU20" s="77">
        <v>425.041856</v>
      </c>
      <c r="NV20" s="77">
        <v>404.11190599999998</v>
      </c>
      <c r="NW20" s="77">
        <v>383.82483200000001</v>
      </c>
      <c r="NX20" s="77">
        <v>408.48591900000002</v>
      </c>
      <c r="NY20" s="77">
        <v>408.43878100000001</v>
      </c>
      <c r="NZ20" s="77">
        <v>438.53710699999999</v>
      </c>
      <c r="OA20" s="77">
        <v>555.70235500000001</v>
      </c>
      <c r="OB20" s="77">
        <v>464.28214300000002</v>
      </c>
      <c r="OC20" s="77">
        <v>442.56671699999998</v>
      </c>
      <c r="OD20" s="77">
        <v>422.00536299999999</v>
      </c>
      <c r="OE20" s="77">
        <v>366.469336</v>
      </c>
      <c r="OF20" s="77">
        <v>366.421359</v>
      </c>
      <c r="OG20" s="77">
        <v>389.50240700000001</v>
      </c>
      <c r="OH20" s="77">
        <v>489.63655299999999</v>
      </c>
      <c r="OI20" s="77">
        <v>410.716294</v>
      </c>
      <c r="OJ20" s="77">
        <v>394.544173</v>
      </c>
      <c r="OK20" s="77">
        <v>374.730974</v>
      </c>
      <c r="OL20" s="77">
        <v>356.66081400000002</v>
      </c>
      <c r="OM20" s="77">
        <v>356.61090300000001</v>
      </c>
      <c r="ON20" s="77">
        <v>403.671809</v>
      </c>
      <c r="OO20" s="77">
        <v>511.40190999999999</v>
      </c>
      <c r="OP20" s="77">
        <v>426.667643</v>
      </c>
      <c r="OQ20" s="77">
        <v>408.73790600000001</v>
      </c>
      <c r="OR20" s="77">
        <v>387.91945600000003</v>
      </c>
      <c r="OS20" s="77">
        <v>374.59146399999997</v>
      </c>
      <c r="OT20" s="77">
        <v>374.548587</v>
      </c>
      <c r="OU20" s="77">
        <v>371.34258999999997</v>
      </c>
      <c r="OV20" s="77">
        <v>477.43287700000002</v>
      </c>
      <c r="OW20" s="77">
        <v>394.80454600000002</v>
      </c>
      <c r="OX20" s="77">
        <v>375.56027699999999</v>
      </c>
      <c r="OY20" s="77">
        <v>356.60796199999999</v>
      </c>
      <c r="OZ20" s="77">
        <v>327.17437999999999</v>
      </c>
      <c r="PA20" s="77">
        <v>327.12580400000002</v>
      </c>
      <c r="PB20" s="77">
        <v>349.45255900000001</v>
      </c>
      <c r="PC20" s="77">
        <v>443.57154200000002</v>
      </c>
      <c r="PD20" s="77">
        <v>369.02529399999997</v>
      </c>
      <c r="PE20" s="77">
        <v>354.89006599999999</v>
      </c>
      <c r="PF20" s="77">
        <v>335.26383900000002</v>
      </c>
      <c r="PG20" s="77">
        <v>395.262675</v>
      </c>
      <c r="PH20" s="77">
        <v>395.21653099999997</v>
      </c>
      <c r="PI20" s="77">
        <v>411.54993000000002</v>
      </c>
      <c r="PJ20" s="77">
        <v>529.37001499999997</v>
      </c>
      <c r="PK20" s="77">
        <v>437.61227700000001</v>
      </c>
      <c r="PL20" s="77">
        <v>415.47252600000002</v>
      </c>
      <c r="PM20" s="77">
        <v>395.095505</v>
      </c>
      <c r="PN20" s="77">
        <v>389.58920799999999</v>
      </c>
      <c r="PO20" s="77">
        <v>389.54220900000001</v>
      </c>
      <c r="PP20" s="77">
        <v>424.27070099999997</v>
      </c>
      <c r="PQ20" s="77">
        <v>546.80895399999997</v>
      </c>
      <c r="PR20" s="77">
        <v>451.58085899999998</v>
      </c>
      <c r="PS20" s="77">
        <v>428.46615600000001</v>
      </c>
      <c r="PT20" s="77">
        <v>407.39147700000001</v>
      </c>
      <c r="PU20" s="77">
        <v>370.20377300000001</v>
      </c>
      <c r="PV20" s="77">
        <v>370.15361000000001</v>
      </c>
      <c r="PW20" s="77">
        <v>395.19982399999998</v>
      </c>
      <c r="PX20" s="77">
        <v>506.43819300000001</v>
      </c>
      <c r="PY20" s="77">
        <v>419.13886600000001</v>
      </c>
      <c r="PZ20" s="77">
        <v>400.30419000000001</v>
      </c>
      <c r="QA20" s="77">
        <v>379.12706200000002</v>
      </c>
      <c r="QB20" s="77">
        <v>385.703957</v>
      </c>
      <c r="QC20" s="77">
        <v>385.65824400000002</v>
      </c>
      <c r="QD20" s="77">
        <v>410.16669000000002</v>
      </c>
      <c r="QE20" s="77">
        <v>524.01943000000006</v>
      </c>
      <c r="QF20" s="77">
        <v>435.44771300000002</v>
      </c>
      <c r="QG20" s="77">
        <v>414.872996</v>
      </c>
      <c r="QH20" s="77">
        <v>394.487032</v>
      </c>
      <c r="QI20" s="77">
        <v>318.609601</v>
      </c>
      <c r="QJ20" s="77">
        <v>318.56598400000001</v>
      </c>
      <c r="QK20" s="77">
        <v>340.27222499999999</v>
      </c>
      <c r="QL20" s="77">
        <v>436.80495100000002</v>
      </c>
      <c r="QM20" s="77">
        <v>361.10998499999999</v>
      </c>
      <c r="QN20" s="77">
        <v>344.93968799999999</v>
      </c>
      <c r="QO20" s="77">
        <v>326.42288600000001</v>
      </c>
      <c r="QP20" s="77">
        <v>363.66981800000002</v>
      </c>
      <c r="QQ20" s="77">
        <v>363.62003499999997</v>
      </c>
      <c r="QR20" s="77">
        <v>387.897561</v>
      </c>
      <c r="QS20" s="77">
        <v>494.251734</v>
      </c>
    </row>
    <row r="21" spans="6:461" x14ac:dyDescent="0.25">
      <c r="F21" s="76" t="str">
        <f xml:space="preserve"> _xll.EPMOlapMemberO("[PRDDESCR].[].[HELGAS GFREE TRAD WHITE 470G]","","HELGAS GFREE TRAD WHITE 470G","","000")</f>
        <v>HELGAS GFREE TRAD WHITE 470G</v>
      </c>
      <c r="G21" s="76" t="str">
        <f xml:space="preserve"> _xll.EPMOlapMemberO("[PRDID].[].[168846]","","168846","","000")</f>
        <v>168846</v>
      </c>
      <c r="H21" s="76" t="str">
        <f xml:space="preserve"> _xll.EPMOlapMemberO("[LOCID].[].[6130]","","6130","","000")</f>
        <v>6130</v>
      </c>
      <c r="I21" s="76" t="str">
        <f xml:space="preserve"> _xll.EPMOlapMemberO("[LOCDESCR].[].[QBA-Canning Vale]","","QBA-Canning Vale","","000")</f>
        <v>QBA-Canning Vale</v>
      </c>
      <c r="J21" s="76" t="str">
        <f xml:space="preserve"> _xll.EPMOlapMemberO("[KEY_FIGURES].[].[ZGFAPPROVEDFCSTQTY]","","Approved Forecast","","000")</f>
        <v>Approved Forecast</v>
      </c>
      <c r="K21" s="77">
        <v>74.297905999999998</v>
      </c>
      <c r="L21" s="77">
        <v>202.77327</v>
      </c>
      <c r="M21" s="77">
        <v>88.679948999999993</v>
      </c>
      <c r="N21" s="77">
        <v>156.94024899999999</v>
      </c>
      <c r="O21" s="77">
        <v>130.32581300000001</v>
      </c>
      <c r="P21" s="77">
        <v>16.130030999999999</v>
      </c>
      <c r="Q21" s="77">
        <v>316.52653600000002</v>
      </c>
      <c r="R21" s="77">
        <v>61.355829999999997</v>
      </c>
      <c r="S21" s="77">
        <v>183.012978</v>
      </c>
      <c r="T21" s="77">
        <v>87.198582000000002</v>
      </c>
      <c r="U21" s="77">
        <v>180.331504</v>
      </c>
      <c r="V21" s="77">
        <v>117.77821</v>
      </c>
      <c r="W21" s="77">
        <v>17.908104000000002</v>
      </c>
      <c r="X21" s="77">
        <v>298.18662799999998</v>
      </c>
      <c r="Y21" s="77">
        <v>61.909905999999999</v>
      </c>
      <c r="Z21" s="77">
        <v>181.97999100000001</v>
      </c>
      <c r="AA21" s="77">
        <v>87.587748000000005</v>
      </c>
      <c r="AB21" s="77">
        <v>159.85959</v>
      </c>
      <c r="AC21" s="77">
        <v>109.453079</v>
      </c>
      <c r="AD21" s="77">
        <v>21.469086999999998</v>
      </c>
      <c r="AE21" s="77"/>
      <c r="AF21" s="77"/>
      <c r="AG21" s="77"/>
      <c r="AH21" s="77"/>
      <c r="AI21" s="77"/>
      <c r="AJ21" s="77"/>
      <c r="AK21" s="77"/>
      <c r="AL21" s="77">
        <v>284.94935099999998</v>
      </c>
      <c r="AM21" s="77">
        <v>56.829956000000003</v>
      </c>
      <c r="AN21" s="77">
        <v>170.96061800000001</v>
      </c>
      <c r="AO21" s="77">
        <v>81.586905000000002</v>
      </c>
      <c r="AP21" s="77">
        <v>151.22524100000001</v>
      </c>
      <c r="AQ21" s="77">
        <v>104.830985</v>
      </c>
      <c r="AR21" s="77">
        <v>22.033805000000001</v>
      </c>
      <c r="AS21" s="77">
        <v>296.92664300000001</v>
      </c>
      <c r="AT21" s="77">
        <v>58.93291</v>
      </c>
      <c r="AU21" s="77">
        <v>177.332506</v>
      </c>
      <c r="AV21" s="77">
        <v>83.534555999999995</v>
      </c>
      <c r="AW21" s="77">
        <v>157.17727400000001</v>
      </c>
      <c r="AX21" s="77">
        <v>109.079255</v>
      </c>
      <c r="AY21" s="77">
        <v>21.686664</v>
      </c>
      <c r="AZ21" s="77">
        <v>305.86931600000003</v>
      </c>
      <c r="BA21" s="77">
        <v>58.791797000000003</v>
      </c>
      <c r="BB21" s="77">
        <v>181.71517399999999</v>
      </c>
      <c r="BC21" s="77">
        <v>82.569850000000002</v>
      </c>
      <c r="BD21" s="77">
        <v>161.435059</v>
      </c>
      <c r="BE21" s="77">
        <v>109.081492</v>
      </c>
      <c r="BF21" s="77">
        <v>20.841245000000001</v>
      </c>
      <c r="BG21" s="77">
        <v>293.47514899999999</v>
      </c>
      <c r="BH21" s="77">
        <v>58.270304000000003</v>
      </c>
      <c r="BI21" s="77">
        <v>172.64073200000001</v>
      </c>
      <c r="BJ21" s="77">
        <v>80.639315999999994</v>
      </c>
      <c r="BK21" s="77">
        <v>153.169307</v>
      </c>
      <c r="BL21" s="77">
        <v>105.84166399999999</v>
      </c>
      <c r="BM21" s="77">
        <v>20.647593000000001</v>
      </c>
      <c r="BN21" s="77">
        <v>310.61659900000001</v>
      </c>
      <c r="BO21" s="77">
        <v>61.602111999999998</v>
      </c>
      <c r="BP21" s="77">
        <v>185.30431200000001</v>
      </c>
      <c r="BQ21" s="77">
        <v>87.618440000000007</v>
      </c>
      <c r="BR21" s="77">
        <v>164.087941</v>
      </c>
      <c r="BS21" s="77">
        <v>113.19157300000001</v>
      </c>
      <c r="BT21" s="77">
        <v>23.339756000000001</v>
      </c>
      <c r="BU21" s="77">
        <v>278.51996200000002</v>
      </c>
      <c r="BV21" s="77">
        <v>55.937866999999997</v>
      </c>
      <c r="BW21" s="77">
        <v>170.34458000000001</v>
      </c>
      <c r="BX21" s="77">
        <v>82.495287000000005</v>
      </c>
      <c r="BY21" s="77">
        <v>150.59939700000001</v>
      </c>
      <c r="BZ21" s="77">
        <v>106.01018500000001</v>
      </c>
      <c r="CA21" s="77">
        <v>22.253889000000001</v>
      </c>
      <c r="CB21" s="77">
        <v>278.63863800000001</v>
      </c>
      <c r="CC21" s="77">
        <v>56.270217000000002</v>
      </c>
      <c r="CD21" s="77">
        <v>167.742459</v>
      </c>
      <c r="CE21" s="77">
        <v>81.362995999999995</v>
      </c>
      <c r="CF21" s="77">
        <v>148.158266</v>
      </c>
      <c r="CG21" s="77">
        <v>103.59876</v>
      </c>
      <c r="CH21" s="77">
        <v>22.434294000000001</v>
      </c>
      <c r="CI21" s="77">
        <v>227.40100699999999</v>
      </c>
      <c r="CJ21" s="77">
        <v>47.589568999999997</v>
      </c>
      <c r="CK21" s="77">
        <v>137.85385400000001</v>
      </c>
      <c r="CL21" s="77">
        <v>69.605985000000004</v>
      </c>
      <c r="CM21" s="77">
        <v>121.389413</v>
      </c>
      <c r="CN21" s="77">
        <v>87.343151000000006</v>
      </c>
      <c r="CO21" s="77">
        <v>19.805451000000001</v>
      </c>
      <c r="CP21" s="77">
        <v>364.94381399999997</v>
      </c>
      <c r="CQ21" s="77">
        <v>68.722521999999998</v>
      </c>
      <c r="CR21" s="77">
        <v>215.653381</v>
      </c>
      <c r="CS21" s="77">
        <v>95.291313000000002</v>
      </c>
      <c r="CT21" s="77">
        <v>192.03895499999999</v>
      </c>
      <c r="CU21" s="77">
        <v>127.92907</v>
      </c>
      <c r="CV21" s="77">
        <v>23.055906</v>
      </c>
      <c r="CW21" s="77">
        <v>290.89465000000001</v>
      </c>
      <c r="CX21" s="77">
        <v>58.829579000000003</v>
      </c>
      <c r="CY21" s="77">
        <v>174.64037099999999</v>
      </c>
      <c r="CZ21" s="77">
        <v>84.345743999999996</v>
      </c>
      <c r="DA21" s="77">
        <v>154.436306</v>
      </c>
      <c r="DB21" s="77">
        <v>108.55792599999999</v>
      </c>
      <c r="DC21" s="77">
        <v>22.669908</v>
      </c>
      <c r="DD21" s="77">
        <v>294.73041499999999</v>
      </c>
      <c r="DE21" s="77">
        <v>57.732004000000003</v>
      </c>
      <c r="DF21" s="77">
        <v>184.371566</v>
      </c>
      <c r="DG21" s="77">
        <v>88.333083999999999</v>
      </c>
      <c r="DH21" s="77">
        <v>163.03006500000001</v>
      </c>
      <c r="DI21" s="77">
        <v>113.25004300000001</v>
      </c>
      <c r="DJ21" s="77">
        <v>23.977349</v>
      </c>
      <c r="DK21" s="77">
        <v>322.01230700000002</v>
      </c>
      <c r="DL21" s="77">
        <v>64.284498999999997</v>
      </c>
      <c r="DM21" s="77">
        <v>184.24292800000001</v>
      </c>
      <c r="DN21" s="77">
        <v>85.135686000000007</v>
      </c>
      <c r="DO21" s="77">
        <v>163.58417499999999</v>
      </c>
      <c r="DP21" s="77">
        <v>112.427074</v>
      </c>
      <c r="DQ21" s="77">
        <v>21.487587999999999</v>
      </c>
      <c r="DR21" s="77">
        <v>285.02923399999997</v>
      </c>
      <c r="DS21" s="77">
        <v>56.915402999999998</v>
      </c>
      <c r="DT21" s="77">
        <v>171.065237</v>
      </c>
      <c r="DU21" s="77">
        <v>81.767414000000002</v>
      </c>
      <c r="DV21" s="77">
        <v>151.295694</v>
      </c>
      <c r="DW21" s="77">
        <v>104.96893</v>
      </c>
      <c r="DX21" s="77">
        <v>22.128367999999998</v>
      </c>
      <c r="DY21" s="77">
        <v>317.77673199999998</v>
      </c>
      <c r="DZ21" s="77">
        <v>62.519761000000003</v>
      </c>
      <c r="EA21" s="77">
        <v>185.74208300000001</v>
      </c>
      <c r="EB21" s="77">
        <v>85.437757000000005</v>
      </c>
      <c r="EC21" s="77">
        <v>164.98204899999999</v>
      </c>
      <c r="ED21" s="77">
        <v>113.128798</v>
      </c>
      <c r="EE21" s="77">
        <v>21.415873999999999</v>
      </c>
      <c r="EF21" s="77">
        <v>287.93521199999998</v>
      </c>
      <c r="EG21" s="77">
        <v>56.987882999999997</v>
      </c>
      <c r="EH21" s="77">
        <v>176.05058500000001</v>
      </c>
      <c r="EI21" s="77">
        <v>84.202143000000007</v>
      </c>
      <c r="EJ21" s="77">
        <v>155.696245</v>
      </c>
      <c r="EK21" s="77">
        <v>108.057146</v>
      </c>
      <c r="EL21" s="77">
        <v>22.805423999999999</v>
      </c>
      <c r="EM21" s="77">
        <v>301.67262799999997</v>
      </c>
      <c r="EN21" s="77">
        <v>59.435892000000003</v>
      </c>
      <c r="EO21" s="77">
        <v>179.80150499999999</v>
      </c>
      <c r="EP21" s="77">
        <v>83.862966999999998</v>
      </c>
      <c r="EQ21" s="77">
        <v>159.50814600000001</v>
      </c>
      <c r="ER21" s="77">
        <v>110.14262600000001</v>
      </c>
      <c r="ES21" s="77">
        <v>21.461829000000002</v>
      </c>
      <c r="ET21" s="77">
        <v>293.77276999999998</v>
      </c>
      <c r="EU21" s="77">
        <v>57.280971999999998</v>
      </c>
      <c r="EV21" s="77">
        <v>175.19066900000001</v>
      </c>
      <c r="EW21" s="77">
        <v>81.149012999999997</v>
      </c>
      <c r="EX21" s="77">
        <v>155.379312</v>
      </c>
      <c r="EY21" s="77">
        <v>106.03691000000001</v>
      </c>
      <c r="EZ21" s="77">
        <v>21.052273</v>
      </c>
      <c r="FA21" s="77">
        <v>313.40165500000001</v>
      </c>
      <c r="FB21" s="77">
        <v>62.491363999999997</v>
      </c>
      <c r="FC21" s="77">
        <v>182.05611400000001</v>
      </c>
      <c r="FD21" s="77">
        <v>84.798473000000001</v>
      </c>
      <c r="FE21" s="77">
        <v>161.528018</v>
      </c>
      <c r="FF21" s="77">
        <v>111.460278</v>
      </c>
      <c r="FG21" s="77">
        <v>21.657623000000001</v>
      </c>
      <c r="FH21" s="77">
        <v>299.49798099999998</v>
      </c>
      <c r="FI21" s="77">
        <v>58.794074000000002</v>
      </c>
      <c r="FJ21" s="77">
        <v>184.37119799999999</v>
      </c>
      <c r="FK21" s="77">
        <v>87.727993999999995</v>
      </c>
      <c r="FL21" s="77">
        <v>163.131047</v>
      </c>
      <c r="FM21" s="77">
        <v>112.907887</v>
      </c>
      <c r="FN21" s="77">
        <v>23.601292999999998</v>
      </c>
      <c r="FO21" s="77">
        <v>311.35461900000001</v>
      </c>
      <c r="FP21" s="77">
        <v>62.279947999999997</v>
      </c>
      <c r="FQ21" s="77">
        <v>193.93163200000001</v>
      </c>
      <c r="FR21" s="77">
        <v>90.895156</v>
      </c>
      <c r="FS21" s="77">
        <v>171.96795599999999</v>
      </c>
      <c r="FT21" s="77">
        <v>119.03921200000001</v>
      </c>
      <c r="FU21" s="77">
        <v>23.427076</v>
      </c>
      <c r="FV21" s="77">
        <v>329.17843699999997</v>
      </c>
      <c r="FW21" s="77">
        <v>64.689944999999994</v>
      </c>
      <c r="FX21" s="77">
        <v>189.128781</v>
      </c>
      <c r="FY21" s="77">
        <v>89.934267000000006</v>
      </c>
      <c r="FZ21" s="77">
        <v>167.35052999999999</v>
      </c>
      <c r="GA21" s="77">
        <v>115.78916100000001</v>
      </c>
      <c r="GB21" s="77">
        <v>24.174675000000001</v>
      </c>
      <c r="GC21" s="77">
        <v>306.26939299999998</v>
      </c>
      <c r="GD21" s="77">
        <v>62.213093000000001</v>
      </c>
      <c r="GE21" s="77">
        <v>195.76057900000001</v>
      </c>
      <c r="GF21" s="77">
        <v>98.212912000000003</v>
      </c>
      <c r="GG21" s="77">
        <v>172.487908</v>
      </c>
      <c r="GH21" s="77">
        <v>123.68767699999999</v>
      </c>
      <c r="GI21" s="77">
        <v>27.726164000000001</v>
      </c>
      <c r="GJ21" s="77">
        <v>334.508557</v>
      </c>
      <c r="GK21" s="77">
        <v>69.661800999999997</v>
      </c>
      <c r="GL21" s="77">
        <v>190.61504500000001</v>
      </c>
      <c r="GM21" s="77">
        <v>93.060427000000004</v>
      </c>
      <c r="GN21" s="77">
        <v>168.25919500000001</v>
      </c>
      <c r="GO21" s="77">
        <v>118.065707</v>
      </c>
      <c r="GP21" s="77">
        <v>25.868147</v>
      </c>
      <c r="GQ21" s="77">
        <v>322.37834700000002</v>
      </c>
      <c r="GR21" s="77">
        <v>65.302212999999995</v>
      </c>
      <c r="GS21" s="77">
        <v>193.62964299999999</v>
      </c>
      <c r="GT21" s="77">
        <v>93.716395000000006</v>
      </c>
      <c r="GU21" s="77">
        <v>171.19487599999999</v>
      </c>
      <c r="GV21" s="77">
        <v>120.47080800000001</v>
      </c>
      <c r="GW21" s="77">
        <v>25.260849</v>
      </c>
      <c r="GX21" s="77">
        <v>306.81954100000002</v>
      </c>
      <c r="GY21" s="77">
        <v>60.559046000000002</v>
      </c>
      <c r="GZ21" s="77">
        <v>183.888364</v>
      </c>
      <c r="HA21" s="77">
        <v>86.657110000000003</v>
      </c>
      <c r="HB21" s="77">
        <v>162.845202</v>
      </c>
      <c r="HC21" s="77">
        <v>112.137145</v>
      </c>
      <c r="HD21" s="77">
        <v>23.016825999999998</v>
      </c>
      <c r="HE21" s="77">
        <v>304.91121900000002</v>
      </c>
      <c r="HF21" s="77">
        <v>63.338724999999997</v>
      </c>
      <c r="HG21" s="77">
        <v>184.08505299999999</v>
      </c>
      <c r="HH21" s="77">
        <v>91.975339000000005</v>
      </c>
      <c r="HI21" s="77">
        <v>162.265187</v>
      </c>
      <c r="HJ21" s="77">
        <v>116.10333900000001</v>
      </c>
      <c r="HK21" s="77">
        <v>25.832663</v>
      </c>
      <c r="HL21" s="77">
        <v>314.11100499999998</v>
      </c>
      <c r="HM21" s="77">
        <v>62.615448999999998</v>
      </c>
      <c r="HN21" s="77">
        <v>200.95579699999999</v>
      </c>
      <c r="HO21" s="77">
        <v>93.399506000000002</v>
      </c>
      <c r="HP21" s="77">
        <v>178.17792</v>
      </c>
      <c r="HQ21" s="77">
        <v>121.81031</v>
      </c>
      <c r="HR21" s="77">
        <v>24.344863</v>
      </c>
      <c r="HS21" s="77">
        <v>332.55849799999999</v>
      </c>
      <c r="HT21" s="77">
        <v>63.707160999999999</v>
      </c>
      <c r="HU21" s="77">
        <v>183.56088600000001</v>
      </c>
      <c r="HV21" s="77">
        <v>84.488583000000006</v>
      </c>
      <c r="HW21" s="77">
        <v>163.03543300000001</v>
      </c>
      <c r="HX21" s="77">
        <v>111.82989000000001</v>
      </c>
      <c r="HY21" s="77">
        <v>21.198566</v>
      </c>
      <c r="HZ21" s="77">
        <v>178.544332</v>
      </c>
      <c r="IA21" s="77">
        <v>40.015593000000003</v>
      </c>
      <c r="IB21" s="77">
        <v>110.157038</v>
      </c>
      <c r="IC21" s="77">
        <v>60.692019999999999</v>
      </c>
      <c r="ID21" s="77">
        <v>96.076884000000007</v>
      </c>
      <c r="IE21" s="77">
        <v>72.135278</v>
      </c>
      <c r="IF21" s="77">
        <v>19.244786000000001</v>
      </c>
      <c r="IG21" s="77">
        <v>396.06167599999998</v>
      </c>
      <c r="IH21" s="77">
        <v>84.836325000000002</v>
      </c>
      <c r="II21" s="77">
        <v>242.76574500000001</v>
      </c>
      <c r="IJ21" s="77">
        <v>126.48969099999999</v>
      </c>
      <c r="IK21" s="77">
        <v>213.10427000000001</v>
      </c>
      <c r="IL21" s="77">
        <v>155.94886299999999</v>
      </c>
      <c r="IM21" s="77">
        <v>37.346840999999998</v>
      </c>
      <c r="IN21" s="77">
        <v>370.68734899999998</v>
      </c>
      <c r="IO21" s="77">
        <v>70.92116</v>
      </c>
      <c r="IP21" s="77">
        <v>225.13803799999999</v>
      </c>
      <c r="IQ21" s="77">
        <v>100.782967</v>
      </c>
      <c r="IR21" s="77">
        <v>200.26661200000001</v>
      </c>
      <c r="IS21" s="77">
        <v>134.29026999999999</v>
      </c>
      <c r="IT21" s="77">
        <v>24.878209999999999</v>
      </c>
      <c r="IU21" s="77">
        <v>349.52615700000001</v>
      </c>
      <c r="IV21" s="77">
        <v>66.202044000000001</v>
      </c>
      <c r="IW21" s="77">
        <v>210.62678700000001</v>
      </c>
      <c r="IX21" s="77">
        <v>91.965701999999993</v>
      </c>
      <c r="IY21" s="77">
        <v>173.065157</v>
      </c>
      <c r="IZ21" s="77">
        <v>120.328237</v>
      </c>
      <c r="JA21" s="77">
        <v>24.432666999999999</v>
      </c>
      <c r="JB21" s="77">
        <v>334.68312100000003</v>
      </c>
      <c r="JC21" s="77">
        <v>59.065826999999999</v>
      </c>
      <c r="JD21" s="77">
        <v>210.026296</v>
      </c>
      <c r="JE21" s="77">
        <v>83.393040999999997</v>
      </c>
      <c r="JF21" s="77">
        <v>166.734061</v>
      </c>
      <c r="JG21" s="77">
        <v>111.875235</v>
      </c>
      <c r="JH21" s="77">
        <v>21.209849999999999</v>
      </c>
      <c r="JI21" s="77">
        <v>313.90447399999999</v>
      </c>
      <c r="JJ21" s="77">
        <v>59.526781999999997</v>
      </c>
      <c r="JK21" s="77">
        <v>196.79175599999999</v>
      </c>
      <c r="JL21" s="77">
        <v>87.044216000000006</v>
      </c>
      <c r="JM21" s="77">
        <v>163.18813800000001</v>
      </c>
      <c r="JN21" s="77">
        <v>113.63203900000001</v>
      </c>
      <c r="JO21" s="77">
        <v>23.166249000000001</v>
      </c>
      <c r="JP21" s="77">
        <v>287.07280200000002</v>
      </c>
      <c r="JQ21" s="77">
        <v>53.946229000000002</v>
      </c>
      <c r="JR21" s="77">
        <v>192.107021</v>
      </c>
      <c r="JS21" s="77">
        <v>79.629664000000005</v>
      </c>
      <c r="JT21" s="77">
        <v>154.686328</v>
      </c>
      <c r="JU21" s="77">
        <v>105.15052</v>
      </c>
      <c r="JV21" s="77">
        <v>20.906203999999999</v>
      </c>
      <c r="JW21" s="77">
        <v>163.21346800000001</v>
      </c>
      <c r="JX21" s="77">
        <v>50.172367999999999</v>
      </c>
      <c r="JY21" s="77">
        <v>137.474343</v>
      </c>
      <c r="JZ21" s="77">
        <v>54.202547000000003</v>
      </c>
      <c r="KA21" s="77">
        <v>96.263434000000004</v>
      </c>
      <c r="KB21" s="77">
        <v>149.89028500000001</v>
      </c>
      <c r="KC21" s="77">
        <v>161.363617</v>
      </c>
      <c r="KD21" s="77">
        <v>118.42218</v>
      </c>
      <c r="KE21" s="77">
        <v>120.906631</v>
      </c>
      <c r="KF21" s="77">
        <v>118.40472699999999</v>
      </c>
      <c r="KG21" s="77">
        <v>115.509202</v>
      </c>
      <c r="KH21" s="77">
        <v>115.36805099999999</v>
      </c>
      <c r="KI21" s="77">
        <v>114.139921</v>
      </c>
      <c r="KJ21" s="77">
        <v>125.34505900000001</v>
      </c>
      <c r="KK21" s="77">
        <v>118.650649</v>
      </c>
      <c r="KL21" s="77">
        <v>122.538943</v>
      </c>
      <c r="KM21" s="77">
        <v>121.08822000000001</v>
      </c>
      <c r="KN21" s="77">
        <v>119.792913</v>
      </c>
      <c r="KO21" s="77">
        <v>118.08074000000001</v>
      </c>
      <c r="KP21" s="77">
        <v>118.436791</v>
      </c>
      <c r="KQ21" s="77">
        <v>127.961837</v>
      </c>
      <c r="KR21" s="77">
        <v>126.28950500000001</v>
      </c>
      <c r="KS21" s="77">
        <v>129.09426300000001</v>
      </c>
      <c r="KT21" s="77">
        <v>126.333361</v>
      </c>
      <c r="KU21" s="77">
        <v>123.253135</v>
      </c>
      <c r="KV21" s="77">
        <v>123.00955399999999</v>
      </c>
      <c r="KW21" s="77">
        <v>121.754391</v>
      </c>
      <c r="KX21" s="77">
        <v>133.92995300000001</v>
      </c>
      <c r="KY21" s="77">
        <v>119.27165100000001</v>
      </c>
      <c r="KZ21" s="77">
        <v>123.165267</v>
      </c>
      <c r="LA21" s="77">
        <v>120.507683</v>
      </c>
      <c r="LB21" s="77">
        <v>119.215464</v>
      </c>
      <c r="LC21" s="77">
        <v>117.53891299999999</v>
      </c>
      <c r="LD21" s="77">
        <v>117.87679799999999</v>
      </c>
      <c r="LE21" s="77">
        <v>127.292844</v>
      </c>
      <c r="LF21" s="77">
        <v>116.60759899999999</v>
      </c>
      <c r="LG21" s="77">
        <v>119.07279699999999</v>
      </c>
      <c r="LH21" s="77">
        <v>118.808735</v>
      </c>
      <c r="LI21" s="77">
        <v>115.96878100000001</v>
      </c>
      <c r="LJ21" s="77">
        <v>115.740527</v>
      </c>
      <c r="LK21" s="77">
        <v>114.58531600000001</v>
      </c>
      <c r="LL21" s="77">
        <v>125.821269</v>
      </c>
      <c r="LM21" s="77">
        <v>112.999258</v>
      </c>
      <c r="LN21" s="77">
        <v>117.28149999999999</v>
      </c>
      <c r="LO21" s="77">
        <v>113.377054</v>
      </c>
      <c r="LP21" s="77">
        <v>111.603076</v>
      </c>
      <c r="LQ21" s="77">
        <v>109.945477</v>
      </c>
      <c r="LR21" s="77">
        <v>110.055747</v>
      </c>
      <c r="LS21" s="77">
        <v>121.219967</v>
      </c>
      <c r="LT21" s="77">
        <v>154.75452799999999</v>
      </c>
      <c r="LU21" s="77">
        <v>156.720078</v>
      </c>
      <c r="LV21" s="77">
        <v>156.03578200000001</v>
      </c>
      <c r="LW21" s="77">
        <v>152.625609</v>
      </c>
      <c r="LX21" s="77">
        <v>152.95827499999999</v>
      </c>
      <c r="LY21" s="77">
        <v>151.237921</v>
      </c>
      <c r="LZ21" s="77">
        <v>163.06940499999999</v>
      </c>
      <c r="MA21" s="77">
        <v>117.26844699999999</v>
      </c>
      <c r="MB21" s="77">
        <v>121.404172</v>
      </c>
      <c r="MC21" s="77">
        <v>124.526325</v>
      </c>
      <c r="MD21" s="77">
        <v>122.72872</v>
      </c>
      <c r="ME21" s="77">
        <v>120.935196</v>
      </c>
      <c r="MF21" s="77">
        <v>121.109436</v>
      </c>
      <c r="MG21" s="77">
        <v>132.73387500000001</v>
      </c>
      <c r="MH21" s="77">
        <v>149.03737799999999</v>
      </c>
      <c r="MI21" s="77">
        <v>152.31214499999999</v>
      </c>
      <c r="MJ21" s="77">
        <v>144.086354</v>
      </c>
      <c r="MK21" s="77">
        <v>140.56576000000001</v>
      </c>
      <c r="ML21" s="77">
        <v>140.41481200000001</v>
      </c>
      <c r="MM21" s="77">
        <v>138.910213</v>
      </c>
      <c r="MN21" s="77">
        <v>152.477734</v>
      </c>
      <c r="MO21" s="77">
        <v>126.535404</v>
      </c>
      <c r="MP21" s="77">
        <v>130.80144999999999</v>
      </c>
      <c r="MQ21" s="77">
        <v>127.904734</v>
      </c>
      <c r="MR21" s="77">
        <v>126.425608</v>
      </c>
      <c r="MS21" s="77">
        <v>124.615747</v>
      </c>
      <c r="MT21" s="77">
        <v>124.942564</v>
      </c>
      <c r="MU21" s="77">
        <v>135.42175</v>
      </c>
      <c r="MV21" s="77">
        <v>129.03717499999999</v>
      </c>
      <c r="MW21" s="77">
        <v>131.63193200000001</v>
      </c>
      <c r="MX21" s="77">
        <v>133.54672500000001</v>
      </c>
      <c r="MY21" s="77">
        <v>130.18400199999999</v>
      </c>
      <c r="MZ21" s="77">
        <v>130.03343100000001</v>
      </c>
      <c r="NA21" s="77">
        <v>128.599805</v>
      </c>
      <c r="NB21" s="77">
        <v>141.57642200000001</v>
      </c>
      <c r="NC21" s="77">
        <v>133.40883400000001</v>
      </c>
      <c r="ND21" s="77">
        <v>138.01042100000001</v>
      </c>
      <c r="NE21" s="77">
        <v>131.739664</v>
      </c>
      <c r="NF21" s="77">
        <v>130.27691999999999</v>
      </c>
      <c r="NG21" s="77">
        <v>128.371601</v>
      </c>
      <c r="NH21" s="77">
        <v>128.75821099999999</v>
      </c>
      <c r="NI21" s="77">
        <v>139.43743000000001</v>
      </c>
      <c r="NJ21" s="77">
        <v>126.436471</v>
      </c>
      <c r="NK21" s="77">
        <v>128.683357</v>
      </c>
      <c r="NL21" s="77">
        <v>127.70228299999999</v>
      </c>
      <c r="NM21" s="77">
        <v>124.63821799999999</v>
      </c>
      <c r="NN21" s="77">
        <v>124.661867</v>
      </c>
      <c r="NO21" s="77">
        <v>123.26724400000001</v>
      </c>
      <c r="NP21" s="77">
        <v>134.65119000000001</v>
      </c>
      <c r="NQ21" s="77">
        <v>131.763519</v>
      </c>
      <c r="NR21" s="77">
        <v>136.157445</v>
      </c>
      <c r="NS21" s="77">
        <v>131.59270599999999</v>
      </c>
      <c r="NT21" s="77">
        <v>130.260052</v>
      </c>
      <c r="NU21" s="77">
        <v>128.36545899999999</v>
      </c>
      <c r="NV21" s="77">
        <v>128.80484200000001</v>
      </c>
      <c r="NW21" s="77">
        <v>138.96859499999999</v>
      </c>
      <c r="NX21" s="77">
        <v>126.10923200000001</v>
      </c>
      <c r="NY21" s="77">
        <v>128.35474400000001</v>
      </c>
      <c r="NZ21" s="77">
        <v>128.83151000000001</v>
      </c>
      <c r="OA21" s="77">
        <v>125.71695699999999</v>
      </c>
      <c r="OB21" s="77">
        <v>125.71491899999999</v>
      </c>
      <c r="OC21" s="77">
        <v>124.311649</v>
      </c>
      <c r="OD21" s="77">
        <v>135.95449099999999</v>
      </c>
      <c r="OE21" s="77">
        <v>134.62635</v>
      </c>
      <c r="OF21" s="77">
        <v>138.822182</v>
      </c>
      <c r="OG21" s="77">
        <v>135.885581</v>
      </c>
      <c r="OH21" s="77">
        <v>134.79783</v>
      </c>
      <c r="OI21" s="77">
        <v>132.860805</v>
      </c>
      <c r="OJ21" s="77">
        <v>133.43392</v>
      </c>
      <c r="OK21" s="77">
        <v>142.79872599999999</v>
      </c>
      <c r="OL21" s="77">
        <v>124.69434699999999</v>
      </c>
      <c r="OM21" s="77">
        <v>127.139887</v>
      </c>
      <c r="ON21" s="77">
        <v>135.730828</v>
      </c>
      <c r="OO21" s="77">
        <v>132.24406500000001</v>
      </c>
      <c r="OP21" s="77">
        <v>132.014568</v>
      </c>
      <c r="OQ21" s="77">
        <v>130.56833800000001</v>
      </c>
      <c r="OR21" s="77">
        <v>144.22439399999999</v>
      </c>
      <c r="OS21" s="77">
        <v>138.212312</v>
      </c>
      <c r="OT21" s="77">
        <v>142.96016800000001</v>
      </c>
      <c r="OU21" s="77">
        <v>130.20264900000001</v>
      </c>
      <c r="OV21" s="77">
        <v>128.95344</v>
      </c>
      <c r="OW21" s="77">
        <v>127.083535</v>
      </c>
      <c r="OX21" s="77">
        <v>127.54698399999999</v>
      </c>
      <c r="OY21" s="77">
        <v>137.331412</v>
      </c>
      <c r="OZ21" s="77">
        <v>131.572204</v>
      </c>
      <c r="PA21" s="77">
        <v>133.682909</v>
      </c>
      <c r="PB21" s="77">
        <v>132.81467799999999</v>
      </c>
      <c r="PC21" s="77">
        <v>129.71229299999999</v>
      </c>
      <c r="PD21" s="77">
        <v>129.83026699999999</v>
      </c>
      <c r="PE21" s="77">
        <v>128.36658499999999</v>
      </c>
      <c r="PF21" s="77">
        <v>139.635538</v>
      </c>
      <c r="PG21" s="77">
        <v>127.429373</v>
      </c>
      <c r="PH21" s="77">
        <v>131.58372900000001</v>
      </c>
      <c r="PI21" s="77">
        <v>126.108549</v>
      </c>
      <c r="PJ21" s="77">
        <v>124.97141999999999</v>
      </c>
      <c r="PK21" s="77">
        <v>123.165192</v>
      </c>
      <c r="PL21" s="77">
        <v>123.644223</v>
      </c>
      <c r="PM21" s="77">
        <v>132.835611</v>
      </c>
      <c r="PN21" s="77">
        <v>135.06545299999999</v>
      </c>
      <c r="PO21" s="77">
        <v>137.62394699999999</v>
      </c>
      <c r="PP21" s="77">
        <v>139.456177</v>
      </c>
      <c r="PQ21" s="77">
        <v>136.006843</v>
      </c>
      <c r="PR21" s="77">
        <v>135.918407</v>
      </c>
      <c r="PS21" s="77">
        <v>134.41162199999999</v>
      </c>
      <c r="PT21" s="77">
        <v>147.54182299999999</v>
      </c>
      <c r="PU21" s="77">
        <v>124.357303</v>
      </c>
      <c r="PV21" s="77">
        <v>128.57560799999999</v>
      </c>
      <c r="PW21" s="77">
        <v>125.695543</v>
      </c>
      <c r="PX21" s="77">
        <v>124.29927000000001</v>
      </c>
      <c r="PY21" s="77">
        <v>122.481351</v>
      </c>
      <c r="PZ21" s="77">
        <v>122.84994</v>
      </c>
      <c r="QA21" s="77">
        <v>133.04164800000001</v>
      </c>
      <c r="QB21" s="77">
        <v>122.652649</v>
      </c>
      <c r="QC21" s="77">
        <v>125.206614</v>
      </c>
      <c r="QD21" s="77">
        <v>124.003637</v>
      </c>
      <c r="QE21" s="77">
        <v>120.889466</v>
      </c>
      <c r="QF21" s="77">
        <v>120.75875499999999</v>
      </c>
      <c r="QG21" s="77">
        <v>119.42629700000001</v>
      </c>
      <c r="QH21" s="77">
        <v>131.41984299999999</v>
      </c>
      <c r="QI21" s="77">
        <v>101.311018</v>
      </c>
      <c r="QJ21" s="77">
        <v>104.957858</v>
      </c>
      <c r="QK21" s="77">
        <v>102.508678</v>
      </c>
      <c r="QL21" s="77">
        <v>101.13077199999999</v>
      </c>
      <c r="QM21" s="77">
        <v>99.632144999999994</v>
      </c>
      <c r="QN21" s="77">
        <v>99.833703</v>
      </c>
      <c r="QO21" s="77">
        <v>109.08302500000001</v>
      </c>
      <c r="QP21" s="77">
        <v>155.51668100000001</v>
      </c>
      <c r="QQ21" s="77">
        <v>157.70370299999999</v>
      </c>
      <c r="QR21" s="77">
        <v>156.88411300000001</v>
      </c>
      <c r="QS21" s="77">
        <v>153.333744</v>
      </c>
    </row>
    <row r="22" spans="6:461" x14ac:dyDescent="0.25">
      <c r="F22" s="76" t="str">
        <f xml:space="preserve"> _xll.EPMOlapMemberO("[PRDDESCR].[].[HELGAS GFREE WHOLEM 500G]","","HELGAS GFREE WHOLEM 500G","","000")</f>
        <v>HELGAS GFREE WHOLEM 500G</v>
      </c>
      <c r="G22" s="76" t="str">
        <f xml:space="preserve"> _xll.EPMOlapMemberO("[PRDID].[].[168848]","","168848","","000")</f>
        <v>168848</v>
      </c>
      <c r="H22" s="76" t="str">
        <f xml:space="preserve"> _xll.EPMOlapMemberO("[LOCID].[].[6103]","","6103","","000")</f>
        <v>6103</v>
      </c>
      <c r="I22" s="76" t="str">
        <f xml:space="preserve"> _xll.EPMOlapMemberO("[LOCDESCR].[].[QBA-Canberra]","","QBA-Canberra","","000")</f>
        <v>QBA-Canberra</v>
      </c>
      <c r="J22" s="76" t="str">
        <f xml:space="preserve"> _xll.EPMOlapMemberO("[KEY_FIGURES].[].[ZGFAPPROVEDFCSTQTY]","","Approved Forecast","","000")</f>
        <v>Approved Forecast</v>
      </c>
      <c r="K22" s="77">
        <v>120.287868</v>
      </c>
      <c r="L22" s="77">
        <v>123.634653</v>
      </c>
      <c r="M22" s="77">
        <v>130.84161499999999</v>
      </c>
      <c r="N22" s="77">
        <v>121.49800399999999</v>
      </c>
      <c r="O22" s="77">
        <v>183.234319</v>
      </c>
      <c r="P22" s="77">
        <v>101.572946</v>
      </c>
      <c r="Q22" s="77">
        <v>209.54344599999999</v>
      </c>
      <c r="R22" s="77">
        <v>128.54017300000001</v>
      </c>
      <c r="S22" s="77">
        <v>127.51828999999999</v>
      </c>
      <c r="T22" s="77">
        <v>138.48432600000001</v>
      </c>
      <c r="U22" s="77">
        <v>129.532805</v>
      </c>
      <c r="V22" s="77">
        <v>193.85807600000001</v>
      </c>
      <c r="W22" s="77">
        <v>109.34181599999999</v>
      </c>
      <c r="X22" s="77">
        <v>211.75693100000001</v>
      </c>
      <c r="Y22" s="77">
        <v>132.210081</v>
      </c>
      <c r="Z22" s="77">
        <v>133.60899599999999</v>
      </c>
      <c r="AA22" s="77">
        <v>138.95888500000001</v>
      </c>
      <c r="AB22" s="77">
        <v>136.97229400000001</v>
      </c>
      <c r="AC22" s="77">
        <v>193.942847</v>
      </c>
      <c r="AD22" s="77">
        <v>108.44042399999999</v>
      </c>
      <c r="AE22" s="77"/>
      <c r="AF22" s="77"/>
      <c r="AG22" s="77"/>
      <c r="AH22" s="77"/>
      <c r="AI22" s="77"/>
      <c r="AJ22" s="77"/>
      <c r="AK22" s="77"/>
      <c r="AL22" s="77">
        <v>201.32875300000001</v>
      </c>
      <c r="AM22" s="77">
        <v>124.752534</v>
      </c>
      <c r="AN22" s="77">
        <v>128.083259</v>
      </c>
      <c r="AO22" s="77">
        <v>131.48001099999999</v>
      </c>
      <c r="AP22" s="77">
        <v>123.065219</v>
      </c>
      <c r="AQ22" s="77">
        <v>183.05124799999999</v>
      </c>
      <c r="AR22" s="77">
        <v>104.10765499999999</v>
      </c>
      <c r="AS22" s="77">
        <v>207.960825</v>
      </c>
      <c r="AT22" s="77">
        <v>128.355479</v>
      </c>
      <c r="AU22" s="77">
        <v>131.997534</v>
      </c>
      <c r="AV22" s="77">
        <v>137.19322199999999</v>
      </c>
      <c r="AW22" s="77">
        <v>134.18665999999999</v>
      </c>
      <c r="AX22" s="77">
        <v>188.61701600000001</v>
      </c>
      <c r="AY22" s="77">
        <v>104.643995</v>
      </c>
      <c r="AZ22" s="77">
        <v>200.09885</v>
      </c>
      <c r="BA22" s="77">
        <v>124.424404</v>
      </c>
      <c r="BB22" s="77">
        <v>129.649766</v>
      </c>
      <c r="BC22" s="77">
        <v>133.08372700000001</v>
      </c>
      <c r="BD22" s="77">
        <v>125.074275</v>
      </c>
      <c r="BE22" s="77">
        <v>182.40663000000001</v>
      </c>
      <c r="BF22" s="77">
        <v>101.91109400000001</v>
      </c>
      <c r="BG22" s="77">
        <v>212.19764699999999</v>
      </c>
      <c r="BH22" s="77">
        <v>131.809462</v>
      </c>
      <c r="BI22" s="77">
        <v>133.02182400000001</v>
      </c>
      <c r="BJ22" s="77">
        <v>136.82175000000001</v>
      </c>
      <c r="BK22" s="77">
        <v>127.69265300000001</v>
      </c>
      <c r="BL22" s="77">
        <v>191.04813899999999</v>
      </c>
      <c r="BM22" s="77">
        <v>108.89854200000001</v>
      </c>
      <c r="BN22" s="77">
        <v>207.91104799999999</v>
      </c>
      <c r="BO22" s="77">
        <v>127.371638</v>
      </c>
      <c r="BP22" s="77">
        <v>130.92205300000001</v>
      </c>
      <c r="BQ22" s="77">
        <v>136.919331</v>
      </c>
      <c r="BR22" s="77">
        <v>134.576865</v>
      </c>
      <c r="BS22" s="77">
        <v>187.47134399999999</v>
      </c>
      <c r="BT22" s="77">
        <v>105.510665</v>
      </c>
      <c r="BU22" s="77">
        <v>194.99014099999999</v>
      </c>
      <c r="BV22" s="77">
        <v>120.996937</v>
      </c>
      <c r="BW22" s="77">
        <v>130.280653</v>
      </c>
      <c r="BX22" s="77">
        <v>133.46286000000001</v>
      </c>
      <c r="BY22" s="77">
        <v>125.308679</v>
      </c>
      <c r="BZ22" s="77">
        <v>184.24716799999999</v>
      </c>
      <c r="CA22" s="77">
        <v>104.390305</v>
      </c>
      <c r="CB22" s="77">
        <v>215.40825699999999</v>
      </c>
      <c r="CC22" s="77">
        <v>133.64264299999999</v>
      </c>
      <c r="CD22" s="77">
        <v>137.10459599999999</v>
      </c>
      <c r="CE22" s="77">
        <v>140.74460300000001</v>
      </c>
      <c r="CF22" s="77">
        <v>131.768776</v>
      </c>
      <c r="CG22" s="77">
        <v>195.715048</v>
      </c>
      <c r="CH22" s="77">
        <v>111.004597</v>
      </c>
      <c r="CI22" s="77">
        <v>206.49619200000001</v>
      </c>
      <c r="CJ22" s="77">
        <v>127.02657499999999</v>
      </c>
      <c r="CK22" s="77">
        <v>130.900857</v>
      </c>
      <c r="CL22" s="77">
        <v>136.26700299999999</v>
      </c>
      <c r="CM22" s="77">
        <v>133.68858800000001</v>
      </c>
      <c r="CN22" s="77">
        <v>187.51461699999999</v>
      </c>
      <c r="CO22" s="77">
        <v>104.53125</v>
      </c>
      <c r="CP22" s="77">
        <v>206.89660000000001</v>
      </c>
      <c r="CQ22" s="77">
        <v>128.09079</v>
      </c>
      <c r="CR22" s="77">
        <v>132.77139</v>
      </c>
      <c r="CS22" s="77">
        <v>137.22427099999999</v>
      </c>
      <c r="CT22" s="77">
        <v>128.30102299999999</v>
      </c>
      <c r="CU22" s="77">
        <v>184.728949</v>
      </c>
      <c r="CV22" s="77">
        <v>102.383268</v>
      </c>
      <c r="CW22" s="77">
        <v>201.52879100000001</v>
      </c>
      <c r="CX22" s="77">
        <v>125.103525</v>
      </c>
      <c r="CY22" s="77">
        <v>128.56518</v>
      </c>
      <c r="CZ22" s="77">
        <v>131.760333</v>
      </c>
      <c r="DA22" s="77">
        <v>123.449647</v>
      </c>
      <c r="DB22" s="77">
        <v>184.083203</v>
      </c>
      <c r="DC22" s="77">
        <v>104.748739</v>
      </c>
      <c r="DD22" s="77">
        <v>198.336365</v>
      </c>
      <c r="DE22" s="77">
        <v>122.05723500000001</v>
      </c>
      <c r="DF22" s="77">
        <v>127.69884999999999</v>
      </c>
      <c r="DG22" s="77">
        <v>133.492152</v>
      </c>
      <c r="DH22" s="77">
        <v>130.56595799999999</v>
      </c>
      <c r="DI22" s="77">
        <v>181.68128400000001</v>
      </c>
      <c r="DJ22" s="77">
        <v>101.196788</v>
      </c>
      <c r="DK22" s="77">
        <v>191.41259400000001</v>
      </c>
      <c r="DL22" s="77">
        <v>118.564345</v>
      </c>
      <c r="DM22" s="77">
        <v>120.88270900000001</v>
      </c>
      <c r="DN22" s="77">
        <v>124.56191099999999</v>
      </c>
      <c r="DO22" s="77">
        <v>116.68441799999999</v>
      </c>
      <c r="DP22" s="77">
        <v>169.095945</v>
      </c>
      <c r="DQ22" s="77">
        <v>94.295052999999996</v>
      </c>
      <c r="DR22" s="77">
        <v>208.69059300000001</v>
      </c>
      <c r="DS22" s="77">
        <v>129.483182</v>
      </c>
      <c r="DT22" s="77">
        <v>133.25367600000001</v>
      </c>
      <c r="DU22" s="77">
        <v>136.46736100000001</v>
      </c>
      <c r="DV22" s="77">
        <v>127.76957299999999</v>
      </c>
      <c r="DW22" s="77">
        <v>191.20307700000001</v>
      </c>
      <c r="DX22" s="77">
        <v>109.24648999999999</v>
      </c>
      <c r="DY22" s="77">
        <v>217.83826300000001</v>
      </c>
      <c r="DZ22" s="77">
        <v>133.88537700000001</v>
      </c>
      <c r="EA22" s="77">
        <v>134.90828099999999</v>
      </c>
      <c r="EB22" s="77">
        <v>140.685664</v>
      </c>
      <c r="EC22" s="77">
        <v>137.86478</v>
      </c>
      <c r="ED22" s="77">
        <v>192.63173499999999</v>
      </c>
      <c r="EE22" s="77">
        <v>107.53349799999999</v>
      </c>
      <c r="EF22" s="77">
        <v>206.856933</v>
      </c>
      <c r="EG22" s="77">
        <v>128.57001399999999</v>
      </c>
      <c r="EH22" s="77">
        <v>136.88120599999999</v>
      </c>
      <c r="EI22" s="77">
        <v>140.498873</v>
      </c>
      <c r="EJ22" s="77">
        <v>132.01369399999999</v>
      </c>
      <c r="EK22" s="77">
        <v>192.748639</v>
      </c>
      <c r="EL22" s="77">
        <v>108.111786</v>
      </c>
      <c r="EM22" s="77">
        <v>205.123378</v>
      </c>
      <c r="EN22" s="77">
        <v>127.03885699999999</v>
      </c>
      <c r="EO22" s="77">
        <v>130.30849699999999</v>
      </c>
      <c r="EP22" s="77">
        <v>133.915043</v>
      </c>
      <c r="EQ22" s="77">
        <v>125.19264699999999</v>
      </c>
      <c r="ER22" s="77">
        <v>185.88694000000001</v>
      </c>
      <c r="ES22" s="77">
        <v>105.602053</v>
      </c>
      <c r="ET22" s="77">
        <v>213.012912</v>
      </c>
      <c r="EU22" s="77">
        <v>130.829317</v>
      </c>
      <c r="EV22" s="77">
        <v>134.84634600000001</v>
      </c>
      <c r="EW22" s="77">
        <v>140.57208399999999</v>
      </c>
      <c r="EX22" s="77">
        <v>137.92228800000001</v>
      </c>
      <c r="EY22" s="77">
        <v>193.102193</v>
      </c>
      <c r="EZ22" s="77">
        <v>107.78699</v>
      </c>
      <c r="FA22" s="77">
        <v>214.23169200000001</v>
      </c>
      <c r="FB22" s="77">
        <v>133.05762300000001</v>
      </c>
      <c r="FC22" s="77">
        <v>135.80892399999999</v>
      </c>
      <c r="FD22" s="77">
        <v>138.91889800000001</v>
      </c>
      <c r="FE22" s="77">
        <v>130.85913400000001</v>
      </c>
      <c r="FF22" s="77">
        <v>192.294343</v>
      </c>
      <c r="FG22" s="77">
        <v>108.613601</v>
      </c>
      <c r="FH22" s="77">
        <v>205.27298999999999</v>
      </c>
      <c r="FI22" s="77">
        <v>127.05061499999999</v>
      </c>
      <c r="FJ22" s="77">
        <v>134.46155099999999</v>
      </c>
      <c r="FK22" s="77">
        <v>138.02741700000001</v>
      </c>
      <c r="FL22" s="77">
        <v>128.84910099999999</v>
      </c>
      <c r="FM22" s="77">
        <v>192.65037599999999</v>
      </c>
      <c r="FN22" s="77">
        <v>110.428861</v>
      </c>
      <c r="FO22" s="77">
        <v>210.16083399999999</v>
      </c>
      <c r="FP22" s="77">
        <v>129.67962</v>
      </c>
      <c r="FQ22" s="77">
        <v>135.471642</v>
      </c>
      <c r="FR22" s="77">
        <v>140.91630000000001</v>
      </c>
      <c r="FS22" s="77">
        <v>137.92622600000001</v>
      </c>
      <c r="FT22" s="77">
        <v>193.676446</v>
      </c>
      <c r="FU22" s="77">
        <v>107.620277</v>
      </c>
      <c r="FV22" s="77">
        <v>203.65078199999999</v>
      </c>
      <c r="FW22" s="77">
        <v>126.129133</v>
      </c>
      <c r="FX22" s="77">
        <v>129.43128100000001</v>
      </c>
      <c r="FY22" s="77">
        <v>133.077485</v>
      </c>
      <c r="FZ22" s="77">
        <v>124.955883</v>
      </c>
      <c r="GA22" s="77">
        <v>181.739474</v>
      </c>
      <c r="GB22" s="77">
        <v>101.61434300000001</v>
      </c>
      <c r="GC22" s="77">
        <v>196.406507</v>
      </c>
      <c r="GD22" s="77">
        <v>121.80336800000001</v>
      </c>
      <c r="GE22" s="77">
        <v>128.131551</v>
      </c>
      <c r="GF22" s="77">
        <v>132.61316299999999</v>
      </c>
      <c r="GG22" s="77">
        <v>122.882206</v>
      </c>
      <c r="GH22" s="77">
        <v>182.452179</v>
      </c>
      <c r="GI22" s="77">
        <v>103.698537</v>
      </c>
      <c r="GJ22" s="77">
        <v>199.469604</v>
      </c>
      <c r="GK22" s="77">
        <v>122.837141</v>
      </c>
      <c r="GL22" s="77">
        <v>123.474771</v>
      </c>
      <c r="GM22" s="77">
        <v>128.06108900000001</v>
      </c>
      <c r="GN22" s="77">
        <v>125.858346</v>
      </c>
      <c r="GO22" s="77">
        <v>177.65698599999999</v>
      </c>
      <c r="GP22" s="77">
        <v>99.262533000000005</v>
      </c>
      <c r="GQ22" s="77">
        <v>199.31667300000001</v>
      </c>
      <c r="GR22" s="77">
        <v>123.778201</v>
      </c>
      <c r="GS22" s="77">
        <v>129.93054900000001</v>
      </c>
      <c r="GT22" s="77">
        <v>132.90335300000001</v>
      </c>
      <c r="GU22" s="77">
        <v>125.18052900000001</v>
      </c>
      <c r="GV22" s="77">
        <v>184.07870500000001</v>
      </c>
      <c r="GW22" s="77">
        <v>103.924649</v>
      </c>
      <c r="GX22" s="77">
        <v>211.84085400000001</v>
      </c>
      <c r="GY22" s="77">
        <v>131.315854</v>
      </c>
      <c r="GZ22" s="77">
        <v>134.47501099999999</v>
      </c>
      <c r="HA22" s="77">
        <v>138.4058</v>
      </c>
      <c r="HB22" s="77">
        <v>128.71329600000001</v>
      </c>
      <c r="HC22" s="77">
        <v>193.72580400000001</v>
      </c>
      <c r="HD22" s="77">
        <v>111.411147</v>
      </c>
      <c r="HE22" s="77">
        <v>201.28259299999999</v>
      </c>
      <c r="HF22" s="77">
        <v>124.248491</v>
      </c>
      <c r="HG22" s="77">
        <v>129.497941</v>
      </c>
      <c r="HH22" s="77">
        <v>134.11914200000001</v>
      </c>
      <c r="HI22" s="77">
        <v>132.078892</v>
      </c>
      <c r="HJ22" s="77">
        <v>187.10838000000001</v>
      </c>
      <c r="HK22" s="77">
        <v>105.066581</v>
      </c>
      <c r="HL22" s="77">
        <v>198.22906599999999</v>
      </c>
      <c r="HM22" s="77">
        <v>123.135075</v>
      </c>
      <c r="HN22" s="77">
        <v>129.43653</v>
      </c>
      <c r="HO22" s="77">
        <v>133.15387200000001</v>
      </c>
      <c r="HP22" s="77">
        <v>124.82028699999999</v>
      </c>
      <c r="HQ22" s="77">
        <v>181.624818</v>
      </c>
      <c r="HR22" s="77">
        <v>101.72898000000001</v>
      </c>
      <c r="HS22" s="77">
        <v>205.000834</v>
      </c>
      <c r="HT22" s="77">
        <v>126.826734</v>
      </c>
      <c r="HU22" s="77">
        <v>126.58238</v>
      </c>
      <c r="HV22" s="77">
        <v>130.00854899999999</v>
      </c>
      <c r="HW22" s="77">
        <v>121.53256</v>
      </c>
      <c r="HX22" s="77">
        <v>180.72472300000001</v>
      </c>
      <c r="HY22" s="77">
        <v>102.76464</v>
      </c>
      <c r="HZ22" s="77">
        <v>203.774888</v>
      </c>
      <c r="IA22" s="77">
        <v>125.518674</v>
      </c>
      <c r="IB22" s="77">
        <v>130.33778799999999</v>
      </c>
      <c r="IC22" s="77">
        <v>135.74128099999999</v>
      </c>
      <c r="ID22" s="77">
        <v>132.63924</v>
      </c>
      <c r="IE22" s="77">
        <v>185.82540900000001</v>
      </c>
      <c r="IF22" s="77">
        <v>103.44094800000001</v>
      </c>
      <c r="IG22" s="77">
        <v>221.62996100000001</v>
      </c>
      <c r="IH22" s="77">
        <v>137.369361</v>
      </c>
      <c r="II22" s="77">
        <v>145.08215799999999</v>
      </c>
      <c r="IJ22" s="77">
        <v>149.16398599999999</v>
      </c>
      <c r="IK22" s="77">
        <v>139.80140599999999</v>
      </c>
      <c r="IL22" s="77">
        <v>203.851493</v>
      </c>
      <c r="IM22" s="77">
        <v>114.55286599999999</v>
      </c>
      <c r="IN22" s="77">
        <v>219.770927</v>
      </c>
      <c r="IO22" s="77">
        <v>135.99392700000001</v>
      </c>
      <c r="IP22" s="77">
        <v>140.172551</v>
      </c>
      <c r="IQ22" s="77">
        <v>144.630076</v>
      </c>
      <c r="IR22" s="77">
        <v>134.93966800000001</v>
      </c>
      <c r="IS22" s="77">
        <v>198.50231600000001</v>
      </c>
      <c r="IT22" s="77">
        <v>111.913629</v>
      </c>
      <c r="IU22" s="77">
        <v>219.104207</v>
      </c>
      <c r="IV22" s="77">
        <v>135.288479</v>
      </c>
      <c r="IW22" s="77">
        <v>137.22909000000001</v>
      </c>
      <c r="IX22" s="77">
        <v>142.08284800000001</v>
      </c>
      <c r="IY22" s="77">
        <v>139.849039</v>
      </c>
      <c r="IZ22" s="77">
        <v>197.92216500000001</v>
      </c>
      <c r="JA22" s="77">
        <v>111.20469300000001</v>
      </c>
      <c r="JB22" s="77">
        <v>212.49402000000001</v>
      </c>
      <c r="JC22" s="77">
        <v>131.97414699999999</v>
      </c>
      <c r="JD22" s="77">
        <v>139.24544900000001</v>
      </c>
      <c r="JE22" s="77">
        <v>143.022085</v>
      </c>
      <c r="JF22" s="77">
        <v>134.35877199999999</v>
      </c>
      <c r="JG22" s="77">
        <v>195.85933399999999</v>
      </c>
      <c r="JH22" s="77">
        <v>109.717123</v>
      </c>
      <c r="JI22" s="77">
        <v>223.66371799999999</v>
      </c>
      <c r="JJ22" s="77">
        <v>138.569481</v>
      </c>
      <c r="JK22" s="77">
        <v>143.37095600000001</v>
      </c>
      <c r="JL22" s="77">
        <v>147.80281600000001</v>
      </c>
      <c r="JM22" s="77">
        <v>137.459092</v>
      </c>
      <c r="JN22" s="77">
        <v>205.98156700000001</v>
      </c>
      <c r="JO22" s="77">
        <v>118.089889</v>
      </c>
      <c r="JP22" s="77">
        <v>212.95548600000001</v>
      </c>
      <c r="JQ22" s="77">
        <v>131.84800100000001</v>
      </c>
      <c r="JR22" s="77">
        <v>139.437352</v>
      </c>
      <c r="JS22" s="77">
        <v>144.98907700000001</v>
      </c>
      <c r="JT22" s="77">
        <v>141.378297</v>
      </c>
      <c r="JU22" s="77">
        <v>198.83585099999999</v>
      </c>
      <c r="JV22" s="77">
        <v>110.210474</v>
      </c>
      <c r="JW22" s="77">
        <v>166.88466299999999</v>
      </c>
      <c r="JX22" s="77">
        <v>171.271142</v>
      </c>
      <c r="JY22" s="77">
        <v>118.167405</v>
      </c>
      <c r="JZ22" s="77">
        <v>132.359071</v>
      </c>
      <c r="KA22" s="77">
        <v>105.974647</v>
      </c>
      <c r="KB22" s="77">
        <v>163.019541</v>
      </c>
      <c r="KC22" s="77">
        <v>167.645892</v>
      </c>
      <c r="KD22" s="77">
        <v>147.976024</v>
      </c>
      <c r="KE22" s="77">
        <v>146.83822499999999</v>
      </c>
      <c r="KF22" s="77">
        <v>149.34721300000001</v>
      </c>
      <c r="KG22" s="77">
        <v>145.68068400000001</v>
      </c>
      <c r="KH22" s="77">
        <v>144.251239</v>
      </c>
      <c r="KI22" s="77">
        <v>148.39511200000001</v>
      </c>
      <c r="KJ22" s="77">
        <v>153.78747200000001</v>
      </c>
      <c r="KK22" s="77">
        <v>150.50493900000001</v>
      </c>
      <c r="KL22" s="77">
        <v>148.329094</v>
      </c>
      <c r="KM22" s="77">
        <v>151.050521</v>
      </c>
      <c r="KN22" s="77">
        <v>149.33794399999999</v>
      </c>
      <c r="KO22" s="77">
        <v>156.17694800000001</v>
      </c>
      <c r="KP22" s="77">
        <v>150.830726</v>
      </c>
      <c r="KQ22" s="77">
        <v>154.81565800000001</v>
      </c>
      <c r="KR22" s="77">
        <v>147.717431</v>
      </c>
      <c r="KS22" s="77">
        <v>146.82105100000001</v>
      </c>
      <c r="KT22" s="77">
        <v>152.20635100000001</v>
      </c>
      <c r="KU22" s="77">
        <v>148.53806800000001</v>
      </c>
      <c r="KV22" s="77">
        <v>147.60316599999999</v>
      </c>
      <c r="KW22" s="77">
        <v>149.38324600000001</v>
      </c>
      <c r="KX22" s="77">
        <v>153.632597</v>
      </c>
      <c r="KY22" s="77">
        <v>144.172145</v>
      </c>
      <c r="KZ22" s="77">
        <v>143.08082999999999</v>
      </c>
      <c r="LA22" s="77">
        <v>145.22321400000001</v>
      </c>
      <c r="LB22" s="77">
        <v>141.71771100000001</v>
      </c>
      <c r="LC22" s="77">
        <v>140.24280099999999</v>
      </c>
      <c r="LD22" s="77">
        <v>144.31496300000001</v>
      </c>
      <c r="LE22" s="77">
        <v>149.56844000000001</v>
      </c>
      <c r="LF22" s="77">
        <v>150.64696799999999</v>
      </c>
      <c r="LG22" s="77">
        <v>148.54185899999999</v>
      </c>
      <c r="LH22" s="77">
        <v>150.94167999999999</v>
      </c>
      <c r="LI22" s="77">
        <v>149.29450499999999</v>
      </c>
      <c r="LJ22" s="77">
        <v>155.92721299999999</v>
      </c>
      <c r="LK22" s="77">
        <v>150.730898</v>
      </c>
      <c r="LL22" s="77">
        <v>154.55113800000001</v>
      </c>
      <c r="LM22" s="77">
        <v>143.09401299999999</v>
      </c>
      <c r="LN22" s="77">
        <v>142.27780000000001</v>
      </c>
      <c r="LO22" s="77">
        <v>147.600211</v>
      </c>
      <c r="LP22" s="77">
        <v>144.049871</v>
      </c>
      <c r="LQ22" s="77">
        <v>143.51482300000001</v>
      </c>
      <c r="LR22" s="77">
        <v>144.79564199999999</v>
      </c>
      <c r="LS22" s="77">
        <v>148.54923400000001</v>
      </c>
      <c r="LT22" s="77">
        <v>142.781522</v>
      </c>
      <c r="LU22" s="77">
        <v>141.73597699999999</v>
      </c>
      <c r="LV22" s="77">
        <v>143.87813499999999</v>
      </c>
      <c r="LW22" s="77">
        <v>140.62131099999999</v>
      </c>
      <c r="LX22" s="77">
        <v>138.98783299999999</v>
      </c>
      <c r="LY22" s="77">
        <v>143.039275</v>
      </c>
      <c r="LZ22" s="77">
        <v>148.15826999999999</v>
      </c>
      <c r="MA22" s="77">
        <v>142.59146100000001</v>
      </c>
      <c r="MB22" s="77">
        <v>140.68599399999999</v>
      </c>
      <c r="MC22" s="77">
        <v>145.800411</v>
      </c>
      <c r="MD22" s="77">
        <v>144.246332</v>
      </c>
      <c r="ME22" s="77">
        <v>150.73082600000001</v>
      </c>
      <c r="MF22" s="77">
        <v>145.60406699999999</v>
      </c>
      <c r="MG22" s="77">
        <v>149.156758</v>
      </c>
      <c r="MH22" s="77">
        <v>146.91721000000001</v>
      </c>
      <c r="MI22" s="77">
        <v>146.065516</v>
      </c>
      <c r="MJ22" s="77">
        <v>148.369698</v>
      </c>
      <c r="MK22" s="77">
        <v>144.476708</v>
      </c>
      <c r="ML22" s="77">
        <v>144.309203</v>
      </c>
      <c r="MM22" s="77">
        <v>145.21257800000001</v>
      </c>
      <c r="MN22" s="77">
        <v>148.92136300000001</v>
      </c>
      <c r="MO22" s="77">
        <v>151.133038</v>
      </c>
      <c r="MP22" s="77">
        <v>150.00489200000001</v>
      </c>
      <c r="MQ22" s="77">
        <v>152.078892</v>
      </c>
      <c r="MR22" s="77">
        <v>148.29548199999999</v>
      </c>
      <c r="MS22" s="77">
        <v>147.11676499999999</v>
      </c>
      <c r="MT22" s="77">
        <v>151.09084200000001</v>
      </c>
      <c r="MU22" s="77">
        <v>156.386931</v>
      </c>
      <c r="MV22" s="77">
        <v>148.17104599999999</v>
      </c>
      <c r="MW22" s="77">
        <v>146.16752099999999</v>
      </c>
      <c r="MX22" s="77">
        <v>149.81250199999999</v>
      </c>
      <c r="MY22" s="77">
        <v>148.186464</v>
      </c>
      <c r="MZ22" s="77">
        <v>154.38858300000001</v>
      </c>
      <c r="NA22" s="77">
        <v>149.60055500000001</v>
      </c>
      <c r="NB22" s="77">
        <v>153.450512</v>
      </c>
      <c r="NC22" s="77">
        <v>146.567858</v>
      </c>
      <c r="ND22" s="77">
        <v>145.74843100000001</v>
      </c>
      <c r="NE22" s="77">
        <v>149.89722</v>
      </c>
      <c r="NF22" s="77">
        <v>146.19056900000001</v>
      </c>
      <c r="NG22" s="77">
        <v>145.91148699999999</v>
      </c>
      <c r="NH22" s="77">
        <v>146.91456700000001</v>
      </c>
      <c r="NI22" s="77">
        <v>150.56199799999999</v>
      </c>
      <c r="NJ22" s="77">
        <v>140.343197</v>
      </c>
      <c r="NK22" s="77">
        <v>139.258667</v>
      </c>
      <c r="NL22" s="77">
        <v>141.516569</v>
      </c>
      <c r="NM22" s="77">
        <v>138.17900900000001</v>
      </c>
      <c r="NN22" s="77">
        <v>136.39639500000001</v>
      </c>
      <c r="NO22" s="77">
        <v>140.65895499999999</v>
      </c>
      <c r="NP22" s="77">
        <v>146.00317100000001</v>
      </c>
      <c r="NQ22" s="77">
        <v>147.513431</v>
      </c>
      <c r="NR22" s="77">
        <v>145.40874700000001</v>
      </c>
      <c r="NS22" s="77">
        <v>145.95718500000001</v>
      </c>
      <c r="NT22" s="77">
        <v>144.37558100000001</v>
      </c>
      <c r="NU22" s="77">
        <v>150.995633</v>
      </c>
      <c r="NV22" s="77">
        <v>145.757611</v>
      </c>
      <c r="NW22" s="77">
        <v>149.36850000000001</v>
      </c>
      <c r="NX22" s="77">
        <v>146.35828900000001</v>
      </c>
      <c r="NY22" s="77">
        <v>145.526073</v>
      </c>
      <c r="NZ22" s="77">
        <v>153.059956</v>
      </c>
      <c r="OA22" s="77">
        <v>149.17101</v>
      </c>
      <c r="OB22" s="77">
        <v>148.984082</v>
      </c>
      <c r="OC22" s="77">
        <v>149.90993</v>
      </c>
      <c r="OD22" s="77">
        <v>153.63391200000001</v>
      </c>
      <c r="OE22" s="77">
        <v>149.47102699999999</v>
      </c>
      <c r="OF22" s="77">
        <v>148.36900900000001</v>
      </c>
      <c r="OG22" s="77">
        <v>150.31021799999999</v>
      </c>
      <c r="OH22" s="77">
        <v>146.51829499999999</v>
      </c>
      <c r="OI22" s="77">
        <v>145.575332</v>
      </c>
      <c r="OJ22" s="77">
        <v>149.31547699999999</v>
      </c>
      <c r="OK22" s="77">
        <v>154.40772699999999</v>
      </c>
      <c r="OL22" s="77">
        <v>142.265728</v>
      </c>
      <c r="OM22" s="77">
        <v>140.27227199999999</v>
      </c>
      <c r="ON22" s="77">
        <v>148.167518</v>
      </c>
      <c r="OO22" s="77">
        <v>146.55246199999999</v>
      </c>
      <c r="OP22" s="77">
        <v>154.49921499999999</v>
      </c>
      <c r="OQ22" s="77">
        <v>147.97701000000001</v>
      </c>
      <c r="OR22" s="77">
        <v>151.39382599999999</v>
      </c>
      <c r="OS22" s="77">
        <v>151.077808</v>
      </c>
      <c r="OT22" s="77">
        <v>150.21253100000001</v>
      </c>
      <c r="OU22" s="77">
        <v>150.19052300000001</v>
      </c>
      <c r="OV22" s="77">
        <v>146.68521899999999</v>
      </c>
      <c r="OW22" s="77">
        <v>145.88142199999999</v>
      </c>
      <c r="OX22" s="77">
        <v>147.47535199999999</v>
      </c>
      <c r="OY22" s="77">
        <v>151.44891999999999</v>
      </c>
      <c r="OZ22" s="77">
        <v>143.72581099999999</v>
      </c>
      <c r="PA22" s="77">
        <v>142.705296</v>
      </c>
      <c r="PB22" s="77">
        <v>144.73303799999999</v>
      </c>
      <c r="PC22" s="77">
        <v>141.482529</v>
      </c>
      <c r="PD22" s="77">
        <v>140.043421</v>
      </c>
      <c r="PE22" s="77">
        <v>143.892212</v>
      </c>
      <c r="PF22" s="77">
        <v>148.82824099999999</v>
      </c>
      <c r="PG22" s="77">
        <v>150.95941099999999</v>
      </c>
      <c r="PH22" s="77">
        <v>148.9007</v>
      </c>
      <c r="PI22" s="77">
        <v>148.43096700000001</v>
      </c>
      <c r="PJ22" s="77">
        <v>146.93935099999999</v>
      </c>
      <c r="PK22" s="77">
        <v>153.63681700000001</v>
      </c>
      <c r="PL22" s="77">
        <v>148.247829</v>
      </c>
      <c r="PM22" s="77">
        <v>151.54984300000001</v>
      </c>
      <c r="PN22" s="77">
        <v>145.87477000000001</v>
      </c>
      <c r="PO22" s="77">
        <v>144.986042</v>
      </c>
      <c r="PP22" s="77">
        <v>154.38181900000001</v>
      </c>
      <c r="PQ22" s="77">
        <v>150.03016299999999</v>
      </c>
      <c r="PR22" s="77">
        <v>150.101326</v>
      </c>
      <c r="PS22" s="77">
        <v>150.802235</v>
      </c>
      <c r="PT22" s="77">
        <v>154.69706199999999</v>
      </c>
      <c r="PU22" s="77">
        <v>144.784378</v>
      </c>
      <c r="PV22" s="77">
        <v>143.71415099999999</v>
      </c>
      <c r="PW22" s="77">
        <v>145.560372</v>
      </c>
      <c r="PX22" s="77">
        <v>141.83352400000001</v>
      </c>
      <c r="PY22" s="77">
        <v>141.013688</v>
      </c>
      <c r="PZ22" s="77">
        <v>144.58067500000001</v>
      </c>
      <c r="QA22" s="77">
        <v>149.48876100000001</v>
      </c>
      <c r="QB22" s="77">
        <v>152.191744</v>
      </c>
      <c r="QC22" s="77">
        <v>150.12325300000001</v>
      </c>
      <c r="QD22" s="77">
        <v>153.094415</v>
      </c>
      <c r="QE22" s="77">
        <v>151.30897200000001</v>
      </c>
      <c r="QF22" s="77">
        <v>157.799993</v>
      </c>
      <c r="QG22" s="77">
        <v>152.8861</v>
      </c>
      <c r="QH22" s="77">
        <v>156.03142099999999</v>
      </c>
      <c r="QI22" s="77">
        <v>145.23019500000001</v>
      </c>
      <c r="QJ22" s="77">
        <v>144.25550999999999</v>
      </c>
      <c r="QK22" s="77">
        <v>149.35186899999999</v>
      </c>
      <c r="QL22" s="77">
        <v>145.602014</v>
      </c>
      <c r="QM22" s="77">
        <v>145.121669</v>
      </c>
      <c r="QN22" s="77">
        <v>146.37314499999999</v>
      </c>
      <c r="QO22" s="77">
        <v>150.25536099999999</v>
      </c>
      <c r="QP22" s="77">
        <v>147.169479</v>
      </c>
      <c r="QQ22" s="77">
        <v>146.01863299999999</v>
      </c>
      <c r="QR22" s="77">
        <v>148.42105699999999</v>
      </c>
      <c r="QS22" s="77">
        <v>144.88674499999999</v>
      </c>
    </row>
    <row r="23" spans="6:461" x14ac:dyDescent="0.25">
      <c r="F23" s="76" t="str">
        <f xml:space="preserve"> _xll.EPMOlapMemberO("[PRDDESCR].[].[HELGAS GFREE WHOLEM 500G]","","HELGAS GFREE WHOLEM 500G","","000")</f>
        <v>HELGAS GFREE WHOLEM 500G</v>
      </c>
      <c r="G23" s="76" t="str">
        <f xml:space="preserve"> _xll.EPMOlapMemberO("[PRDID].[].[168848]","","168848","","000")</f>
        <v>168848</v>
      </c>
      <c r="H23" s="76" t="str">
        <f xml:space="preserve"> _xll.EPMOlapMemberO("[LOCID].[].[6104]","","6104","","000")</f>
        <v>6104</v>
      </c>
      <c r="I23" s="76" t="str">
        <f xml:space="preserve"> _xll.EPMOlapMemberO("[LOCDESCR].[].[QBA-Moorebank]","","QBA-Moorebank","","000")</f>
        <v>QBA-Moorebank</v>
      </c>
      <c r="J23" s="76" t="str">
        <f xml:space="preserve"> _xll.EPMOlapMemberO("[KEY_FIGURES].[].[ZGFAPPROVEDFCSTQTY]","","Approved Forecast","","000")</f>
        <v>Approved Forecast</v>
      </c>
      <c r="K23" s="77">
        <v>437.49344300000001</v>
      </c>
      <c r="L23" s="77">
        <v>564.76634200000001</v>
      </c>
      <c r="M23" s="77">
        <v>435.898796</v>
      </c>
      <c r="N23" s="77">
        <v>540.88148100000001</v>
      </c>
      <c r="O23" s="77">
        <v>379.60209800000001</v>
      </c>
      <c r="P23" s="77">
        <v>342.67642000000001</v>
      </c>
      <c r="Q23" s="77">
        <v>770.44562299999996</v>
      </c>
      <c r="R23" s="77">
        <v>441.16364399999998</v>
      </c>
      <c r="S23" s="77">
        <v>565.90855199999999</v>
      </c>
      <c r="T23" s="77">
        <v>445.34679699999998</v>
      </c>
      <c r="U23" s="77">
        <v>548.723477</v>
      </c>
      <c r="V23" s="77">
        <v>384.97992099999999</v>
      </c>
      <c r="W23" s="77">
        <v>346.59409299999999</v>
      </c>
      <c r="X23" s="77">
        <v>818.95626100000004</v>
      </c>
      <c r="Y23" s="77">
        <v>445.89013299999999</v>
      </c>
      <c r="Z23" s="77">
        <v>593.11241199999995</v>
      </c>
      <c r="AA23" s="77">
        <v>464.46181100000001</v>
      </c>
      <c r="AB23" s="77">
        <v>579.42178799999999</v>
      </c>
      <c r="AC23" s="77">
        <v>391.656363</v>
      </c>
      <c r="AD23" s="77">
        <v>364.847083</v>
      </c>
      <c r="AE23" s="77"/>
      <c r="AF23" s="77"/>
      <c r="AG23" s="77"/>
      <c r="AH23" s="77"/>
      <c r="AI23" s="77"/>
      <c r="AJ23" s="77"/>
      <c r="AK23" s="77"/>
      <c r="AL23" s="77">
        <v>814.57494599999995</v>
      </c>
      <c r="AM23" s="77">
        <v>438.07562300000001</v>
      </c>
      <c r="AN23" s="77">
        <v>578.96287099999995</v>
      </c>
      <c r="AO23" s="77">
        <v>459.90947799999998</v>
      </c>
      <c r="AP23" s="77">
        <v>585.57846700000005</v>
      </c>
      <c r="AQ23" s="77">
        <v>379.34778399999999</v>
      </c>
      <c r="AR23" s="77">
        <v>350.71348499999999</v>
      </c>
      <c r="AS23" s="77">
        <v>833.02706799999999</v>
      </c>
      <c r="AT23" s="77">
        <v>447.01715300000001</v>
      </c>
      <c r="AU23" s="77">
        <v>582.05224899999996</v>
      </c>
      <c r="AV23" s="77">
        <v>474.63959799999998</v>
      </c>
      <c r="AW23" s="77">
        <v>590.28269399999999</v>
      </c>
      <c r="AX23" s="77">
        <v>385.64412099999998</v>
      </c>
      <c r="AY23" s="77">
        <v>351.400868</v>
      </c>
      <c r="AZ23" s="77">
        <v>817.84198800000001</v>
      </c>
      <c r="BA23" s="77">
        <v>439.55622899999997</v>
      </c>
      <c r="BB23" s="77">
        <v>578.10449300000005</v>
      </c>
      <c r="BC23" s="77">
        <v>456.63247100000001</v>
      </c>
      <c r="BD23" s="77">
        <v>578.01116000000002</v>
      </c>
      <c r="BE23" s="77">
        <v>381.06047899999999</v>
      </c>
      <c r="BF23" s="77">
        <v>349.064234</v>
      </c>
      <c r="BG23" s="77">
        <v>861.63258099999996</v>
      </c>
      <c r="BH23" s="77">
        <v>457.60289799999998</v>
      </c>
      <c r="BI23" s="77">
        <v>593.85764400000005</v>
      </c>
      <c r="BJ23" s="77">
        <v>462.58729499999998</v>
      </c>
      <c r="BK23" s="77">
        <v>594.70890999999995</v>
      </c>
      <c r="BL23" s="77">
        <v>388.99123800000001</v>
      </c>
      <c r="BM23" s="77">
        <v>355.33261599999997</v>
      </c>
      <c r="BN23" s="77">
        <v>866.01762900000006</v>
      </c>
      <c r="BO23" s="77">
        <v>457.31151199999999</v>
      </c>
      <c r="BP23" s="77">
        <v>605.20496600000001</v>
      </c>
      <c r="BQ23" s="77">
        <v>478.75774799999999</v>
      </c>
      <c r="BR23" s="77">
        <v>613.98310300000003</v>
      </c>
      <c r="BS23" s="77">
        <v>397.66205500000001</v>
      </c>
      <c r="BT23" s="77">
        <v>367.63796300000001</v>
      </c>
      <c r="BU23" s="77">
        <v>821.38891699999999</v>
      </c>
      <c r="BV23" s="77">
        <v>440.40459600000003</v>
      </c>
      <c r="BW23" s="77">
        <v>597.073443</v>
      </c>
      <c r="BX23" s="77">
        <v>482.19907699999999</v>
      </c>
      <c r="BY23" s="77">
        <v>605.064796</v>
      </c>
      <c r="BZ23" s="77">
        <v>394.83712700000001</v>
      </c>
      <c r="CA23" s="77">
        <v>360.60526800000002</v>
      </c>
      <c r="CB23" s="77">
        <v>907.54745400000002</v>
      </c>
      <c r="CC23" s="77">
        <v>496.60791</v>
      </c>
      <c r="CD23" s="77">
        <v>659.59052099999997</v>
      </c>
      <c r="CE23" s="77">
        <v>512.67864899999995</v>
      </c>
      <c r="CF23" s="77">
        <v>652.75549699999999</v>
      </c>
      <c r="CG23" s="77">
        <v>431.26704999999998</v>
      </c>
      <c r="CH23" s="77">
        <v>400.58989200000002</v>
      </c>
      <c r="CI23" s="77">
        <v>832.15321600000004</v>
      </c>
      <c r="CJ23" s="77">
        <v>444.09314000000001</v>
      </c>
      <c r="CK23" s="77">
        <v>590.14367700000003</v>
      </c>
      <c r="CL23" s="77">
        <v>462.83363500000002</v>
      </c>
      <c r="CM23" s="77">
        <v>591.81888700000002</v>
      </c>
      <c r="CN23" s="77">
        <v>387.08448700000002</v>
      </c>
      <c r="CO23" s="77">
        <v>352.91335500000002</v>
      </c>
      <c r="CP23" s="77">
        <v>847.47030500000005</v>
      </c>
      <c r="CQ23" s="77">
        <v>456.21543500000001</v>
      </c>
      <c r="CR23" s="77">
        <v>602.09292200000004</v>
      </c>
      <c r="CS23" s="77">
        <v>479.75011799999999</v>
      </c>
      <c r="CT23" s="77">
        <v>610.40258900000003</v>
      </c>
      <c r="CU23" s="77">
        <v>395.80688900000001</v>
      </c>
      <c r="CV23" s="77">
        <v>365.23040900000001</v>
      </c>
      <c r="CW23" s="77">
        <v>856.032737</v>
      </c>
      <c r="CX23" s="77">
        <v>465.60400600000003</v>
      </c>
      <c r="CY23" s="77">
        <v>612.07603900000004</v>
      </c>
      <c r="CZ23" s="77">
        <v>492.08950199999998</v>
      </c>
      <c r="DA23" s="77">
        <v>615.96433300000001</v>
      </c>
      <c r="DB23" s="77">
        <v>402.133487</v>
      </c>
      <c r="DC23" s="77">
        <v>370.27438899999999</v>
      </c>
      <c r="DD23" s="77">
        <v>807.67199700000003</v>
      </c>
      <c r="DE23" s="77">
        <v>440.423224</v>
      </c>
      <c r="DF23" s="77">
        <v>609.60897499999999</v>
      </c>
      <c r="DG23" s="77">
        <v>469.213143</v>
      </c>
      <c r="DH23" s="77">
        <v>602.60600499999998</v>
      </c>
      <c r="DI23" s="77">
        <v>397.16833800000001</v>
      </c>
      <c r="DJ23" s="77">
        <v>368.98258800000002</v>
      </c>
      <c r="DK23" s="77">
        <v>838.36781399999995</v>
      </c>
      <c r="DL23" s="77">
        <v>448.85675199999997</v>
      </c>
      <c r="DM23" s="77">
        <v>575.696822</v>
      </c>
      <c r="DN23" s="77">
        <v>453.20105100000001</v>
      </c>
      <c r="DO23" s="77">
        <v>577.31281100000001</v>
      </c>
      <c r="DP23" s="77">
        <v>377.654449</v>
      </c>
      <c r="DQ23" s="77">
        <v>344.337827</v>
      </c>
      <c r="DR23" s="77">
        <v>817.44995300000005</v>
      </c>
      <c r="DS23" s="77">
        <v>436.742794</v>
      </c>
      <c r="DT23" s="77">
        <v>579.27832699999999</v>
      </c>
      <c r="DU23" s="77">
        <v>457.63061699999997</v>
      </c>
      <c r="DV23" s="77">
        <v>584.41828799999996</v>
      </c>
      <c r="DW23" s="77">
        <v>378.308244</v>
      </c>
      <c r="DX23" s="77">
        <v>350.90797800000001</v>
      </c>
      <c r="DY23" s="77">
        <v>892.221453</v>
      </c>
      <c r="DZ23" s="77">
        <v>477.29067500000002</v>
      </c>
      <c r="EA23" s="77">
        <v>608.17602699999998</v>
      </c>
      <c r="EB23" s="77">
        <v>491.116173</v>
      </c>
      <c r="EC23" s="77">
        <v>615.94706599999995</v>
      </c>
      <c r="ED23" s="77">
        <v>401.93921</v>
      </c>
      <c r="EE23" s="77">
        <v>367.01560499999999</v>
      </c>
      <c r="EF23" s="77">
        <v>815.66365800000005</v>
      </c>
      <c r="EG23" s="77">
        <v>444.549147</v>
      </c>
      <c r="EH23" s="77">
        <v>609.71700899999996</v>
      </c>
      <c r="EI23" s="77">
        <v>472.479398</v>
      </c>
      <c r="EJ23" s="77">
        <v>604.59093499999994</v>
      </c>
      <c r="EK23" s="77">
        <v>398.93386600000002</v>
      </c>
      <c r="EL23" s="77">
        <v>369.82835</v>
      </c>
      <c r="EM23" s="77">
        <v>848.475458</v>
      </c>
      <c r="EN23" s="77">
        <v>454.93764499999997</v>
      </c>
      <c r="EO23" s="77">
        <v>605.14700100000005</v>
      </c>
      <c r="EP23" s="77">
        <v>473.79487699999999</v>
      </c>
      <c r="EQ23" s="77">
        <v>605.50176299999998</v>
      </c>
      <c r="ER23" s="77">
        <v>396.458664</v>
      </c>
      <c r="ES23" s="77">
        <v>362.83365900000001</v>
      </c>
      <c r="ET23" s="77">
        <v>845.08994700000005</v>
      </c>
      <c r="EU23" s="77">
        <v>446.20917800000001</v>
      </c>
      <c r="EV23" s="77">
        <v>587.754052</v>
      </c>
      <c r="EW23" s="77">
        <v>470.03946400000001</v>
      </c>
      <c r="EX23" s="77">
        <v>598.12577499999998</v>
      </c>
      <c r="EY23" s="77">
        <v>387.65427599999998</v>
      </c>
      <c r="EZ23" s="77">
        <v>355.73765600000002</v>
      </c>
      <c r="FA23" s="77">
        <v>903.20874200000003</v>
      </c>
      <c r="FB23" s="77">
        <v>489.49502899999999</v>
      </c>
      <c r="FC23" s="77">
        <v>617.88663599999995</v>
      </c>
      <c r="FD23" s="77">
        <v>499.01827900000001</v>
      </c>
      <c r="FE23" s="77">
        <v>622.98747500000002</v>
      </c>
      <c r="FF23" s="77">
        <v>406.65653400000002</v>
      </c>
      <c r="FG23" s="77">
        <v>372.70829099999997</v>
      </c>
      <c r="FH23" s="77">
        <v>851.71758999999997</v>
      </c>
      <c r="FI23" s="77">
        <v>467.21502299999997</v>
      </c>
      <c r="FJ23" s="77">
        <v>646.45032000000003</v>
      </c>
      <c r="FK23" s="77">
        <v>501.41644600000001</v>
      </c>
      <c r="FL23" s="77">
        <v>639.63565000000006</v>
      </c>
      <c r="FM23" s="77">
        <v>423.187702</v>
      </c>
      <c r="FN23" s="77">
        <v>394.01763799999998</v>
      </c>
      <c r="FO23" s="77">
        <v>828.14142400000003</v>
      </c>
      <c r="FP23" s="77">
        <v>444.39597099999997</v>
      </c>
      <c r="FQ23" s="77">
        <v>593.05544599999996</v>
      </c>
      <c r="FR23" s="77">
        <v>468.50244300000003</v>
      </c>
      <c r="FS23" s="77">
        <v>595.39210600000001</v>
      </c>
      <c r="FT23" s="77">
        <v>389.968098</v>
      </c>
      <c r="FU23" s="77">
        <v>355.256416</v>
      </c>
      <c r="FV23" s="77">
        <v>840.48187299999995</v>
      </c>
      <c r="FW23" s="77">
        <v>443.53789</v>
      </c>
      <c r="FX23" s="77">
        <v>579.13688200000001</v>
      </c>
      <c r="FY23" s="77">
        <v>461.32645400000001</v>
      </c>
      <c r="FZ23" s="77">
        <v>586.45351900000003</v>
      </c>
      <c r="GA23" s="77">
        <v>379.80409100000003</v>
      </c>
      <c r="GB23" s="77">
        <v>349.86193500000002</v>
      </c>
      <c r="GC23" s="77">
        <v>804.64674400000001</v>
      </c>
      <c r="GD23" s="77">
        <v>432.86296099999998</v>
      </c>
      <c r="GE23" s="77">
        <v>592.77961200000004</v>
      </c>
      <c r="GF23" s="77">
        <v>477.76333399999999</v>
      </c>
      <c r="GG23" s="77">
        <v>598.23915</v>
      </c>
      <c r="GH23" s="77">
        <v>390.44817799999998</v>
      </c>
      <c r="GI23" s="77">
        <v>358.22876500000001</v>
      </c>
      <c r="GJ23" s="77">
        <v>847.67468099999996</v>
      </c>
      <c r="GK23" s="77">
        <v>465.95179899999999</v>
      </c>
      <c r="GL23" s="77">
        <v>592.31042200000002</v>
      </c>
      <c r="GM23" s="77">
        <v>460.13259900000003</v>
      </c>
      <c r="GN23" s="77">
        <v>587.30118900000002</v>
      </c>
      <c r="GO23" s="77">
        <v>387.27836600000001</v>
      </c>
      <c r="GP23" s="77">
        <v>358.89474100000001</v>
      </c>
      <c r="GQ23" s="77">
        <v>815.225145</v>
      </c>
      <c r="GR23" s="77">
        <v>438.23293699999999</v>
      </c>
      <c r="GS23" s="77">
        <v>583.523459</v>
      </c>
      <c r="GT23" s="77">
        <v>456.47490499999998</v>
      </c>
      <c r="GU23" s="77">
        <v>583.54348400000003</v>
      </c>
      <c r="GV23" s="77">
        <v>382.32795399999998</v>
      </c>
      <c r="GW23" s="77">
        <v>350.758421</v>
      </c>
      <c r="GX23" s="77">
        <v>845.99221499999999</v>
      </c>
      <c r="GY23" s="77">
        <v>459.078081</v>
      </c>
      <c r="GZ23" s="77">
        <v>603.81763799999999</v>
      </c>
      <c r="HA23" s="77">
        <v>478.481559</v>
      </c>
      <c r="HB23" s="77">
        <v>611.42398600000001</v>
      </c>
      <c r="HC23" s="77">
        <v>396.51473399999998</v>
      </c>
      <c r="HD23" s="77">
        <v>367.86085600000001</v>
      </c>
      <c r="HE23" s="77">
        <v>830.99770899999999</v>
      </c>
      <c r="HF23" s="77">
        <v>446.04346099999998</v>
      </c>
      <c r="HG23" s="77">
        <v>592.18726400000003</v>
      </c>
      <c r="HH23" s="77">
        <v>476.18530600000003</v>
      </c>
      <c r="HI23" s="77">
        <v>597.47494700000004</v>
      </c>
      <c r="HJ23" s="77">
        <v>390.11279100000002</v>
      </c>
      <c r="HK23" s="77">
        <v>358.86151000000001</v>
      </c>
      <c r="HL23" s="77">
        <v>830.72721100000001</v>
      </c>
      <c r="HM23" s="77">
        <v>449.48975799999999</v>
      </c>
      <c r="HN23" s="77">
        <v>594.23789799999997</v>
      </c>
      <c r="HO23" s="77">
        <v>467.01658400000002</v>
      </c>
      <c r="HP23" s="77">
        <v>595.19016699999997</v>
      </c>
      <c r="HQ23" s="77">
        <v>392.92028699999997</v>
      </c>
      <c r="HR23" s="77">
        <v>359.73802000000001</v>
      </c>
      <c r="HS23" s="77">
        <v>848.16214400000001</v>
      </c>
      <c r="HT23" s="77">
        <v>449.88736599999999</v>
      </c>
      <c r="HU23" s="77">
        <v>586.31408099999999</v>
      </c>
      <c r="HV23" s="77">
        <v>461.08720899999997</v>
      </c>
      <c r="HW23" s="77">
        <v>588.10653600000001</v>
      </c>
      <c r="HX23" s="77">
        <v>385.61095</v>
      </c>
      <c r="HY23" s="77">
        <v>352.55081999999999</v>
      </c>
      <c r="HZ23" s="77">
        <v>866.79359499999998</v>
      </c>
      <c r="IA23" s="77">
        <v>466.19303100000002</v>
      </c>
      <c r="IB23" s="77">
        <v>617.061283</v>
      </c>
      <c r="IC23" s="77">
        <v>493.30055599999997</v>
      </c>
      <c r="ID23" s="77">
        <v>626.16436399999998</v>
      </c>
      <c r="IE23" s="77">
        <v>406.58536500000002</v>
      </c>
      <c r="IF23" s="77">
        <v>375.39803599999999</v>
      </c>
      <c r="IG23" s="77">
        <v>915.93898899999999</v>
      </c>
      <c r="IH23" s="77">
        <v>496.29082699999998</v>
      </c>
      <c r="II23" s="77">
        <v>660.955243</v>
      </c>
      <c r="IJ23" s="77">
        <v>533.65142300000002</v>
      </c>
      <c r="IK23" s="77">
        <v>667.82592699999998</v>
      </c>
      <c r="IL23" s="77">
        <v>436.99614600000001</v>
      </c>
      <c r="IM23" s="77">
        <v>401.56852600000002</v>
      </c>
      <c r="IN23" s="77">
        <v>890.50045299999999</v>
      </c>
      <c r="IO23" s="77">
        <v>481.15769999999998</v>
      </c>
      <c r="IP23" s="77">
        <v>640.35641699999996</v>
      </c>
      <c r="IQ23" s="77">
        <v>501.25059099999999</v>
      </c>
      <c r="IR23" s="77">
        <v>638.20089099999996</v>
      </c>
      <c r="IS23" s="77">
        <v>421.93378899999999</v>
      </c>
      <c r="IT23" s="77">
        <v>388.85765600000002</v>
      </c>
      <c r="IU23" s="77">
        <v>900.20385599999997</v>
      </c>
      <c r="IV23" s="77">
        <v>479.66623299999998</v>
      </c>
      <c r="IW23" s="77">
        <v>624.53989300000001</v>
      </c>
      <c r="IX23" s="77">
        <v>489.63052699999997</v>
      </c>
      <c r="IY23" s="77">
        <v>624.50636199999997</v>
      </c>
      <c r="IZ23" s="77">
        <v>409.10917899999998</v>
      </c>
      <c r="JA23" s="77">
        <v>374.280125</v>
      </c>
      <c r="JB23" s="77">
        <v>862.30021999999997</v>
      </c>
      <c r="JC23" s="77">
        <v>461.18825700000002</v>
      </c>
      <c r="JD23" s="77">
        <v>618.93605200000002</v>
      </c>
      <c r="JE23" s="77">
        <v>491.93943300000001</v>
      </c>
      <c r="JF23" s="77">
        <v>627.45521599999995</v>
      </c>
      <c r="JG23" s="77">
        <v>406.60634900000002</v>
      </c>
      <c r="JH23" s="77">
        <v>374.92875099999998</v>
      </c>
      <c r="JI23" s="77">
        <v>844.72021500000005</v>
      </c>
      <c r="JJ23" s="77">
        <v>452.73254300000002</v>
      </c>
      <c r="JK23" s="77">
        <v>598.38297399999999</v>
      </c>
      <c r="JL23" s="77">
        <v>484.38371000000001</v>
      </c>
      <c r="JM23" s="77">
        <v>605.91455499999995</v>
      </c>
      <c r="JN23" s="77">
        <v>395.582829</v>
      </c>
      <c r="JO23" s="77">
        <v>361.35190699999998</v>
      </c>
      <c r="JP23" s="77">
        <v>853.24163399999998</v>
      </c>
      <c r="JQ23" s="77">
        <v>461.70798400000001</v>
      </c>
      <c r="JR23" s="77">
        <v>615.80983400000002</v>
      </c>
      <c r="JS23" s="77">
        <v>486.96535999999998</v>
      </c>
      <c r="JT23" s="77">
        <v>618.79167399999994</v>
      </c>
      <c r="JU23" s="77">
        <v>407.92810300000002</v>
      </c>
      <c r="JV23" s="77">
        <v>370.91520800000001</v>
      </c>
      <c r="JW23" s="77">
        <v>600.97425799999996</v>
      </c>
      <c r="JX23" s="77">
        <v>468.97785099999999</v>
      </c>
      <c r="JY23" s="77">
        <v>505.99008600000002</v>
      </c>
      <c r="JZ23" s="77">
        <v>409.14948199999998</v>
      </c>
      <c r="KA23" s="77">
        <v>487.76689399999998</v>
      </c>
      <c r="KB23" s="77">
        <v>640.77823599999999</v>
      </c>
      <c r="KC23" s="77">
        <v>626.90125999999998</v>
      </c>
      <c r="KD23" s="77">
        <v>518.01454100000001</v>
      </c>
      <c r="KE23" s="77">
        <v>536.56484999999998</v>
      </c>
      <c r="KF23" s="77">
        <v>551.102622</v>
      </c>
      <c r="KG23" s="77">
        <v>543.34763699999996</v>
      </c>
      <c r="KH23" s="77">
        <v>523.848388</v>
      </c>
      <c r="KI23" s="77">
        <v>563.74047700000006</v>
      </c>
      <c r="KJ23" s="77">
        <v>556.66745900000001</v>
      </c>
      <c r="KK23" s="77">
        <v>524.22738300000003</v>
      </c>
      <c r="KL23" s="77">
        <v>544.29787999999996</v>
      </c>
      <c r="KM23" s="77">
        <v>552.86510799999996</v>
      </c>
      <c r="KN23" s="77">
        <v>555.410122</v>
      </c>
      <c r="KO23" s="77">
        <v>524.81935499999997</v>
      </c>
      <c r="KP23" s="77">
        <v>567.52559599999995</v>
      </c>
      <c r="KQ23" s="77">
        <v>556.99419499999999</v>
      </c>
      <c r="KR23" s="77">
        <v>497.71029900000002</v>
      </c>
      <c r="KS23" s="77">
        <v>523.54806199999996</v>
      </c>
      <c r="KT23" s="77">
        <v>539.23209099999997</v>
      </c>
      <c r="KU23" s="77">
        <v>521.27310399999999</v>
      </c>
      <c r="KV23" s="77">
        <v>503.06468699999999</v>
      </c>
      <c r="KW23" s="77">
        <v>549.49297899999999</v>
      </c>
      <c r="KX23" s="77">
        <v>543.76005399999997</v>
      </c>
      <c r="KY23" s="77">
        <v>515.91248199999995</v>
      </c>
      <c r="KZ23" s="77">
        <v>532.222893</v>
      </c>
      <c r="LA23" s="77">
        <v>548.99839199999997</v>
      </c>
      <c r="LB23" s="77">
        <v>533.68287799999996</v>
      </c>
      <c r="LC23" s="77">
        <v>515.87879599999997</v>
      </c>
      <c r="LD23" s="77">
        <v>560.22620099999995</v>
      </c>
      <c r="LE23" s="77">
        <v>549.24514499999998</v>
      </c>
      <c r="LF23" s="77">
        <v>525.01844300000005</v>
      </c>
      <c r="LG23" s="77">
        <v>542.68440699999996</v>
      </c>
      <c r="LH23" s="77">
        <v>554.14114500000005</v>
      </c>
      <c r="LI23" s="77">
        <v>548.36031800000001</v>
      </c>
      <c r="LJ23" s="77">
        <v>528.76603</v>
      </c>
      <c r="LK23" s="77">
        <v>565.91608599999995</v>
      </c>
      <c r="LL23" s="77">
        <v>559.71549100000004</v>
      </c>
      <c r="LM23" s="77">
        <v>520.10568699999999</v>
      </c>
      <c r="LN23" s="77">
        <v>540.03400399999998</v>
      </c>
      <c r="LO23" s="77">
        <v>550.86216000000002</v>
      </c>
      <c r="LP23" s="77">
        <v>553.11138000000005</v>
      </c>
      <c r="LQ23" s="77">
        <v>523.18146200000001</v>
      </c>
      <c r="LR23" s="77">
        <v>565.27956400000005</v>
      </c>
      <c r="LS23" s="77">
        <v>554.94664599999999</v>
      </c>
      <c r="LT23" s="77">
        <v>484.90011199999998</v>
      </c>
      <c r="LU23" s="77">
        <v>509.62611199999998</v>
      </c>
      <c r="LV23" s="77">
        <v>524.18455900000004</v>
      </c>
      <c r="LW23" s="77">
        <v>507.060834</v>
      </c>
      <c r="LX23" s="77">
        <v>489.46255200000002</v>
      </c>
      <c r="LY23" s="77">
        <v>533.87561700000003</v>
      </c>
      <c r="LZ23" s="77">
        <v>528.56233599999996</v>
      </c>
      <c r="MA23" s="77">
        <v>490.88293199999998</v>
      </c>
      <c r="MB23" s="77">
        <v>505.91245600000002</v>
      </c>
      <c r="MC23" s="77">
        <v>535.39811799999995</v>
      </c>
      <c r="MD23" s="77">
        <v>521.547912</v>
      </c>
      <c r="ME23" s="77">
        <v>504.39306499999998</v>
      </c>
      <c r="MF23" s="77">
        <v>545.46877900000004</v>
      </c>
      <c r="MG23" s="77">
        <v>535.32311700000002</v>
      </c>
      <c r="MH23" s="77">
        <v>544.25880800000004</v>
      </c>
      <c r="MI23" s="77">
        <v>561.95229400000005</v>
      </c>
      <c r="MJ23" s="77">
        <v>559.27574700000002</v>
      </c>
      <c r="MK23" s="77">
        <v>553.23529099999996</v>
      </c>
      <c r="ML23" s="77">
        <v>533.91963199999998</v>
      </c>
      <c r="MM23" s="77">
        <v>571.02603599999998</v>
      </c>
      <c r="MN23" s="77">
        <v>564.91551800000002</v>
      </c>
      <c r="MO23" s="77">
        <v>537.38241900000003</v>
      </c>
      <c r="MP23" s="77">
        <v>556.76510800000005</v>
      </c>
      <c r="MQ23" s="77">
        <v>564.83661300000006</v>
      </c>
      <c r="MR23" s="77">
        <v>569.712581</v>
      </c>
      <c r="MS23" s="77">
        <v>538.35677899999996</v>
      </c>
      <c r="MT23" s="77">
        <v>578.94055700000001</v>
      </c>
      <c r="MU23" s="77">
        <v>568.87276699999995</v>
      </c>
      <c r="MV23" s="77">
        <v>514.86156300000005</v>
      </c>
      <c r="MW23" s="77">
        <v>541.30428700000004</v>
      </c>
      <c r="MX23" s="77">
        <v>562.74281199999996</v>
      </c>
      <c r="MY23" s="77">
        <v>543.59450000000004</v>
      </c>
      <c r="MZ23" s="77">
        <v>525.13305200000002</v>
      </c>
      <c r="NA23" s="77">
        <v>572.48025299999995</v>
      </c>
      <c r="NB23" s="77">
        <v>567.46707300000003</v>
      </c>
      <c r="NC23" s="77">
        <v>530.52146400000004</v>
      </c>
      <c r="ND23" s="77">
        <v>546.23706400000003</v>
      </c>
      <c r="NE23" s="77">
        <v>557.65164300000004</v>
      </c>
      <c r="NF23" s="77">
        <v>542.53219200000001</v>
      </c>
      <c r="NG23" s="77">
        <v>524.83954200000005</v>
      </c>
      <c r="NH23" s="77">
        <v>568.39545499999997</v>
      </c>
      <c r="NI23" s="77">
        <v>557.586904</v>
      </c>
      <c r="NJ23" s="77">
        <v>491.17857600000002</v>
      </c>
      <c r="NK23" s="77">
        <v>509.07927799999999</v>
      </c>
      <c r="NL23" s="77">
        <v>522.51822500000003</v>
      </c>
      <c r="NM23" s="77">
        <v>515.02551400000004</v>
      </c>
      <c r="NN23" s="77">
        <v>496.19943999999998</v>
      </c>
      <c r="NO23" s="77">
        <v>534.73622999999998</v>
      </c>
      <c r="NP23" s="77">
        <v>527.75291800000002</v>
      </c>
      <c r="NQ23" s="77">
        <v>518.273866</v>
      </c>
      <c r="NR23" s="77">
        <v>537.52944600000001</v>
      </c>
      <c r="NS23" s="77">
        <v>535.09511299999997</v>
      </c>
      <c r="NT23" s="77">
        <v>538.18285300000002</v>
      </c>
      <c r="NU23" s="77">
        <v>508.49775399999999</v>
      </c>
      <c r="NV23" s="77">
        <v>549.07932000000005</v>
      </c>
      <c r="NW23" s="77">
        <v>539.03932899999995</v>
      </c>
      <c r="NX23" s="77">
        <v>523.25461099999995</v>
      </c>
      <c r="NY23" s="77">
        <v>550.04228599999999</v>
      </c>
      <c r="NZ23" s="77">
        <v>577.59781699999996</v>
      </c>
      <c r="OA23" s="77">
        <v>558.90744900000004</v>
      </c>
      <c r="OB23" s="77">
        <v>540.10566400000005</v>
      </c>
      <c r="OC23" s="77">
        <v>587.18678199999999</v>
      </c>
      <c r="OD23" s="77">
        <v>582.37396999999999</v>
      </c>
      <c r="OE23" s="77">
        <v>524.72938699999997</v>
      </c>
      <c r="OF23" s="77">
        <v>540.53585699999996</v>
      </c>
      <c r="OG23" s="77">
        <v>557.28890799999999</v>
      </c>
      <c r="OH23" s="77">
        <v>542.22450600000002</v>
      </c>
      <c r="OI23" s="77">
        <v>524.50292300000001</v>
      </c>
      <c r="OJ23" s="77">
        <v>568.06019500000002</v>
      </c>
      <c r="OK23" s="77">
        <v>557.25949600000001</v>
      </c>
      <c r="OL23" s="77">
        <v>500.494415</v>
      </c>
      <c r="OM23" s="77">
        <v>517.92699700000003</v>
      </c>
      <c r="ON23" s="77">
        <v>557.64094399999999</v>
      </c>
      <c r="OO23" s="77">
        <v>552.01610300000004</v>
      </c>
      <c r="OP23" s="77">
        <v>532.43033600000001</v>
      </c>
      <c r="OQ23" s="77">
        <v>569.331323</v>
      </c>
      <c r="OR23" s="77">
        <v>563.29934700000001</v>
      </c>
      <c r="OS23" s="77">
        <v>534.85187499999995</v>
      </c>
      <c r="OT23" s="77">
        <v>555.57864700000005</v>
      </c>
      <c r="OU23" s="77">
        <v>538.66912600000001</v>
      </c>
      <c r="OV23" s="77">
        <v>539.23039700000004</v>
      </c>
      <c r="OW23" s="77">
        <v>509.91568599999999</v>
      </c>
      <c r="OX23" s="77">
        <v>553.51011400000004</v>
      </c>
      <c r="OY23" s="77">
        <v>542.76195800000005</v>
      </c>
      <c r="OZ23" s="77">
        <v>494.92396300000001</v>
      </c>
      <c r="PA23" s="77">
        <v>521.00026200000002</v>
      </c>
      <c r="PB23" s="77">
        <v>536.79588699999999</v>
      </c>
      <c r="PC23" s="77">
        <v>518.25495100000001</v>
      </c>
      <c r="PD23" s="77">
        <v>499.50171499999999</v>
      </c>
      <c r="PE23" s="77">
        <v>548.08329100000003</v>
      </c>
      <c r="PF23" s="77">
        <v>541.39918</v>
      </c>
      <c r="PG23" s="77">
        <v>529.07855800000004</v>
      </c>
      <c r="PH23" s="77">
        <v>544.37779499999999</v>
      </c>
      <c r="PI23" s="77">
        <v>545.01839900000004</v>
      </c>
      <c r="PJ23" s="77">
        <v>530.52541399999996</v>
      </c>
      <c r="PK23" s="77">
        <v>513.14196300000003</v>
      </c>
      <c r="PL23" s="77">
        <v>555.42980399999999</v>
      </c>
      <c r="PM23" s="77">
        <v>544.958033</v>
      </c>
      <c r="PN23" s="77">
        <v>527.51899700000001</v>
      </c>
      <c r="PO23" s="77">
        <v>545.06558500000006</v>
      </c>
      <c r="PP23" s="77">
        <v>575.37278000000003</v>
      </c>
      <c r="PQ23" s="77">
        <v>569.69160399999998</v>
      </c>
      <c r="PR23" s="77">
        <v>550.11645999999996</v>
      </c>
      <c r="PS23" s="77">
        <v>587.07048799999995</v>
      </c>
      <c r="PT23" s="77">
        <v>581.163543</v>
      </c>
      <c r="PU23" s="77">
        <v>519.67653399999995</v>
      </c>
      <c r="PV23" s="77">
        <v>539.41410399999995</v>
      </c>
      <c r="PW23" s="77">
        <v>548.33102099999996</v>
      </c>
      <c r="PX23" s="77">
        <v>550.95449299999996</v>
      </c>
      <c r="PY23" s="77">
        <v>520.80969700000003</v>
      </c>
      <c r="PZ23" s="77">
        <v>562.75186199999996</v>
      </c>
      <c r="QA23" s="77">
        <v>552.369598</v>
      </c>
      <c r="QB23" s="77">
        <v>558.83094500000004</v>
      </c>
      <c r="QC23" s="77">
        <v>587.11043199999995</v>
      </c>
      <c r="QD23" s="77">
        <v>603.60692900000004</v>
      </c>
      <c r="QE23" s="77">
        <v>584.60565999999994</v>
      </c>
      <c r="QF23" s="77">
        <v>564.18002899999999</v>
      </c>
      <c r="QG23" s="77">
        <v>614.49112100000002</v>
      </c>
      <c r="QH23" s="77">
        <v>608.65098899999998</v>
      </c>
      <c r="QI23" s="77">
        <v>510.08688000000001</v>
      </c>
      <c r="QJ23" s="77">
        <v>526.14931899999999</v>
      </c>
      <c r="QK23" s="77">
        <v>542.55251099999998</v>
      </c>
      <c r="QL23" s="77">
        <v>527.85952699999996</v>
      </c>
      <c r="QM23" s="77">
        <v>510.14436699999999</v>
      </c>
      <c r="QN23" s="77">
        <v>553.55391899999995</v>
      </c>
      <c r="QO23" s="77">
        <v>542.84247300000004</v>
      </c>
      <c r="QP23" s="77">
        <v>521.20398899999998</v>
      </c>
      <c r="QQ23" s="77">
        <v>539.50367200000005</v>
      </c>
      <c r="QR23" s="77">
        <v>553.25168599999995</v>
      </c>
      <c r="QS23" s="77">
        <v>546.37007600000004</v>
      </c>
    </row>
    <row r="24" spans="6:461" x14ac:dyDescent="0.25">
      <c r="F24" s="76" t="str">
        <f xml:space="preserve"> _xll.EPMOlapMemberO("[PRDDESCR].[].[HELGAS GFREE WHOLEM 500G]","","HELGAS GFREE WHOLEM 500G","","000")</f>
        <v>HELGAS GFREE WHOLEM 500G</v>
      </c>
      <c r="G24" s="76" t="str">
        <f xml:space="preserve"> _xll.EPMOlapMemberO("[PRDID].[].[168848]","","168848","","000")</f>
        <v>168848</v>
      </c>
      <c r="H24" s="76" t="str">
        <f xml:space="preserve"> _xll.EPMOlapMemberO("[LOCID].[].[6105]","","6105","","000")</f>
        <v>6105</v>
      </c>
      <c r="I24" s="76" t="str">
        <f xml:space="preserve"> _xll.EPMOlapMemberO("[LOCDESCR].[].[QBA-Rydalmere]","","QBA-Rydalmere","","000")</f>
        <v>QBA-Rydalmere</v>
      </c>
      <c r="J24" s="76" t="str">
        <f xml:space="preserve"> _xll.EPMOlapMemberO("[KEY_FIGURES].[].[ZGFAPPROVEDFCSTQTY]","","Approved Forecast","","000")</f>
        <v>Approved Forecast</v>
      </c>
      <c r="K24" s="77">
        <v>505.30679900000001</v>
      </c>
      <c r="L24" s="77">
        <v>293.07355000000001</v>
      </c>
      <c r="M24" s="77">
        <v>441.99448899999999</v>
      </c>
      <c r="N24" s="77">
        <v>320.057345</v>
      </c>
      <c r="O24" s="77">
        <v>416.72106600000001</v>
      </c>
      <c r="P24" s="77">
        <v>286.13202999999999</v>
      </c>
      <c r="Q24" s="77">
        <v>513.07798500000001</v>
      </c>
      <c r="R24" s="77">
        <v>480.624774</v>
      </c>
      <c r="S24" s="77">
        <v>298.34821699999998</v>
      </c>
      <c r="T24" s="77">
        <v>427.15991100000002</v>
      </c>
      <c r="U24" s="77">
        <v>315.74867</v>
      </c>
      <c r="V24" s="77">
        <v>408.15936900000003</v>
      </c>
      <c r="W24" s="77">
        <v>299.72891700000002</v>
      </c>
      <c r="X24" s="77">
        <v>542.82365800000002</v>
      </c>
      <c r="Y24" s="77">
        <v>496.35877099999999</v>
      </c>
      <c r="Z24" s="77">
        <v>311.60514499999999</v>
      </c>
      <c r="AA24" s="77">
        <v>422.773597</v>
      </c>
      <c r="AB24" s="77">
        <v>372.09804500000001</v>
      </c>
      <c r="AC24" s="77">
        <v>419.47462000000002</v>
      </c>
      <c r="AD24" s="77">
        <v>307.04914600000001</v>
      </c>
      <c r="AE24" s="77"/>
      <c r="AF24" s="77"/>
      <c r="AG24" s="77"/>
      <c r="AH24" s="77"/>
      <c r="AI24" s="77"/>
      <c r="AJ24" s="77"/>
      <c r="AK24" s="77"/>
      <c r="AL24" s="77">
        <v>565.30810199999996</v>
      </c>
      <c r="AM24" s="77">
        <v>515.67075599999998</v>
      </c>
      <c r="AN24" s="77">
        <v>332.40196600000002</v>
      </c>
      <c r="AO24" s="77">
        <v>435.073508</v>
      </c>
      <c r="AP24" s="77">
        <v>388.66810099999998</v>
      </c>
      <c r="AQ24" s="77">
        <v>439.30403699999999</v>
      </c>
      <c r="AR24" s="77">
        <v>319.35746899999998</v>
      </c>
      <c r="AS24" s="77">
        <v>553.31945800000005</v>
      </c>
      <c r="AT24" s="77">
        <v>500.55257899999998</v>
      </c>
      <c r="AU24" s="77">
        <v>328.48220900000001</v>
      </c>
      <c r="AV24" s="77">
        <v>422.419445</v>
      </c>
      <c r="AW24" s="77">
        <v>377.63630599999999</v>
      </c>
      <c r="AX24" s="77">
        <v>435.27911799999998</v>
      </c>
      <c r="AY24" s="77">
        <v>321.20530400000001</v>
      </c>
      <c r="AZ24" s="77">
        <v>547.92915400000004</v>
      </c>
      <c r="BA24" s="77">
        <v>501.96205800000001</v>
      </c>
      <c r="BB24" s="77">
        <v>322.93517800000001</v>
      </c>
      <c r="BC24" s="77">
        <v>423.05057099999999</v>
      </c>
      <c r="BD24" s="77">
        <v>379.18627300000003</v>
      </c>
      <c r="BE24" s="77">
        <v>424.74346500000001</v>
      </c>
      <c r="BF24" s="77">
        <v>308.37682100000001</v>
      </c>
      <c r="BG24" s="77">
        <v>583.72503200000006</v>
      </c>
      <c r="BH24" s="77">
        <v>544.13153199999999</v>
      </c>
      <c r="BI24" s="77">
        <v>337.41281700000002</v>
      </c>
      <c r="BJ24" s="77">
        <v>445.32412599999998</v>
      </c>
      <c r="BK24" s="77">
        <v>400.22916800000002</v>
      </c>
      <c r="BL24" s="77">
        <v>445.62095900000003</v>
      </c>
      <c r="BM24" s="77">
        <v>327.10704600000003</v>
      </c>
      <c r="BN24" s="77">
        <v>582.503333</v>
      </c>
      <c r="BO24" s="77">
        <v>533.32069300000001</v>
      </c>
      <c r="BP24" s="77">
        <v>342.33611400000001</v>
      </c>
      <c r="BQ24" s="77">
        <v>448.12876899999998</v>
      </c>
      <c r="BR24" s="77">
        <v>404.23866900000002</v>
      </c>
      <c r="BS24" s="77">
        <v>447.29223100000002</v>
      </c>
      <c r="BT24" s="77">
        <v>327.79024399999997</v>
      </c>
      <c r="BU24" s="77">
        <v>566.96654699999999</v>
      </c>
      <c r="BV24" s="77">
        <v>515.30593399999998</v>
      </c>
      <c r="BW24" s="77">
        <v>348.27292299999999</v>
      </c>
      <c r="BX24" s="77">
        <v>444.702179</v>
      </c>
      <c r="BY24" s="77">
        <v>403.17674299999999</v>
      </c>
      <c r="BZ24" s="77">
        <v>455.00471900000002</v>
      </c>
      <c r="CA24" s="77">
        <v>338.47783399999997</v>
      </c>
      <c r="CB24" s="77">
        <v>569.21451000000002</v>
      </c>
      <c r="CC24" s="77">
        <v>498.38505800000001</v>
      </c>
      <c r="CD24" s="77">
        <v>334.47355299999998</v>
      </c>
      <c r="CE24" s="77">
        <v>425.42246299999999</v>
      </c>
      <c r="CF24" s="77">
        <v>382.04627399999998</v>
      </c>
      <c r="CG24" s="77">
        <v>437.46218499999998</v>
      </c>
      <c r="CH24" s="77">
        <v>323.56638700000002</v>
      </c>
      <c r="CI24" s="77">
        <v>517.76740400000006</v>
      </c>
      <c r="CJ24" s="77">
        <v>451.46384</v>
      </c>
      <c r="CK24" s="77">
        <v>307.26241700000003</v>
      </c>
      <c r="CL24" s="77">
        <v>383.47469999999998</v>
      </c>
      <c r="CM24" s="77">
        <v>346.25412599999999</v>
      </c>
      <c r="CN24" s="77">
        <v>401.849265</v>
      </c>
      <c r="CO24" s="77">
        <v>301.66832199999999</v>
      </c>
      <c r="CP24" s="77">
        <v>545.440337</v>
      </c>
      <c r="CQ24" s="77">
        <v>483.03725700000001</v>
      </c>
      <c r="CR24" s="77">
        <v>320.65703000000002</v>
      </c>
      <c r="CS24" s="77">
        <v>411.66480899999999</v>
      </c>
      <c r="CT24" s="77">
        <v>369.38676800000002</v>
      </c>
      <c r="CU24" s="77">
        <v>418.84817700000002</v>
      </c>
      <c r="CV24" s="77">
        <v>310.628332</v>
      </c>
      <c r="CW24" s="77">
        <v>526.70629799999995</v>
      </c>
      <c r="CX24" s="77">
        <v>473.54619700000001</v>
      </c>
      <c r="CY24" s="77">
        <v>312.73394400000001</v>
      </c>
      <c r="CZ24" s="77">
        <v>401.03824700000001</v>
      </c>
      <c r="DA24" s="77">
        <v>361.15519599999999</v>
      </c>
      <c r="DB24" s="77">
        <v>408.602936</v>
      </c>
      <c r="DC24" s="77">
        <v>306.63807700000001</v>
      </c>
      <c r="DD24" s="77">
        <v>525.20478400000002</v>
      </c>
      <c r="DE24" s="77">
        <v>463.56389799999999</v>
      </c>
      <c r="DF24" s="77">
        <v>320.60604699999999</v>
      </c>
      <c r="DG24" s="77">
        <v>408.43763100000001</v>
      </c>
      <c r="DH24" s="77">
        <v>367.05786000000001</v>
      </c>
      <c r="DI24" s="77">
        <v>417.073285</v>
      </c>
      <c r="DJ24" s="77">
        <v>311.918544</v>
      </c>
      <c r="DK24" s="77">
        <v>531.60527999999999</v>
      </c>
      <c r="DL24" s="77">
        <v>478.76578799999999</v>
      </c>
      <c r="DM24" s="77">
        <v>303.96476000000001</v>
      </c>
      <c r="DN24" s="77">
        <v>392.126508</v>
      </c>
      <c r="DO24" s="77">
        <v>350.92718600000001</v>
      </c>
      <c r="DP24" s="77">
        <v>401.56691899999998</v>
      </c>
      <c r="DQ24" s="77">
        <v>296.71311200000002</v>
      </c>
      <c r="DR24" s="77">
        <v>528.25917400000003</v>
      </c>
      <c r="DS24" s="77">
        <v>471.39081299999998</v>
      </c>
      <c r="DT24" s="77">
        <v>310.66968100000003</v>
      </c>
      <c r="DU24" s="77">
        <v>399.73930200000001</v>
      </c>
      <c r="DV24" s="77">
        <v>359.16835200000003</v>
      </c>
      <c r="DW24" s="77">
        <v>406.450129</v>
      </c>
      <c r="DX24" s="77">
        <v>299.92370199999999</v>
      </c>
      <c r="DY24" s="77">
        <v>584.25858100000005</v>
      </c>
      <c r="DZ24" s="77">
        <v>498.69625400000001</v>
      </c>
      <c r="EA24" s="77">
        <v>350.73426999999998</v>
      </c>
      <c r="EB24" s="77">
        <v>413.65676400000001</v>
      </c>
      <c r="EC24" s="77">
        <v>401.47769399999999</v>
      </c>
      <c r="ED24" s="77">
        <v>427.384049</v>
      </c>
      <c r="EE24" s="77">
        <v>315.42680899999999</v>
      </c>
      <c r="EF24" s="77">
        <v>579.12000799999998</v>
      </c>
      <c r="EG24" s="77">
        <v>518.24039600000003</v>
      </c>
      <c r="EH24" s="77">
        <v>347.45669199999998</v>
      </c>
      <c r="EI24" s="77">
        <v>445.71558399999998</v>
      </c>
      <c r="EJ24" s="77">
        <v>403.49289700000003</v>
      </c>
      <c r="EK24" s="77">
        <v>451.65104300000002</v>
      </c>
      <c r="EL24" s="77">
        <v>335.14116200000001</v>
      </c>
      <c r="EM24" s="77">
        <v>607.66679899999997</v>
      </c>
      <c r="EN24" s="77">
        <v>552.77375700000005</v>
      </c>
      <c r="EO24" s="77">
        <v>361.33916499999998</v>
      </c>
      <c r="EP24" s="77">
        <v>465.66269299999999</v>
      </c>
      <c r="EQ24" s="77">
        <v>420.31160899999998</v>
      </c>
      <c r="ER24" s="77">
        <v>474.33381100000003</v>
      </c>
      <c r="ES24" s="77">
        <v>351.42534000000001</v>
      </c>
      <c r="ET24" s="77">
        <v>589.04887699999995</v>
      </c>
      <c r="EU24" s="77">
        <v>539.766569</v>
      </c>
      <c r="EV24" s="77">
        <v>346.78728999999998</v>
      </c>
      <c r="EW24" s="77">
        <v>455.59831700000001</v>
      </c>
      <c r="EX24" s="77">
        <v>407.52035100000001</v>
      </c>
      <c r="EY24" s="77">
        <v>457.29325599999999</v>
      </c>
      <c r="EZ24" s="77">
        <v>332.40724999999998</v>
      </c>
      <c r="FA24" s="77">
        <v>593.45544400000006</v>
      </c>
      <c r="FB24" s="77">
        <v>537.00246300000003</v>
      </c>
      <c r="FC24" s="77">
        <v>344.00051100000002</v>
      </c>
      <c r="FD24" s="77">
        <v>444.50507900000002</v>
      </c>
      <c r="FE24" s="77">
        <v>398.561284</v>
      </c>
      <c r="FF24" s="77">
        <v>454.307952</v>
      </c>
      <c r="FG24" s="77">
        <v>335.11487199999999</v>
      </c>
      <c r="FH24" s="77">
        <v>608.97823300000005</v>
      </c>
      <c r="FI24" s="77">
        <v>545.60270300000002</v>
      </c>
      <c r="FJ24" s="77">
        <v>368.54406799999998</v>
      </c>
      <c r="FK24" s="77">
        <v>472.71427999999997</v>
      </c>
      <c r="FL24" s="77">
        <v>428.13726400000002</v>
      </c>
      <c r="FM24" s="77">
        <v>479.027376</v>
      </c>
      <c r="FN24" s="77">
        <v>355.37665700000002</v>
      </c>
      <c r="FO24" s="77">
        <v>575.877565</v>
      </c>
      <c r="FP24" s="77">
        <v>527.62791100000004</v>
      </c>
      <c r="FQ24" s="77">
        <v>344.49086299999999</v>
      </c>
      <c r="FR24" s="77">
        <v>447.68787700000001</v>
      </c>
      <c r="FS24" s="77">
        <v>399.57890099999997</v>
      </c>
      <c r="FT24" s="77">
        <v>458.06709699999999</v>
      </c>
      <c r="FU24" s="77">
        <v>334.82692800000001</v>
      </c>
      <c r="FV24" s="77">
        <v>534.300343</v>
      </c>
      <c r="FW24" s="77">
        <v>502.62463100000002</v>
      </c>
      <c r="FX24" s="77">
        <v>312.31733800000001</v>
      </c>
      <c r="FY24" s="77">
        <v>417.81577099999998</v>
      </c>
      <c r="FZ24" s="77">
        <v>370.53415200000001</v>
      </c>
      <c r="GA24" s="77">
        <v>416.32745</v>
      </c>
      <c r="GB24" s="77">
        <v>297.82668799999999</v>
      </c>
      <c r="GC24" s="77">
        <v>538.40807700000005</v>
      </c>
      <c r="GD24" s="77">
        <v>489.478251</v>
      </c>
      <c r="GE24" s="77">
        <v>335.74122</v>
      </c>
      <c r="GF24" s="77">
        <v>427.71329900000001</v>
      </c>
      <c r="GG24" s="77">
        <v>387.27441299999998</v>
      </c>
      <c r="GH24" s="77">
        <v>439.071977</v>
      </c>
      <c r="GI24" s="77">
        <v>327.35580599999997</v>
      </c>
      <c r="GJ24" s="77">
        <v>600.26779599999998</v>
      </c>
      <c r="GK24" s="77">
        <v>530.62054999999998</v>
      </c>
      <c r="GL24" s="77">
        <v>335.64657799999998</v>
      </c>
      <c r="GM24" s="77">
        <v>432.53864900000002</v>
      </c>
      <c r="GN24" s="77">
        <v>388.59721100000002</v>
      </c>
      <c r="GO24" s="77">
        <v>440.48046199999999</v>
      </c>
      <c r="GP24" s="77">
        <v>322.41986300000002</v>
      </c>
      <c r="GQ24" s="77">
        <v>523.73992899999996</v>
      </c>
      <c r="GR24" s="77">
        <v>472.45499999999998</v>
      </c>
      <c r="GS24" s="77">
        <v>311.28558600000002</v>
      </c>
      <c r="GT24" s="77">
        <v>396.81441000000001</v>
      </c>
      <c r="GU24" s="77">
        <v>358.14973400000002</v>
      </c>
      <c r="GV24" s="77">
        <v>409.51541900000001</v>
      </c>
      <c r="GW24" s="77">
        <v>302.88509599999998</v>
      </c>
      <c r="GX24" s="77">
        <v>538.34969899999999</v>
      </c>
      <c r="GY24" s="77">
        <v>466.62502899999998</v>
      </c>
      <c r="GZ24" s="77">
        <v>321.70525099999998</v>
      </c>
      <c r="HA24" s="77">
        <v>395.507251</v>
      </c>
      <c r="HB24" s="77">
        <v>370.27615300000002</v>
      </c>
      <c r="HC24" s="77">
        <v>403.74325700000003</v>
      </c>
      <c r="HD24" s="77">
        <v>298.12981200000002</v>
      </c>
      <c r="HE24" s="77">
        <v>547.17891099999997</v>
      </c>
      <c r="HF24" s="77">
        <v>492.07037000000003</v>
      </c>
      <c r="HG24" s="77">
        <v>324.58936299999999</v>
      </c>
      <c r="HH24" s="77">
        <v>415.744958</v>
      </c>
      <c r="HI24" s="77">
        <v>375.293318</v>
      </c>
      <c r="HJ24" s="77">
        <v>423.841227</v>
      </c>
      <c r="HK24" s="77">
        <v>317.44809199999997</v>
      </c>
      <c r="HL24" s="77">
        <v>542.70799099999999</v>
      </c>
      <c r="HM24" s="77">
        <v>492.062411</v>
      </c>
      <c r="HN24" s="77">
        <v>317.54728299999999</v>
      </c>
      <c r="HO24" s="77">
        <v>413.23595299999999</v>
      </c>
      <c r="HP24" s="77">
        <v>368.558919</v>
      </c>
      <c r="HQ24" s="77">
        <v>422.71102400000001</v>
      </c>
      <c r="HR24" s="77">
        <v>301.97645299999999</v>
      </c>
      <c r="HS24" s="77">
        <v>533.66245300000003</v>
      </c>
      <c r="HT24" s="77">
        <v>486.95895899999999</v>
      </c>
      <c r="HU24" s="77">
        <v>313.22106600000001</v>
      </c>
      <c r="HV24" s="77">
        <v>403.927032</v>
      </c>
      <c r="HW24" s="77">
        <v>362.21549499999998</v>
      </c>
      <c r="HX24" s="77">
        <v>412.85390699999999</v>
      </c>
      <c r="HY24" s="77">
        <v>305.55174799999998</v>
      </c>
      <c r="HZ24" s="77">
        <v>558.74955699999998</v>
      </c>
      <c r="IA24" s="77">
        <v>503.40206799999999</v>
      </c>
      <c r="IB24" s="77">
        <v>333.72866399999998</v>
      </c>
      <c r="IC24" s="77">
        <v>430.39485300000001</v>
      </c>
      <c r="ID24" s="77">
        <v>386.866646</v>
      </c>
      <c r="IE24" s="77">
        <v>439.39355699999999</v>
      </c>
      <c r="IF24" s="77">
        <v>319.15167700000001</v>
      </c>
      <c r="IG24" s="77">
        <v>556.39373699999999</v>
      </c>
      <c r="IH24" s="77">
        <v>507.51932799999997</v>
      </c>
      <c r="II24" s="77">
        <v>332.39382699999999</v>
      </c>
      <c r="IJ24" s="77">
        <v>423.70441499999998</v>
      </c>
      <c r="IK24" s="77">
        <v>382.88621699999999</v>
      </c>
      <c r="IL24" s="77">
        <v>441.028547</v>
      </c>
      <c r="IM24" s="77">
        <v>319.90120100000001</v>
      </c>
      <c r="IN24" s="77">
        <v>542.04993999999999</v>
      </c>
      <c r="IO24" s="77">
        <v>485.99498399999999</v>
      </c>
      <c r="IP24" s="77">
        <v>319.99670800000001</v>
      </c>
      <c r="IQ24" s="77">
        <v>411.17758300000003</v>
      </c>
      <c r="IR24" s="77">
        <v>369.15606100000002</v>
      </c>
      <c r="IS24" s="77">
        <v>422.64126599999997</v>
      </c>
      <c r="IT24" s="77">
        <v>305.43962099999999</v>
      </c>
      <c r="IU24" s="77">
        <v>571.49904300000003</v>
      </c>
      <c r="IV24" s="77">
        <v>521.08208000000002</v>
      </c>
      <c r="IW24" s="77">
        <v>337.05783500000001</v>
      </c>
      <c r="IX24" s="77">
        <v>433.96429899999998</v>
      </c>
      <c r="IY24" s="77">
        <v>389.84234400000003</v>
      </c>
      <c r="IZ24" s="77">
        <v>445.95847400000002</v>
      </c>
      <c r="JA24" s="77">
        <v>327.03825699999999</v>
      </c>
      <c r="JB24" s="77">
        <v>570.24391000000003</v>
      </c>
      <c r="JC24" s="77">
        <v>521.65234799999996</v>
      </c>
      <c r="JD24" s="77">
        <v>337.231764</v>
      </c>
      <c r="JE24" s="77">
        <v>440.64143799999999</v>
      </c>
      <c r="JF24" s="77">
        <v>393.54091799999998</v>
      </c>
      <c r="JG24" s="77">
        <v>447.33504099999999</v>
      </c>
      <c r="JH24" s="77">
        <v>321.51440000000002</v>
      </c>
      <c r="JI24" s="77">
        <v>559.13205200000004</v>
      </c>
      <c r="JJ24" s="77">
        <v>514.483926</v>
      </c>
      <c r="JK24" s="77">
        <v>338.42163499999998</v>
      </c>
      <c r="JL24" s="77">
        <v>435.52351199999998</v>
      </c>
      <c r="JM24" s="77">
        <v>392.50412699999998</v>
      </c>
      <c r="JN24" s="77">
        <v>447.887068</v>
      </c>
      <c r="JO24" s="77">
        <v>327.02632899999998</v>
      </c>
      <c r="JP24" s="77">
        <v>539.41059299999995</v>
      </c>
      <c r="JQ24" s="77">
        <v>490.84022499999998</v>
      </c>
      <c r="JR24" s="77">
        <v>317.23945300000003</v>
      </c>
      <c r="JS24" s="77">
        <v>415.02942100000001</v>
      </c>
      <c r="JT24" s="77">
        <v>366.88409899999999</v>
      </c>
      <c r="JU24" s="77">
        <v>428.33542199999999</v>
      </c>
      <c r="JV24" s="77">
        <v>299.44561199999998</v>
      </c>
      <c r="JW24" s="77">
        <v>431.131821</v>
      </c>
      <c r="JX24" s="77">
        <v>619.23560799999996</v>
      </c>
      <c r="JY24" s="77">
        <v>299.89983699999999</v>
      </c>
      <c r="JZ24" s="77">
        <v>408.17850800000002</v>
      </c>
      <c r="KA24" s="77">
        <v>346.04077000000001</v>
      </c>
      <c r="KB24" s="77">
        <v>433.99454200000002</v>
      </c>
      <c r="KC24" s="77">
        <v>464.062118</v>
      </c>
      <c r="KD24" s="77">
        <v>406.21390000000002</v>
      </c>
      <c r="KE24" s="77">
        <v>404.00911100000002</v>
      </c>
      <c r="KF24" s="77">
        <v>415.54113899999999</v>
      </c>
      <c r="KG24" s="77">
        <v>408.07737300000002</v>
      </c>
      <c r="KH24" s="77">
        <v>402.023101</v>
      </c>
      <c r="KI24" s="77">
        <v>403.85227200000003</v>
      </c>
      <c r="KJ24" s="77">
        <v>419.71762000000001</v>
      </c>
      <c r="KK24" s="77">
        <v>392.34474899999998</v>
      </c>
      <c r="KL24" s="77">
        <v>394.45755100000002</v>
      </c>
      <c r="KM24" s="77">
        <v>412.78073599999999</v>
      </c>
      <c r="KN24" s="77">
        <v>400.86559099999999</v>
      </c>
      <c r="KO24" s="77">
        <v>397.10692399999999</v>
      </c>
      <c r="KP24" s="77">
        <v>400.96728200000001</v>
      </c>
      <c r="KQ24" s="77">
        <v>432.16549300000003</v>
      </c>
      <c r="KR24" s="77">
        <v>388.78168299999999</v>
      </c>
      <c r="KS24" s="77">
        <v>387.20570300000003</v>
      </c>
      <c r="KT24" s="77">
        <v>398.50556</v>
      </c>
      <c r="KU24" s="77">
        <v>390.96311100000003</v>
      </c>
      <c r="KV24" s="77">
        <v>385.58509099999998</v>
      </c>
      <c r="KW24" s="77">
        <v>386.94724000000002</v>
      </c>
      <c r="KX24" s="77">
        <v>404.49260800000002</v>
      </c>
      <c r="KY24" s="77">
        <v>407.520781</v>
      </c>
      <c r="KZ24" s="77">
        <v>409.60598099999999</v>
      </c>
      <c r="LA24" s="77">
        <v>426.18348300000002</v>
      </c>
      <c r="LB24" s="77">
        <v>413.31124899999998</v>
      </c>
      <c r="LC24" s="77">
        <v>409.43935900000002</v>
      </c>
      <c r="LD24" s="77">
        <v>413.25287800000001</v>
      </c>
      <c r="LE24" s="77">
        <v>449.93389999999999</v>
      </c>
      <c r="LF24" s="77">
        <v>426.74595900000003</v>
      </c>
      <c r="LG24" s="77">
        <v>425.59502400000002</v>
      </c>
      <c r="LH24" s="77">
        <v>442.59865600000001</v>
      </c>
      <c r="LI24" s="77">
        <v>434.11498499999999</v>
      </c>
      <c r="LJ24" s="77">
        <v>428.82361600000002</v>
      </c>
      <c r="LK24" s="77">
        <v>429.89286399999997</v>
      </c>
      <c r="LL24" s="77">
        <v>451.45937300000003</v>
      </c>
      <c r="LM24" s="77">
        <v>441.433493</v>
      </c>
      <c r="LN24" s="77">
        <v>444.06932899999998</v>
      </c>
      <c r="LO24" s="77">
        <v>459.06984599999998</v>
      </c>
      <c r="LP24" s="77">
        <v>445.83641999999998</v>
      </c>
      <c r="LQ24" s="77">
        <v>442.069594</v>
      </c>
      <c r="LR24" s="77">
        <v>445.339339</v>
      </c>
      <c r="LS24" s="77">
        <v>481.809663</v>
      </c>
      <c r="LT24" s="77">
        <v>406.59231299999999</v>
      </c>
      <c r="LU24" s="77">
        <v>405.587402</v>
      </c>
      <c r="LV24" s="77">
        <v>419.73825299999999</v>
      </c>
      <c r="LW24" s="77">
        <v>411.682929</v>
      </c>
      <c r="LX24" s="77">
        <v>406.61759599999999</v>
      </c>
      <c r="LY24" s="77">
        <v>407.56505900000002</v>
      </c>
      <c r="LZ24" s="77">
        <v>427.19447200000002</v>
      </c>
      <c r="MA24" s="77">
        <v>396.05384500000002</v>
      </c>
      <c r="MB24" s="77">
        <v>398.41045400000002</v>
      </c>
      <c r="MC24" s="77">
        <v>425.25269100000003</v>
      </c>
      <c r="MD24" s="77">
        <v>413.46232900000001</v>
      </c>
      <c r="ME24" s="77">
        <v>409.99773299999998</v>
      </c>
      <c r="MF24" s="77">
        <v>413.15252600000002</v>
      </c>
      <c r="MG24" s="77">
        <v>444.61195099999998</v>
      </c>
      <c r="MH24" s="77">
        <v>403.66049400000003</v>
      </c>
      <c r="MI24" s="77">
        <v>402.19748099999998</v>
      </c>
      <c r="MJ24" s="77">
        <v>404.45138700000001</v>
      </c>
      <c r="MK24" s="77">
        <v>397.01299499999999</v>
      </c>
      <c r="ML24" s="77">
        <v>391.68877300000003</v>
      </c>
      <c r="MM24" s="77">
        <v>392.96205500000002</v>
      </c>
      <c r="MN24" s="77">
        <v>409.55175400000002</v>
      </c>
      <c r="MO24" s="77">
        <v>403.34738299999998</v>
      </c>
      <c r="MP24" s="77">
        <v>405.64259700000002</v>
      </c>
      <c r="MQ24" s="77">
        <v>420.72197299999999</v>
      </c>
      <c r="MR24" s="77">
        <v>409.20415400000002</v>
      </c>
      <c r="MS24" s="77">
        <v>405.77907199999999</v>
      </c>
      <c r="MT24" s="77">
        <v>408.954724</v>
      </c>
      <c r="MU24" s="77">
        <v>439.36458499999998</v>
      </c>
      <c r="MV24" s="77">
        <v>422.28752900000001</v>
      </c>
      <c r="MW24" s="77">
        <v>420.98361599999998</v>
      </c>
      <c r="MX24" s="77">
        <v>442.35368299999999</v>
      </c>
      <c r="MY24" s="77">
        <v>434.04903899999999</v>
      </c>
      <c r="MZ24" s="77">
        <v>428.70235300000002</v>
      </c>
      <c r="NA24" s="77">
        <v>429.88183400000003</v>
      </c>
      <c r="NB24" s="77">
        <v>450.83739600000001</v>
      </c>
      <c r="NC24" s="77">
        <v>387.66667200000001</v>
      </c>
      <c r="ND24" s="77">
        <v>389.69227899999998</v>
      </c>
      <c r="NE24" s="77">
        <v>397.30751299999997</v>
      </c>
      <c r="NF24" s="77">
        <v>386.48028399999998</v>
      </c>
      <c r="NG24" s="77">
        <v>383.13992400000001</v>
      </c>
      <c r="NH24" s="77">
        <v>386.44224100000002</v>
      </c>
      <c r="NI24" s="77">
        <v>414.78963599999997</v>
      </c>
      <c r="NJ24" s="77">
        <v>420.517156</v>
      </c>
      <c r="NK24" s="77">
        <v>418.98761999999999</v>
      </c>
      <c r="NL24" s="77">
        <v>433.71083599999997</v>
      </c>
      <c r="NM24" s="77">
        <v>425.52294999999998</v>
      </c>
      <c r="NN24" s="77">
        <v>419.94269100000002</v>
      </c>
      <c r="NO24" s="77">
        <v>421.28700600000002</v>
      </c>
      <c r="NP24" s="77">
        <v>441.14391499999999</v>
      </c>
      <c r="NQ24" s="77">
        <v>419.14620500000001</v>
      </c>
      <c r="NR24" s="77">
        <v>421.40459499999997</v>
      </c>
      <c r="NS24" s="77">
        <v>433.01850000000002</v>
      </c>
      <c r="NT24" s="77">
        <v>421.35454700000003</v>
      </c>
      <c r="NU24" s="77">
        <v>417.78763800000002</v>
      </c>
      <c r="NV24" s="77">
        <v>421.24772899999999</v>
      </c>
      <c r="NW24" s="77">
        <v>451.57994400000001</v>
      </c>
      <c r="NX24" s="77">
        <v>433.92249600000002</v>
      </c>
      <c r="NY24" s="77">
        <v>432.39621099999999</v>
      </c>
      <c r="NZ24" s="77">
        <v>450.66905200000002</v>
      </c>
      <c r="OA24" s="77">
        <v>442.79692599999998</v>
      </c>
      <c r="OB24" s="77">
        <v>437.30252000000002</v>
      </c>
      <c r="OC24" s="77">
        <v>438.63549599999999</v>
      </c>
      <c r="OD24" s="77">
        <v>457.104265</v>
      </c>
      <c r="OE24" s="77">
        <v>425.80197500000003</v>
      </c>
      <c r="OF24" s="77">
        <v>428.25702699999999</v>
      </c>
      <c r="OG24" s="77">
        <v>444.06631800000002</v>
      </c>
      <c r="OH24" s="77">
        <v>431.944008</v>
      </c>
      <c r="OI24" s="77">
        <v>428.429034</v>
      </c>
      <c r="OJ24" s="77">
        <v>431.55532399999998</v>
      </c>
      <c r="OK24" s="77">
        <v>464.12008700000001</v>
      </c>
      <c r="OL24" s="77">
        <v>425.19061900000003</v>
      </c>
      <c r="OM24" s="77">
        <v>423.79339900000002</v>
      </c>
      <c r="ON24" s="77">
        <v>460.26662800000003</v>
      </c>
      <c r="OO24" s="77">
        <v>452.234982</v>
      </c>
      <c r="OP24" s="77">
        <v>446.69156600000002</v>
      </c>
      <c r="OQ24" s="77">
        <v>447.93031000000002</v>
      </c>
      <c r="OR24" s="77">
        <v>466.25418300000001</v>
      </c>
      <c r="OS24" s="77">
        <v>433.99999400000002</v>
      </c>
      <c r="OT24" s="77">
        <v>436.53949499999999</v>
      </c>
      <c r="OU24" s="77">
        <v>431.554237</v>
      </c>
      <c r="OV24" s="77">
        <v>419.66413299999999</v>
      </c>
      <c r="OW24" s="77">
        <v>416.079319</v>
      </c>
      <c r="OX24" s="77">
        <v>419.40934399999998</v>
      </c>
      <c r="OY24" s="77">
        <v>449.26374499999997</v>
      </c>
      <c r="OZ24" s="77">
        <v>412.65150799999998</v>
      </c>
      <c r="PA24" s="77">
        <v>411.39424100000002</v>
      </c>
      <c r="PB24" s="77">
        <v>425.74901299999999</v>
      </c>
      <c r="PC24" s="77">
        <v>417.79767900000002</v>
      </c>
      <c r="PD24" s="77">
        <v>412.45146399999999</v>
      </c>
      <c r="PE24" s="77">
        <v>413.583843</v>
      </c>
      <c r="PF24" s="77">
        <v>432.00767400000001</v>
      </c>
      <c r="PG24" s="77">
        <v>440.98605500000002</v>
      </c>
      <c r="PH24" s="77">
        <v>443.62707899999998</v>
      </c>
      <c r="PI24" s="77">
        <v>453.164061</v>
      </c>
      <c r="PJ24" s="77">
        <v>440.767245</v>
      </c>
      <c r="PK24" s="77">
        <v>437.363968</v>
      </c>
      <c r="PL24" s="77">
        <v>440.08538700000003</v>
      </c>
      <c r="PM24" s="77">
        <v>474.27571799999998</v>
      </c>
      <c r="PN24" s="77">
        <v>443.37263100000001</v>
      </c>
      <c r="PO24" s="77">
        <v>442.501261</v>
      </c>
      <c r="PP24" s="77">
        <v>464.04667699999999</v>
      </c>
      <c r="PQ24" s="77">
        <v>455.71287799999999</v>
      </c>
      <c r="PR24" s="77">
        <v>450.592243</v>
      </c>
      <c r="PS24" s="77">
        <v>451.44581699999998</v>
      </c>
      <c r="PT24" s="77">
        <v>471.61323099999998</v>
      </c>
      <c r="PU24" s="77">
        <v>436.682545</v>
      </c>
      <c r="PV24" s="77">
        <v>439.34470599999997</v>
      </c>
      <c r="PW24" s="77">
        <v>454.98561899999999</v>
      </c>
      <c r="PX24" s="77">
        <v>443.09554400000002</v>
      </c>
      <c r="PY24" s="77">
        <v>439.68270000000001</v>
      </c>
      <c r="PZ24" s="77">
        <v>442.583212</v>
      </c>
      <c r="QA24" s="77">
        <v>473.20083199999999</v>
      </c>
      <c r="QB24" s="77">
        <v>421.72684099999998</v>
      </c>
      <c r="QC24" s="77">
        <v>420.422325</v>
      </c>
      <c r="QD24" s="77">
        <v>434.259141</v>
      </c>
      <c r="QE24" s="77">
        <v>427.04539699999998</v>
      </c>
      <c r="QF24" s="77">
        <v>421.64928700000002</v>
      </c>
      <c r="QG24" s="77">
        <v>422.79299800000001</v>
      </c>
      <c r="QH24" s="77">
        <v>436.44125000000003</v>
      </c>
      <c r="QI24" s="77">
        <v>381.27043300000003</v>
      </c>
      <c r="QJ24" s="77">
        <v>383.655981</v>
      </c>
      <c r="QK24" s="77">
        <v>397.28145499999999</v>
      </c>
      <c r="QL24" s="77">
        <v>387.12921599999999</v>
      </c>
      <c r="QM24" s="77">
        <v>384.01396899999997</v>
      </c>
      <c r="QN24" s="77">
        <v>386.90490899999998</v>
      </c>
      <c r="QO24" s="77">
        <v>410.50455799999997</v>
      </c>
      <c r="QP24" s="77">
        <v>405.74729200000002</v>
      </c>
      <c r="QQ24" s="77">
        <v>404.822701</v>
      </c>
      <c r="QR24" s="77">
        <v>418.13484199999999</v>
      </c>
      <c r="QS24" s="77">
        <v>410.99174499999998</v>
      </c>
    </row>
    <row r="25" spans="6:461" x14ac:dyDescent="0.25">
      <c r="F25" s="76" t="str">
        <f xml:space="preserve"> _xll.EPMOlapMemberO("[PRDDESCR].[].[HELGAS GFREE WHOLEM 500G]","","HELGAS GFREE WHOLEM 500G","","000")</f>
        <v>HELGAS GFREE WHOLEM 500G</v>
      </c>
      <c r="G25" s="76" t="str">
        <f xml:space="preserve"> _xll.EPMOlapMemberO("[PRDID].[].[168848]","","168848","","000")</f>
        <v>168848</v>
      </c>
      <c r="H25" s="76" t="str">
        <f xml:space="preserve"> _xll.EPMOlapMemberO("[LOCID].[].[6110]","","6110","","000")</f>
        <v>6110</v>
      </c>
      <c r="I25" s="76" t="str">
        <f xml:space="preserve"> _xll.EPMOlapMemberO("[LOCDESCR].[].[QBA-Burleigh Heads]","","QBA-Burleigh Heads","","000")</f>
        <v>QBA-Burleigh Heads</v>
      </c>
      <c r="J25" s="76" t="str">
        <f xml:space="preserve"> _xll.EPMOlapMemberO("[KEY_FIGURES].[].[ZGFAPPROVEDFCSTQTY]","","Approved Forecast","","000")</f>
        <v>Approved Forecast</v>
      </c>
      <c r="K25" s="77">
        <v>1192.4893</v>
      </c>
      <c r="L25" s="77">
        <v>516.54380800000001</v>
      </c>
      <c r="M25" s="77">
        <v>935.82189600000004</v>
      </c>
      <c r="N25" s="77">
        <v>517.66749400000003</v>
      </c>
      <c r="O25" s="77">
        <v>995.71201299999996</v>
      </c>
      <c r="P25" s="77">
        <v>670.74034500000005</v>
      </c>
      <c r="Q25" s="77">
        <v>0.57901199999999997</v>
      </c>
      <c r="R25" s="77">
        <v>1159.946334</v>
      </c>
      <c r="S25" s="77">
        <v>508.24064900000002</v>
      </c>
      <c r="T25" s="77">
        <v>922.70609400000001</v>
      </c>
      <c r="U25" s="77">
        <v>512.215642</v>
      </c>
      <c r="V25" s="77">
        <v>982.02360199999998</v>
      </c>
      <c r="W25" s="77">
        <v>661.70775900000001</v>
      </c>
      <c r="X25" s="77">
        <v>0</v>
      </c>
      <c r="Y25" s="77">
        <v>1164.758961</v>
      </c>
      <c r="Z25" s="77">
        <v>522.39496699999995</v>
      </c>
      <c r="AA25" s="77">
        <v>886.78725599999996</v>
      </c>
      <c r="AB25" s="77">
        <v>559.75207799999998</v>
      </c>
      <c r="AC25" s="77">
        <v>957.98209399999996</v>
      </c>
      <c r="AD25" s="77">
        <v>644.52510400000006</v>
      </c>
      <c r="AE25" s="77"/>
      <c r="AF25" s="77"/>
      <c r="AG25" s="77"/>
      <c r="AH25" s="77"/>
      <c r="AI25" s="77"/>
      <c r="AJ25" s="77"/>
      <c r="AK25" s="77"/>
      <c r="AL25" s="77">
        <v>0</v>
      </c>
      <c r="AM25" s="77">
        <v>1102.249125</v>
      </c>
      <c r="AN25" s="77">
        <v>495.24569300000002</v>
      </c>
      <c r="AO25" s="77">
        <v>834.75447899999995</v>
      </c>
      <c r="AP25" s="77">
        <v>534.57545200000004</v>
      </c>
      <c r="AQ25" s="77">
        <v>894.66199099999994</v>
      </c>
      <c r="AR25" s="77">
        <v>593.46016799999995</v>
      </c>
      <c r="AS25" s="77">
        <v>0</v>
      </c>
      <c r="AT25" s="77">
        <v>1092.6678119999999</v>
      </c>
      <c r="AU25" s="77">
        <v>492.47367000000003</v>
      </c>
      <c r="AV25" s="77">
        <v>826.51748999999995</v>
      </c>
      <c r="AW25" s="77">
        <v>531.35413700000004</v>
      </c>
      <c r="AX25" s="77">
        <v>886.03799800000002</v>
      </c>
      <c r="AY25" s="77">
        <v>586.82498499999997</v>
      </c>
      <c r="AZ25" s="77">
        <v>0</v>
      </c>
      <c r="BA25" s="77">
        <v>1110.1543039999999</v>
      </c>
      <c r="BB25" s="77">
        <v>503.57185600000003</v>
      </c>
      <c r="BC25" s="77">
        <v>838.416518</v>
      </c>
      <c r="BD25" s="77">
        <v>543.33880199999999</v>
      </c>
      <c r="BE25" s="77">
        <v>899.10336900000004</v>
      </c>
      <c r="BF25" s="77">
        <v>591.77319499999999</v>
      </c>
      <c r="BG25" s="77">
        <v>0</v>
      </c>
      <c r="BH25" s="77">
        <v>1191.5289330000001</v>
      </c>
      <c r="BI25" s="77">
        <v>522.075425</v>
      </c>
      <c r="BJ25" s="77">
        <v>881.58480299999997</v>
      </c>
      <c r="BK25" s="77">
        <v>564.96964300000002</v>
      </c>
      <c r="BL25" s="77">
        <v>942.69507699999997</v>
      </c>
      <c r="BM25" s="77">
        <v>632.21886600000005</v>
      </c>
      <c r="BN25" s="77">
        <v>0</v>
      </c>
      <c r="BO25" s="77">
        <v>1189.6383719999999</v>
      </c>
      <c r="BP25" s="77">
        <v>530.48155499999996</v>
      </c>
      <c r="BQ25" s="77">
        <v>899.94115299999999</v>
      </c>
      <c r="BR25" s="77">
        <v>574.422864</v>
      </c>
      <c r="BS25" s="77">
        <v>962.15266399999996</v>
      </c>
      <c r="BT25" s="77">
        <v>645.26689399999998</v>
      </c>
      <c r="BU25" s="77">
        <v>0</v>
      </c>
      <c r="BV25" s="77">
        <v>1136.6029570000001</v>
      </c>
      <c r="BW25" s="77">
        <v>526.178223</v>
      </c>
      <c r="BX25" s="77">
        <v>883.26068099999998</v>
      </c>
      <c r="BY25" s="77">
        <v>569.36383499999999</v>
      </c>
      <c r="BZ25" s="77">
        <v>945.01865999999995</v>
      </c>
      <c r="CA25" s="77">
        <v>631.13823100000002</v>
      </c>
      <c r="CB25" s="77">
        <v>0</v>
      </c>
      <c r="CC25" s="77">
        <v>1127.12969</v>
      </c>
      <c r="CD25" s="77">
        <v>508.95067399999999</v>
      </c>
      <c r="CE25" s="77">
        <v>852.45818399999996</v>
      </c>
      <c r="CF25" s="77">
        <v>549.87823500000002</v>
      </c>
      <c r="CG25" s="77">
        <v>912.99252799999999</v>
      </c>
      <c r="CH25" s="77">
        <v>606.872882</v>
      </c>
      <c r="CI25" s="77">
        <v>0</v>
      </c>
      <c r="CJ25" s="77">
        <v>1090.5701389999999</v>
      </c>
      <c r="CK25" s="77">
        <v>492.82857200000001</v>
      </c>
      <c r="CL25" s="77">
        <v>824.28032900000005</v>
      </c>
      <c r="CM25" s="77">
        <v>531.54538000000002</v>
      </c>
      <c r="CN25" s="77">
        <v>883.97397000000001</v>
      </c>
      <c r="CO25" s="77">
        <v>583.408365</v>
      </c>
      <c r="CP25" s="77">
        <v>0</v>
      </c>
      <c r="CQ25" s="77">
        <v>1194.5606769999999</v>
      </c>
      <c r="CR25" s="77">
        <v>534.59259199999997</v>
      </c>
      <c r="CS25" s="77">
        <v>906.75350300000002</v>
      </c>
      <c r="CT25" s="77">
        <v>579.32128399999999</v>
      </c>
      <c r="CU25" s="77">
        <v>969.08912199999997</v>
      </c>
      <c r="CV25" s="77">
        <v>652.49652600000002</v>
      </c>
      <c r="CW25" s="77">
        <v>0</v>
      </c>
      <c r="CX25" s="77">
        <v>1184.1611210000001</v>
      </c>
      <c r="CY25" s="77">
        <v>534.739509</v>
      </c>
      <c r="CZ25" s="77">
        <v>896.23829799999999</v>
      </c>
      <c r="DA25" s="77">
        <v>578.94185900000002</v>
      </c>
      <c r="DB25" s="77">
        <v>958.57138799999996</v>
      </c>
      <c r="DC25" s="77">
        <v>640.75969899999996</v>
      </c>
      <c r="DD25" s="77">
        <v>0</v>
      </c>
      <c r="DE25" s="77">
        <v>1134.796889</v>
      </c>
      <c r="DF25" s="77">
        <v>529.69992100000002</v>
      </c>
      <c r="DG25" s="77">
        <v>893.89335000000005</v>
      </c>
      <c r="DH25" s="77">
        <v>573.56913999999995</v>
      </c>
      <c r="DI25" s="77">
        <v>955.90116</v>
      </c>
      <c r="DJ25" s="77">
        <v>640.93073600000002</v>
      </c>
      <c r="DK25" s="77">
        <v>0</v>
      </c>
      <c r="DL25" s="77">
        <v>1121.239315</v>
      </c>
      <c r="DM25" s="77">
        <v>484.54703499999999</v>
      </c>
      <c r="DN25" s="77">
        <v>819.12722199999996</v>
      </c>
      <c r="DO25" s="77">
        <v>522.80228399999999</v>
      </c>
      <c r="DP25" s="77">
        <v>877.92746</v>
      </c>
      <c r="DQ25" s="77">
        <v>583.977304</v>
      </c>
      <c r="DR25" s="77">
        <v>0</v>
      </c>
      <c r="DS25" s="77">
        <v>1129.7784409999999</v>
      </c>
      <c r="DT25" s="77">
        <v>505.72410300000001</v>
      </c>
      <c r="DU25" s="77">
        <v>856.75887699999998</v>
      </c>
      <c r="DV25" s="77">
        <v>546.78837899999996</v>
      </c>
      <c r="DW25" s="77">
        <v>916.95768199999998</v>
      </c>
      <c r="DX25" s="77">
        <v>614.05848700000001</v>
      </c>
      <c r="DY25" s="77">
        <v>0</v>
      </c>
      <c r="DZ25" s="77">
        <v>1217.1161420000001</v>
      </c>
      <c r="EA25" s="77">
        <v>534.24140799999998</v>
      </c>
      <c r="EB25" s="77">
        <v>907.44720099999995</v>
      </c>
      <c r="EC25" s="77">
        <v>578.83798899999999</v>
      </c>
      <c r="ED25" s="77">
        <v>970.11568299999999</v>
      </c>
      <c r="EE25" s="77">
        <v>651.73755100000005</v>
      </c>
      <c r="EF25" s="77">
        <v>0</v>
      </c>
      <c r="EG25" s="77">
        <v>1119.103145</v>
      </c>
      <c r="EH25" s="77">
        <v>509.34839899999997</v>
      </c>
      <c r="EI25" s="77">
        <v>863.02772800000002</v>
      </c>
      <c r="EJ25" s="77">
        <v>550.81445199999996</v>
      </c>
      <c r="EK25" s="77">
        <v>923.63025900000002</v>
      </c>
      <c r="EL25" s="77">
        <v>618.21896000000004</v>
      </c>
      <c r="EM25" s="77">
        <v>0</v>
      </c>
      <c r="EN25" s="77">
        <v>1113.6385190000001</v>
      </c>
      <c r="EO25" s="77">
        <v>499.61183999999997</v>
      </c>
      <c r="EP25" s="77">
        <v>843.86620500000004</v>
      </c>
      <c r="EQ25" s="77">
        <v>539.63109299999996</v>
      </c>
      <c r="ER25" s="77">
        <v>903.96679900000004</v>
      </c>
      <c r="ES25" s="77">
        <v>601.63426700000002</v>
      </c>
      <c r="ET25" s="77">
        <v>0</v>
      </c>
      <c r="EU25" s="77">
        <v>1125.1269589999999</v>
      </c>
      <c r="EV25" s="77">
        <v>507.41533800000002</v>
      </c>
      <c r="EW25" s="77">
        <v>851.30127700000003</v>
      </c>
      <c r="EX25" s="77">
        <v>548.15828699999997</v>
      </c>
      <c r="EY25" s="77">
        <v>911.87545899999998</v>
      </c>
      <c r="EZ25" s="77">
        <v>605.75370899999996</v>
      </c>
      <c r="FA25" s="77">
        <v>0</v>
      </c>
      <c r="FB25" s="77">
        <v>1244.531246</v>
      </c>
      <c r="FC25" s="77">
        <v>541.56809199999998</v>
      </c>
      <c r="FD25" s="77">
        <v>919.66070500000001</v>
      </c>
      <c r="FE25" s="77">
        <v>587.04582600000003</v>
      </c>
      <c r="FF25" s="77">
        <v>982.92861400000004</v>
      </c>
      <c r="FG25" s="77">
        <v>660.68601699999999</v>
      </c>
      <c r="FH25" s="77">
        <v>0</v>
      </c>
      <c r="FI25" s="77">
        <v>1211.318663</v>
      </c>
      <c r="FJ25" s="77">
        <v>564.02505299999996</v>
      </c>
      <c r="FK25" s="77">
        <v>940.55270599999994</v>
      </c>
      <c r="FL25" s="77">
        <v>611.54825500000004</v>
      </c>
      <c r="FM25" s="77">
        <v>1005.214367</v>
      </c>
      <c r="FN25" s="77">
        <v>671.83993399999997</v>
      </c>
      <c r="FO25" s="77">
        <v>0</v>
      </c>
      <c r="FP25" s="77">
        <v>1156.3113350000001</v>
      </c>
      <c r="FQ25" s="77">
        <v>533.79667800000004</v>
      </c>
      <c r="FR25" s="77">
        <v>882.72986300000002</v>
      </c>
      <c r="FS25" s="77">
        <v>577.06924300000003</v>
      </c>
      <c r="FT25" s="77">
        <v>945.46822499999996</v>
      </c>
      <c r="FU25" s="77">
        <v>623.97394999999995</v>
      </c>
      <c r="FV25" s="77">
        <v>0</v>
      </c>
      <c r="FW25" s="77">
        <v>1119.050405</v>
      </c>
      <c r="FX25" s="77">
        <v>494.85652399999998</v>
      </c>
      <c r="FY25" s="77">
        <v>839.35751200000004</v>
      </c>
      <c r="FZ25" s="77">
        <v>534.48826099999997</v>
      </c>
      <c r="GA25" s="77">
        <v>899.04572800000005</v>
      </c>
      <c r="GB25" s="77">
        <v>599.74508000000003</v>
      </c>
      <c r="GC25" s="77">
        <v>0</v>
      </c>
      <c r="GD25" s="77">
        <v>1125.0413140000001</v>
      </c>
      <c r="GE25" s="77">
        <v>531.41380100000003</v>
      </c>
      <c r="GF25" s="77">
        <v>891.17502300000001</v>
      </c>
      <c r="GG25" s="77">
        <v>575.279222</v>
      </c>
      <c r="GH25" s="77">
        <v>953.14766999999995</v>
      </c>
      <c r="GI25" s="77">
        <v>637.66477899999995</v>
      </c>
      <c r="GJ25" s="77">
        <v>0</v>
      </c>
      <c r="GK25" s="77">
        <v>1170.98036</v>
      </c>
      <c r="GL25" s="77">
        <v>502.29649499999999</v>
      </c>
      <c r="GM25" s="77">
        <v>846.54483800000003</v>
      </c>
      <c r="GN25" s="77">
        <v>542.66578800000002</v>
      </c>
      <c r="GO25" s="77">
        <v>906.58764099999996</v>
      </c>
      <c r="GP25" s="77">
        <v>604.257115</v>
      </c>
      <c r="GQ25" s="77">
        <v>0</v>
      </c>
      <c r="GR25" s="77">
        <v>1098.528918</v>
      </c>
      <c r="GS25" s="77">
        <v>494.89939099999998</v>
      </c>
      <c r="GT25" s="77">
        <v>831.01117899999997</v>
      </c>
      <c r="GU25" s="77">
        <v>534.25588000000005</v>
      </c>
      <c r="GV25" s="77">
        <v>890.35379899999998</v>
      </c>
      <c r="GW25" s="77">
        <v>592.11544100000003</v>
      </c>
      <c r="GX25" s="77">
        <v>0</v>
      </c>
      <c r="GY25" s="77">
        <v>1158.4915430000001</v>
      </c>
      <c r="GZ25" s="77">
        <v>518.01053899999999</v>
      </c>
      <c r="HA25" s="77">
        <v>880.92556000000002</v>
      </c>
      <c r="HB25" s="77">
        <v>560.77858300000003</v>
      </c>
      <c r="HC25" s="77">
        <v>942.042642</v>
      </c>
      <c r="HD25" s="77">
        <v>633.59349999999995</v>
      </c>
      <c r="HE25" s="77">
        <v>0</v>
      </c>
      <c r="HF25" s="77">
        <v>1197.752569</v>
      </c>
      <c r="HG25" s="77">
        <v>540.75165200000004</v>
      </c>
      <c r="HH25" s="77">
        <v>904.91594699999996</v>
      </c>
      <c r="HI25" s="77">
        <v>585.65173100000004</v>
      </c>
      <c r="HJ25" s="77">
        <v>967.64101700000003</v>
      </c>
      <c r="HK25" s="77">
        <v>647.09395600000005</v>
      </c>
      <c r="HL25" s="77">
        <v>0</v>
      </c>
      <c r="HM25" s="77">
        <v>1125.8001730000001</v>
      </c>
      <c r="HN25" s="77">
        <v>516.84505000000001</v>
      </c>
      <c r="HO25" s="77">
        <v>850.67196799999999</v>
      </c>
      <c r="HP25" s="77">
        <v>558.56437700000004</v>
      </c>
      <c r="HQ25" s="77">
        <v>911.30204400000002</v>
      </c>
      <c r="HR25" s="77">
        <v>599.80555400000003</v>
      </c>
      <c r="HS25" s="77">
        <v>0</v>
      </c>
      <c r="HT25" s="77">
        <v>1112.3419859999999</v>
      </c>
      <c r="HU25" s="77">
        <v>494.17777899999999</v>
      </c>
      <c r="HV25" s="77">
        <v>821.69126100000005</v>
      </c>
      <c r="HW25" s="77">
        <v>533.80397200000004</v>
      </c>
      <c r="HX25" s="77">
        <v>880.16621499999997</v>
      </c>
      <c r="HY25" s="77">
        <v>582.98682099999996</v>
      </c>
      <c r="HZ25" s="77">
        <v>0</v>
      </c>
      <c r="IA25" s="77">
        <v>1163.0798609999999</v>
      </c>
      <c r="IB25" s="77">
        <v>531.17782299999999</v>
      </c>
      <c r="IC25" s="77">
        <v>894.73144000000002</v>
      </c>
      <c r="ID25" s="77">
        <v>574.96898399999998</v>
      </c>
      <c r="IE25" s="77">
        <v>957.26156400000002</v>
      </c>
      <c r="IF25" s="77">
        <v>638.97482500000001</v>
      </c>
      <c r="IG25" s="77">
        <v>0</v>
      </c>
      <c r="IH25" s="77">
        <v>1272.0884100000001</v>
      </c>
      <c r="II25" s="77">
        <v>568.40220599999998</v>
      </c>
      <c r="IJ25" s="77">
        <v>971.25537499999996</v>
      </c>
      <c r="IK25" s="77">
        <v>617.78865199999996</v>
      </c>
      <c r="IL25" s="77">
        <v>1035.9473479999999</v>
      </c>
      <c r="IM25" s="77">
        <v>704.849737</v>
      </c>
      <c r="IN25" s="77">
        <v>0</v>
      </c>
      <c r="IO25" s="77">
        <v>1226.5374409999999</v>
      </c>
      <c r="IP25" s="77">
        <v>553.20443</v>
      </c>
      <c r="IQ25" s="77">
        <v>936.27560100000005</v>
      </c>
      <c r="IR25" s="77">
        <v>600.14726700000006</v>
      </c>
      <c r="IS25" s="77">
        <v>1000.011274</v>
      </c>
      <c r="IT25" s="77">
        <v>674.15014199999996</v>
      </c>
      <c r="IU25" s="77">
        <v>0</v>
      </c>
      <c r="IV25" s="77">
        <v>1199.3616119999999</v>
      </c>
      <c r="IW25" s="77">
        <v>532.00582399999996</v>
      </c>
      <c r="IX25" s="77">
        <v>899.54177900000002</v>
      </c>
      <c r="IY25" s="77">
        <v>576.291155</v>
      </c>
      <c r="IZ25" s="77">
        <v>961.62871600000005</v>
      </c>
      <c r="JA25" s="77">
        <v>646.28731200000004</v>
      </c>
      <c r="JB25" s="77">
        <v>0</v>
      </c>
      <c r="JC25" s="77">
        <v>1182.99954</v>
      </c>
      <c r="JD25" s="77">
        <v>534.35655599999996</v>
      </c>
      <c r="JE25" s="77">
        <v>901.50474399999996</v>
      </c>
      <c r="JF25" s="77">
        <v>578.80423900000005</v>
      </c>
      <c r="JG25" s="77">
        <v>963.83144800000002</v>
      </c>
      <c r="JH25" s="77">
        <v>646.75021600000002</v>
      </c>
      <c r="JI25" s="77">
        <v>0</v>
      </c>
      <c r="JJ25" s="77">
        <v>1185.218959</v>
      </c>
      <c r="JK25" s="77">
        <v>542.21699599999999</v>
      </c>
      <c r="JL25" s="77">
        <v>913.698803</v>
      </c>
      <c r="JM25" s="77">
        <v>587.57453199999998</v>
      </c>
      <c r="JN25" s="77">
        <v>976.64303399999994</v>
      </c>
      <c r="JO25" s="77">
        <v>655.46261100000004</v>
      </c>
      <c r="JP25" s="77">
        <v>0</v>
      </c>
      <c r="JQ25" s="77">
        <v>1184.4742450000001</v>
      </c>
      <c r="JR25" s="77">
        <v>552.18055000000004</v>
      </c>
      <c r="JS25" s="77">
        <v>901.24088500000005</v>
      </c>
      <c r="JT25" s="77">
        <v>597.00873100000001</v>
      </c>
      <c r="JU25" s="77">
        <v>965.56564300000002</v>
      </c>
      <c r="JV25" s="77">
        <v>632.51237600000002</v>
      </c>
      <c r="JW25" s="77">
        <v>0.30253000000000002</v>
      </c>
      <c r="JX25" s="77">
        <v>1876.1467580000001</v>
      </c>
      <c r="JY25" s="77">
        <v>792.34745699999996</v>
      </c>
      <c r="JZ25" s="77">
        <v>1407.2204019999999</v>
      </c>
      <c r="KA25" s="77">
        <v>826.00593500000002</v>
      </c>
      <c r="KB25" s="77">
        <v>0.29038399999999998</v>
      </c>
      <c r="KC25" s="77">
        <v>0.35606500000000002</v>
      </c>
      <c r="KD25" s="77">
        <v>695.37780699999996</v>
      </c>
      <c r="KE25" s="77">
        <v>734.68980199999999</v>
      </c>
      <c r="KF25" s="77">
        <v>744.96434799999997</v>
      </c>
      <c r="KG25" s="77">
        <v>733.00466100000006</v>
      </c>
      <c r="KH25" s="77">
        <v>718.50979099999995</v>
      </c>
      <c r="KI25" s="77">
        <v>702.78411900000003</v>
      </c>
      <c r="KJ25" s="77">
        <v>775.60551899999996</v>
      </c>
      <c r="KK25" s="77">
        <v>685.03965200000005</v>
      </c>
      <c r="KL25" s="77">
        <v>723.92595200000005</v>
      </c>
      <c r="KM25" s="77">
        <v>747.097669</v>
      </c>
      <c r="KN25" s="77">
        <v>735.07929100000001</v>
      </c>
      <c r="KO25" s="77">
        <v>720.66797799999995</v>
      </c>
      <c r="KP25" s="77">
        <v>704.80128500000001</v>
      </c>
      <c r="KQ25" s="77">
        <v>777.42275199999995</v>
      </c>
      <c r="KR25" s="77">
        <v>679.956278</v>
      </c>
      <c r="KS25" s="77">
        <v>719.34797000000003</v>
      </c>
      <c r="KT25" s="77">
        <v>730.42714899999999</v>
      </c>
      <c r="KU25" s="77">
        <v>718.73882100000003</v>
      </c>
      <c r="KV25" s="77">
        <v>702.88116600000001</v>
      </c>
      <c r="KW25" s="77">
        <v>688.712941</v>
      </c>
      <c r="KX25" s="77">
        <v>765.37775499999998</v>
      </c>
      <c r="KY25" s="77">
        <v>637.96726799999999</v>
      </c>
      <c r="KZ25" s="77">
        <v>674.74806100000001</v>
      </c>
      <c r="LA25" s="77">
        <v>689.48030500000004</v>
      </c>
      <c r="LB25" s="77">
        <v>679.21297000000004</v>
      </c>
      <c r="LC25" s="77">
        <v>665.38700300000005</v>
      </c>
      <c r="LD25" s="77">
        <v>650.87409700000001</v>
      </c>
      <c r="LE25" s="77">
        <v>720.25806</v>
      </c>
      <c r="LF25" s="77">
        <v>664.807725</v>
      </c>
      <c r="LG25" s="77">
        <v>702.51236900000004</v>
      </c>
      <c r="LH25" s="77">
        <v>722.80274999999995</v>
      </c>
      <c r="LI25" s="77">
        <v>711.60020499999996</v>
      </c>
      <c r="LJ25" s="77">
        <v>697.949251</v>
      </c>
      <c r="LK25" s="77">
        <v>682.26120500000002</v>
      </c>
      <c r="LL25" s="77">
        <v>751.91653499999995</v>
      </c>
      <c r="LM25" s="77">
        <v>638.94431399999996</v>
      </c>
      <c r="LN25" s="77">
        <v>675.78436499999998</v>
      </c>
      <c r="LO25" s="77">
        <v>686.49830099999997</v>
      </c>
      <c r="LP25" s="77">
        <v>676.31522399999994</v>
      </c>
      <c r="LQ25" s="77">
        <v>662.43226000000004</v>
      </c>
      <c r="LR25" s="77">
        <v>648.06346599999995</v>
      </c>
      <c r="LS25" s="77">
        <v>717.54623800000002</v>
      </c>
      <c r="LT25" s="77">
        <v>633.393914</v>
      </c>
      <c r="LU25" s="77">
        <v>670.25701300000003</v>
      </c>
      <c r="LV25" s="77">
        <v>685.00836600000002</v>
      </c>
      <c r="LW25" s="77">
        <v>674.79626299999995</v>
      </c>
      <c r="LX25" s="77">
        <v>660.51010499999995</v>
      </c>
      <c r="LY25" s="77">
        <v>646.48371999999995</v>
      </c>
      <c r="LZ25" s="77">
        <v>717.19652199999996</v>
      </c>
      <c r="MA25" s="77">
        <v>636.59193800000003</v>
      </c>
      <c r="MB25" s="77">
        <v>673.66064900000003</v>
      </c>
      <c r="MC25" s="77">
        <v>711.82581800000003</v>
      </c>
      <c r="MD25" s="77">
        <v>700.81065100000001</v>
      </c>
      <c r="ME25" s="77">
        <v>686.38956499999995</v>
      </c>
      <c r="MF25" s="77">
        <v>671.618605</v>
      </c>
      <c r="MG25" s="77">
        <v>743.417148</v>
      </c>
      <c r="MH25" s="77">
        <v>696.06441199999995</v>
      </c>
      <c r="MI25" s="77">
        <v>735.35450000000003</v>
      </c>
      <c r="MJ25" s="77">
        <v>725.42322799999999</v>
      </c>
      <c r="MK25" s="77">
        <v>714.009185</v>
      </c>
      <c r="ML25" s="77">
        <v>699.72458500000005</v>
      </c>
      <c r="MM25" s="77">
        <v>684.39489900000001</v>
      </c>
      <c r="MN25" s="77">
        <v>756.12397499999997</v>
      </c>
      <c r="MO25" s="77">
        <v>659.69584099999997</v>
      </c>
      <c r="MP25" s="77">
        <v>697.24290399999995</v>
      </c>
      <c r="MQ25" s="77">
        <v>712.74184400000001</v>
      </c>
      <c r="MR25" s="77">
        <v>701.81397300000003</v>
      </c>
      <c r="MS25" s="77">
        <v>688.11738200000002</v>
      </c>
      <c r="MT25" s="77">
        <v>672.76913100000002</v>
      </c>
      <c r="MU25" s="77">
        <v>742.327584</v>
      </c>
      <c r="MV25" s="77">
        <v>653.63365599999997</v>
      </c>
      <c r="MW25" s="77">
        <v>691.45501000000002</v>
      </c>
      <c r="MX25" s="77">
        <v>719.79836399999999</v>
      </c>
      <c r="MY25" s="77">
        <v>708.55970000000002</v>
      </c>
      <c r="MZ25" s="77">
        <v>693.80902500000002</v>
      </c>
      <c r="NA25" s="77">
        <v>679.10145399999999</v>
      </c>
      <c r="NB25" s="77">
        <v>752.07487500000002</v>
      </c>
      <c r="NC25" s="77">
        <v>638.70165199999997</v>
      </c>
      <c r="ND25" s="77">
        <v>675.59324000000004</v>
      </c>
      <c r="NE25" s="77">
        <v>678.69593699999996</v>
      </c>
      <c r="NF25" s="77">
        <v>668.71223699999996</v>
      </c>
      <c r="NG25" s="77">
        <v>654.75201600000003</v>
      </c>
      <c r="NH25" s="77">
        <v>640.670839</v>
      </c>
      <c r="NI25" s="77">
        <v>710.21519799999999</v>
      </c>
      <c r="NJ25" s="77">
        <v>637.29389800000001</v>
      </c>
      <c r="NK25" s="77">
        <v>674.65793299999996</v>
      </c>
      <c r="NL25" s="77">
        <v>689.81764799999996</v>
      </c>
      <c r="NM25" s="77">
        <v>679.35883799999999</v>
      </c>
      <c r="NN25" s="77">
        <v>664.46188400000005</v>
      </c>
      <c r="NO25" s="77">
        <v>650.73455999999999</v>
      </c>
      <c r="NP25" s="77">
        <v>723.48286299999995</v>
      </c>
      <c r="NQ25" s="77">
        <v>655.73208399999999</v>
      </c>
      <c r="NR25" s="77">
        <v>693.35474999999997</v>
      </c>
      <c r="NS25" s="77">
        <v>702.19654200000002</v>
      </c>
      <c r="NT25" s="77">
        <v>691.46791800000005</v>
      </c>
      <c r="NU25" s="77">
        <v>677.51739399999997</v>
      </c>
      <c r="NV25" s="77">
        <v>662.62030200000004</v>
      </c>
      <c r="NW25" s="77">
        <v>732.76851199999999</v>
      </c>
      <c r="NX25" s="77">
        <v>663.89489200000003</v>
      </c>
      <c r="NY25" s="77">
        <v>701.473432</v>
      </c>
      <c r="NZ25" s="77">
        <v>724.23073799999997</v>
      </c>
      <c r="OA25" s="77">
        <v>712.97533899999996</v>
      </c>
      <c r="OB25" s="77">
        <v>699.63359300000002</v>
      </c>
      <c r="OC25" s="77">
        <v>683.60153300000002</v>
      </c>
      <c r="OD25" s="77">
        <v>752.37741800000003</v>
      </c>
      <c r="OE25" s="77">
        <v>622.03965000000005</v>
      </c>
      <c r="OF25" s="77">
        <v>658.09051299999999</v>
      </c>
      <c r="OG25" s="77">
        <v>672.12471500000004</v>
      </c>
      <c r="OH25" s="77">
        <v>662.42231100000004</v>
      </c>
      <c r="OI25" s="77">
        <v>648.71434999999997</v>
      </c>
      <c r="OJ25" s="77">
        <v>634.70396100000005</v>
      </c>
      <c r="OK25" s="77">
        <v>703.25523799999996</v>
      </c>
      <c r="OL25" s="77">
        <v>603.66321100000005</v>
      </c>
      <c r="OM25" s="77">
        <v>639.00243599999999</v>
      </c>
      <c r="ON25" s="77">
        <v>687.34522500000003</v>
      </c>
      <c r="OO25" s="77">
        <v>677.13151500000004</v>
      </c>
      <c r="OP25" s="77">
        <v>663.73529299999996</v>
      </c>
      <c r="OQ25" s="77">
        <v>648.88203699999997</v>
      </c>
      <c r="OR25" s="77">
        <v>716.93566499999997</v>
      </c>
      <c r="OS25" s="77">
        <v>630.03717300000005</v>
      </c>
      <c r="OT25" s="77">
        <v>666.25241300000005</v>
      </c>
      <c r="OU25" s="77">
        <v>646.49533899999994</v>
      </c>
      <c r="OV25" s="77">
        <v>637.53124700000001</v>
      </c>
      <c r="OW25" s="77">
        <v>624.23490100000004</v>
      </c>
      <c r="OX25" s="77">
        <v>610.64250200000004</v>
      </c>
      <c r="OY25" s="77">
        <v>677.33606699999996</v>
      </c>
      <c r="OZ25" s="77">
        <v>607.47007599999995</v>
      </c>
      <c r="PA25" s="77">
        <v>643.43703100000005</v>
      </c>
      <c r="PB25" s="77">
        <v>657.29403300000001</v>
      </c>
      <c r="PC25" s="77">
        <v>647.849872</v>
      </c>
      <c r="PD25" s="77">
        <v>633.42936299999997</v>
      </c>
      <c r="PE25" s="77">
        <v>620.35926099999995</v>
      </c>
      <c r="PF25" s="77">
        <v>690.82116299999996</v>
      </c>
      <c r="PG25" s="77">
        <v>654.79708500000004</v>
      </c>
      <c r="PH25" s="77">
        <v>691.90911400000005</v>
      </c>
      <c r="PI25" s="77">
        <v>694.89957000000004</v>
      </c>
      <c r="PJ25" s="77">
        <v>684.55944199999999</v>
      </c>
      <c r="PK25" s="77">
        <v>671.30773899999997</v>
      </c>
      <c r="PL25" s="77">
        <v>656.18355299999996</v>
      </c>
      <c r="PM25" s="77">
        <v>723.91272700000002</v>
      </c>
      <c r="PN25" s="77">
        <v>658.26601400000004</v>
      </c>
      <c r="PO25" s="77">
        <v>695.97805400000004</v>
      </c>
      <c r="PP25" s="77">
        <v>724.38835300000005</v>
      </c>
      <c r="PQ25" s="77">
        <v>713.01947900000005</v>
      </c>
      <c r="PR25" s="77">
        <v>699.08639500000004</v>
      </c>
      <c r="PS25" s="77">
        <v>683.47975199999996</v>
      </c>
      <c r="PT25" s="77">
        <v>754.119642</v>
      </c>
      <c r="PU25" s="77">
        <v>640.31178999999997</v>
      </c>
      <c r="PV25" s="77">
        <v>677.14025300000003</v>
      </c>
      <c r="PW25" s="77">
        <v>691.92395599999998</v>
      </c>
      <c r="PX25" s="77">
        <v>681.60809400000005</v>
      </c>
      <c r="PY25" s="77">
        <v>667.81800699999997</v>
      </c>
      <c r="PZ25" s="77">
        <v>653.21928800000001</v>
      </c>
      <c r="QA25" s="77">
        <v>722.53714500000001</v>
      </c>
      <c r="QB25" s="77">
        <v>617.94621700000005</v>
      </c>
      <c r="QC25" s="77">
        <v>653.77664900000002</v>
      </c>
      <c r="QD25" s="77">
        <v>667.62118099999998</v>
      </c>
      <c r="QE25" s="77">
        <v>658.04723799999999</v>
      </c>
      <c r="QF25" s="77">
        <v>644.53319699999997</v>
      </c>
      <c r="QG25" s="77">
        <v>630.48216200000002</v>
      </c>
      <c r="QH25" s="77">
        <v>698.344517</v>
      </c>
      <c r="QI25" s="77">
        <v>596.91833599999995</v>
      </c>
      <c r="QJ25" s="77">
        <v>632.07392900000002</v>
      </c>
      <c r="QK25" s="77">
        <v>645.23895400000004</v>
      </c>
      <c r="QL25" s="77">
        <v>636.25528599999996</v>
      </c>
      <c r="QM25" s="77">
        <v>622.59508200000005</v>
      </c>
      <c r="QN25" s="77">
        <v>609.31890999999996</v>
      </c>
      <c r="QO25" s="77">
        <v>677.11690899999996</v>
      </c>
      <c r="QP25" s="77">
        <v>656.31251099999997</v>
      </c>
      <c r="QQ25" s="77">
        <v>693.62213299999996</v>
      </c>
      <c r="QR25" s="77">
        <v>708.91944899999999</v>
      </c>
      <c r="QS25" s="77">
        <v>698.12463600000001</v>
      </c>
    </row>
    <row r="26" spans="6:461" x14ac:dyDescent="0.25">
      <c r="F26" s="76" t="str">
        <f xml:space="preserve"> _xll.EPMOlapMemberO("[PRDDESCR].[].[HELGAS GFREE WHOLEM 500G]","","HELGAS GFREE WHOLEM 500G","","000")</f>
        <v>HELGAS GFREE WHOLEM 500G</v>
      </c>
      <c r="G26" s="76" t="str">
        <f xml:space="preserve"> _xll.EPMOlapMemberO("[PRDID].[].[168848]","","168848","","000")</f>
        <v>168848</v>
      </c>
      <c r="H26" s="76" t="str">
        <f xml:space="preserve"> _xll.EPMOlapMemberO("[LOCID].[].[6120]","","6120","","000")</f>
        <v>6120</v>
      </c>
      <c r="I26" s="76" t="str">
        <f xml:space="preserve"> _xll.EPMOlapMemberO("[LOCDESCR].[].[QBA-Hobart]","","QBA-Hobart","","000")</f>
        <v>QBA-Hobart</v>
      </c>
      <c r="J26" s="76" t="str">
        <f xml:space="preserve"> _xll.EPMOlapMemberO("[KEY_FIGURES].[].[ZGFAPPROVEDFCSTQTY]","","Approved Forecast","","000")</f>
        <v>Approved Forecast</v>
      </c>
      <c r="K26" s="77">
        <v>0.323264</v>
      </c>
      <c r="L26" s="77">
        <v>143.656745</v>
      </c>
      <c r="M26" s="77">
        <v>9.0336E-2</v>
      </c>
      <c r="N26" s="77">
        <v>155.18279799999999</v>
      </c>
      <c r="O26" s="77">
        <v>12.983180000000001</v>
      </c>
      <c r="P26" s="77">
        <v>0</v>
      </c>
      <c r="Q26" s="77">
        <v>169.25424100000001</v>
      </c>
      <c r="R26" s="77">
        <v>0.283999</v>
      </c>
      <c r="S26" s="77">
        <v>131.86017899999999</v>
      </c>
      <c r="T26" s="77">
        <v>0.105536</v>
      </c>
      <c r="U26" s="77">
        <v>157.56446099999999</v>
      </c>
      <c r="V26" s="77">
        <v>13.025771000000001</v>
      </c>
      <c r="W26" s="77">
        <v>0</v>
      </c>
      <c r="X26" s="77">
        <v>177.59606099999999</v>
      </c>
      <c r="Y26" s="77">
        <v>0.40336899999999998</v>
      </c>
      <c r="Z26" s="77">
        <v>160.023629</v>
      </c>
      <c r="AA26" s="77">
        <v>0.464727</v>
      </c>
      <c r="AB26" s="77">
        <v>185.679565</v>
      </c>
      <c r="AC26" s="77">
        <v>0</v>
      </c>
      <c r="AD26" s="77">
        <v>0</v>
      </c>
      <c r="AE26" s="77"/>
      <c r="AF26" s="77"/>
      <c r="AG26" s="77"/>
      <c r="AH26" s="77"/>
      <c r="AI26" s="77"/>
      <c r="AJ26" s="77"/>
      <c r="AK26" s="77"/>
      <c r="AL26" s="77">
        <v>190.657445</v>
      </c>
      <c r="AM26" s="77">
        <v>0.38018999999999997</v>
      </c>
      <c r="AN26" s="77">
        <v>178.77211199999999</v>
      </c>
      <c r="AO26" s="77">
        <v>0.43802099999999999</v>
      </c>
      <c r="AP26" s="77">
        <v>205.04712799999999</v>
      </c>
      <c r="AQ26" s="77">
        <v>0</v>
      </c>
      <c r="AR26" s="77">
        <v>0</v>
      </c>
      <c r="AS26" s="77">
        <v>206.455152</v>
      </c>
      <c r="AT26" s="77">
        <v>0.38528800000000002</v>
      </c>
      <c r="AU26" s="77">
        <v>171.15908099999999</v>
      </c>
      <c r="AV26" s="77">
        <v>0.54296199999999994</v>
      </c>
      <c r="AW26" s="77">
        <v>215.20405299999999</v>
      </c>
      <c r="AX26" s="77">
        <v>0</v>
      </c>
      <c r="AY26" s="77">
        <v>0</v>
      </c>
      <c r="AZ26" s="77">
        <v>199.76393300000001</v>
      </c>
      <c r="BA26" s="77">
        <v>0.40666799999999997</v>
      </c>
      <c r="BB26" s="77">
        <v>186.40890999999999</v>
      </c>
      <c r="BC26" s="77">
        <v>0.468526</v>
      </c>
      <c r="BD26" s="77">
        <v>214.11326500000001</v>
      </c>
      <c r="BE26" s="77">
        <v>0</v>
      </c>
      <c r="BF26" s="77">
        <v>0</v>
      </c>
      <c r="BG26" s="77">
        <v>200.088099</v>
      </c>
      <c r="BH26" s="77">
        <v>0.36081299999999999</v>
      </c>
      <c r="BI26" s="77">
        <v>165.34365099999999</v>
      </c>
      <c r="BJ26" s="77">
        <v>0.50846800000000003</v>
      </c>
      <c r="BK26" s="77">
        <v>207.00701900000001</v>
      </c>
      <c r="BL26" s="77">
        <v>0</v>
      </c>
      <c r="BM26" s="77">
        <v>0</v>
      </c>
      <c r="BN26" s="77">
        <v>180.57238599999999</v>
      </c>
      <c r="BO26" s="77">
        <v>0.34620099999999998</v>
      </c>
      <c r="BP26" s="77">
        <v>170.25861800000001</v>
      </c>
      <c r="BQ26" s="77">
        <v>0.39886300000000002</v>
      </c>
      <c r="BR26" s="77">
        <v>194.801354</v>
      </c>
      <c r="BS26" s="77">
        <v>0</v>
      </c>
      <c r="BT26" s="77">
        <v>0</v>
      </c>
      <c r="BU26" s="77">
        <v>183.77038400000001</v>
      </c>
      <c r="BV26" s="77">
        <v>0.31640400000000002</v>
      </c>
      <c r="BW26" s="77">
        <v>160.61360099999999</v>
      </c>
      <c r="BX26" s="77">
        <v>0.44588699999999998</v>
      </c>
      <c r="BY26" s="77">
        <v>198.452844</v>
      </c>
      <c r="BZ26" s="77">
        <v>0</v>
      </c>
      <c r="CA26" s="77">
        <v>0</v>
      </c>
      <c r="CB26" s="77">
        <v>200.39299800000001</v>
      </c>
      <c r="CC26" s="77">
        <v>0.37618099999999999</v>
      </c>
      <c r="CD26" s="77">
        <v>190.44028</v>
      </c>
      <c r="CE26" s="77">
        <v>0.43340499999999998</v>
      </c>
      <c r="CF26" s="77">
        <v>217.566113</v>
      </c>
      <c r="CG26" s="77">
        <v>0</v>
      </c>
      <c r="CH26" s="77">
        <v>0</v>
      </c>
      <c r="CI26" s="77">
        <v>153.06016</v>
      </c>
      <c r="CJ26" s="77">
        <v>0.27848899999999999</v>
      </c>
      <c r="CK26" s="77">
        <v>128.137764</v>
      </c>
      <c r="CL26" s="77">
        <v>0.392455</v>
      </c>
      <c r="CM26" s="77">
        <v>160.341802</v>
      </c>
      <c r="CN26" s="77">
        <v>0</v>
      </c>
      <c r="CO26" s="77">
        <v>0</v>
      </c>
      <c r="CP26" s="77">
        <v>202.79151100000001</v>
      </c>
      <c r="CQ26" s="77">
        <v>0.39478200000000002</v>
      </c>
      <c r="CR26" s="77">
        <v>191.19096200000001</v>
      </c>
      <c r="CS26" s="77">
        <v>0.45483499999999999</v>
      </c>
      <c r="CT26" s="77">
        <v>218.93696</v>
      </c>
      <c r="CU26" s="77">
        <v>0</v>
      </c>
      <c r="CV26" s="77">
        <v>0</v>
      </c>
      <c r="CW26" s="77">
        <v>220.83086299999999</v>
      </c>
      <c r="CX26" s="77">
        <v>0.361595</v>
      </c>
      <c r="CY26" s="77">
        <v>197.52766199999999</v>
      </c>
      <c r="CZ26" s="77">
        <v>0.49626100000000001</v>
      </c>
      <c r="DA26" s="77">
        <v>239.41554400000001</v>
      </c>
      <c r="DB26" s="77">
        <v>3.252E-2</v>
      </c>
      <c r="DC26" s="77">
        <v>3.2523000000000003E-2</v>
      </c>
      <c r="DD26" s="77">
        <v>246.000685</v>
      </c>
      <c r="DE26" s="77">
        <v>0.37391999999999997</v>
      </c>
      <c r="DF26" s="77">
        <v>256.79385200000002</v>
      </c>
      <c r="DG26" s="77">
        <v>0.43079899999999999</v>
      </c>
      <c r="DH26" s="77">
        <v>289.361625</v>
      </c>
      <c r="DI26" s="77">
        <v>0</v>
      </c>
      <c r="DJ26" s="77">
        <v>0</v>
      </c>
      <c r="DK26" s="77">
        <v>240.238294</v>
      </c>
      <c r="DL26" s="77">
        <v>0.33598299999999998</v>
      </c>
      <c r="DM26" s="77">
        <v>207.282375</v>
      </c>
      <c r="DN26" s="77">
        <v>0.47348000000000001</v>
      </c>
      <c r="DO26" s="77">
        <v>250.51942299999999</v>
      </c>
      <c r="DP26" s="77">
        <v>0</v>
      </c>
      <c r="DQ26" s="77">
        <v>0</v>
      </c>
      <c r="DR26" s="77">
        <v>225.67660100000001</v>
      </c>
      <c r="DS26" s="77">
        <v>0.36022799999999999</v>
      </c>
      <c r="DT26" s="77">
        <v>221.344267</v>
      </c>
      <c r="DU26" s="77">
        <v>0.41502800000000001</v>
      </c>
      <c r="DV26" s="77">
        <v>250.5634</v>
      </c>
      <c r="DW26" s="77">
        <v>0</v>
      </c>
      <c r="DX26" s="77">
        <v>0</v>
      </c>
      <c r="DY26" s="77">
        <v>238.706819</v>
      </c>
      <c r="DZ26" s="77">
        <v>0.34605200000000003</v>
      </c>
      <c r="EA26" s="77">
        <v>209.48734200000001</v>
      </c>
      <c r="EB26" s="77">
        <v>0.48766700000000002</v>
      </c>
      <c r="EC26" s="77">
        <v>253.67765900000001</v>
      </c>
      <c r="ED26" s="77">
        <v>0</v>
      </c>
      <c r="EE26" s="77">
        <v>0</v>
      </c>
      <c r="EF26" s="77">
        <v>211.06378000000001</v>
      </c>
      <c r="EG26" s="77">
        <v>0.34088099999999999</v>
      </c>
      <c r="EH26" s="77">
        <v>211.88464300000001</v>
      </c>
      <c r="EI26" s="77">
        <v>0.392737</v>
      </c>
      <c r="EJ26" s="77">
        <v>239.73650000000001</v>
      </c>
      <c r="EK26" s="77">
        <v>0</v>
      </c>
      <c r="EL26" s="77">
        <v>0</v>
      </c>
      <c r="EM26" s="77">
        <v>229.577811</v>
      </c>
      <c r="EN26" s="77">
        <v>0.33690300000000001</v>
      </c>
      <c r="EO26" s="77">
        <v>206.26227499999999</v>
      </c>
      <c r="EP26" s="77">
        <v>0.474771</v>
      </c>
      <c r="EQ26" s="77">
        <v>249.48566700000001</v>
      </c>
      <c r="ER26" s="77">
        <v>0</v>
      </c>
      <c r="ES26" s="77">
        <v>0</v>
      </c>
      <c r="ET26" s="77">
        <v>209.64567500000001</v>
      </c>
      <c r="EU26" s="77">
        <v>0.34227600000000002</v>
      </c>
      <c r="EV26" s="77">
        <v>204.79314600000001</v>
      </c>
      <c r="EW26" s="77">
        <v>0.394343</v>
      </c>
      <c r="EX26" s="77">
        <v>232.09672399999999</v>
      </c>
      <c r="EY26" s="77">
        <v>0</v>
      </c>
      <c r="EZ26" s="77">
        <v>0</v>
      </c>
      <c r="FA26" s="77">
        <v>225.81383199999999</v>
      </c>
      <c r="FB26" s="77">
        <v>0.31843399999999999</v>
      </c>
      <c r="FC26" s="77">
        <v>197.25099599999999</v>
      </c>
      <c r="FD26" s="77">
        <v>0.448743</v>
      </c>
      <c r="FE26" s="77">
        <v>238.287317</v>
      </c>
      <c r="FF26" s="77">
        <v>0</v>
      </c>
      <c r="FG26" s="77">
        <v>0</v>
      </c>
      <c r="FH26" s="77">
        <v>226.640852</v>
      </c>
      <c r="FI26" s="77">
        <v>0.38120100000000001</v>
      </c>
      <c r="FJ26" s="77">
        <v>230.95778799999999</v>
      </c>
      <c r="FK26" s="77">
        <v>0.43585000000000002</v>
      </c>
      <c r="FL26" s="77">
        <v>260.94471600000003</v>
      </c>
      <c r="FM26" s="77">
        <v>2.1984E-2</v>
      </c>
      <c r="FN26" s="77">
        <v>2.1984E-2</v>
      </c>
      <c r="FO26" s="77">
        <v>225.66414900000001</v>
      </c>
      <c r="FP26" s="77">
        <v>0.33830199999999999</v>
      </c>
      <c r="FQ26" s="77">
        <v>210.42148900000001</v>
      </c>
      <c r="FR26" s="77">
        <v>0.50431199999999998</v>
      </c>
      <c r="FS26" s="77">
        <v>255.07906399999999</v>
      </c>
      <c r="FT26" s="77">
        <v>9.6959999999999998E-3</v>
      </c>
      <c r="FU26" s="77">
        <v>9.6959999999999998E-3</v>
      </c>
      <c r="FV26" s="77">
        <v>194.45729499999999</v>
      </c>
      <c r="FW26" s="77">
        <v>0.327907</v>
      </c>
      <c r="FX26" s="77">
        <v>181.74437900000001</v>
      </c>
      <c r="FY26" s="77">
        <v>0.35370299999999999</v>
      </c>
      <c r="FZ26" s="77">
        <v>206.07260400000001</v>
      </c>
      <c r="GA26" s="77">
        <v>0</v>
      </c>
      <c r="GB26" s="77">
        <v>0</v>
      </c>
      <c r="GC26" s="77">
        <v>208.610737</v>
      </c>
      <c r="GD26" s="77">
        <v>0.27708199999999999</v>
      </c>
      <c r="GE26" s="77">
        <v>207.18073699999999</v>
      </c>
      <c r="GF26" s="77">
        <v>0.39047399999999999</v>
      </c>
      <c r="GG26" s="77">
        <v>245.84265300000001</v>
      </c>
      <c r="GH26" s="77">
        <v>0</v>
      </c>
      <c r="GI26" s="77">
        <v>0</v>
      </c>
      <c r="GJ26" s="77">
        <v>264.56672200000003</v>
      </c>
      <c r="GK26" s="77">
        <v>0.38063000000000002</v>
      </c>
      <c r="GL26" s="77">
        <v>247.08882600000001</v>
      </c>
      <c r="GM26" s="77">
        <v>0.438531</v>
      </c>
      <c r="GN26" s="77">
        <v>279.06198499999999</v>
      </c>
      <c r="GO26" s="77">
        <v>0</v>
      </c>
      <c r="GP26" s="77">
        <v>0</v>
      </c>
      <c r="GQ26" s="77">
        <v>166.80074400000001</v>
      </c>
      <c r="GR26" s="77">
        <v>0.23099600000000001</v>
      </c>
      <c r="GS26" s="77">
        <v>152.25955400000001</v>
      </c>
      <c r="GT26" s="77">
        <v>0.32552999999999999</v>
      </c>
      <c r="GU26" s="77">
        <v>182.797304</v>
      </c>
      <c r="GV26" s="77">
        <v>0</v>
      </c>
      <c r="GW26" s="77">
        <v>0</v>
      </c>
      <c r="GX26" s="77">
        <v>206.660447</v>
      </c>
      <c r="GY26" s="77">
        <v>0.296323</v>
      </c>
      <c r="GZ26" s="77">
        <v>206.176233</v>
      </c>
      <c r="HA26" s="77">
        <v>0.34139799999999998</v>
      </c>
      <c r="HB26" s="77">
        <v>232.20758699999999</v>
      </c>
      <c r="HC26" s="77">
        <v>0</v>
      </c>
      <c r="HD26" s="77">
        <v>0</v>
      </c>
      <c r="HE26" s="77">
        <v>176.58766199999999</v>
      </c>
      <c r="HF26" s="77">
        <v>0.23064000000000001</v>
      </c>
      <c r="HG26" s="77">
        <v>163.716812</v>
      </c>
      <c r="HH26" s="77">
        <v>0.32502399999999998</v>
      </c>
      <c r="HI26" s="77">
        <v>195.18033199999999</v>
      </c>
      <c r="HJ26" s="77">
        <v>0</v>
      </c>
      <c r="HK26" s="77">
        <v>0</v>
      </c>
      <c r="HL26" s="77">
        <v>199.91527500000001</v>
      </c>
      <c r="HM26" s="77">
        <v>0.295817</v>
      </c>
      <c r="HN26" s="77">
        <v>209.965495</v>
      </c>
      <c r="HO26" s="77">
        <v>0.37945899999999999</v>
      </c>
      <c r="HP26" s="77">
        <v>237.31238500000001</v>
      </c>
      <c r="HQ26" s="77">
        <v>0</v>
      </c>
      <c r="HR26" s="77">
        <v>0</v>
      </c>
      <c r="HS26" s="77">
        <v>206.63145599999999</v>
      </c>
      <c r="HT26" s="77">
        <v>0.30198799999999998</v>
      </c>
      <c r="HU26" s="77">
        <v>177.77026499999999</v>
      </c>
      <c r="HV26" s="77">
        <v>0.379857</v>
      </c>
      <c r="HW26" s="77">
        <v>212.92119299999999</v>
      </c>
      <c r="HX26" s="77">
        <v>8.9440000000000006E-3</v>
      </c>
      <c r="HY26" s="77">
        <v>8.94E-3</v>
      </c>
      <c r="HZ26" s="77">
        <v>189.63535300000001</v>
      </c>
      <c r="IA26" s="77">
        <v>0.29893900000000001</v>
      </c>
      <c r="IB26" s="77">
        <v>185.18071800000001</v>
      </c>
      <c r="IC26" s="77">
        <v>0.344412</v>
      </c>
      <c r="ID26" s="77">
        <v>209.54538500000001</v>
      </c>
      <c r="IE26" s="77">
        <v>0</v>
      </c>
      <c r="IF26" s="77">
        <v>0</v>
      </c>
      <c r="IG26" s="77">
        <v>241.40720999999999</v>
      </c>
      <c r="IH26" s="77">
        <v>0.31698999999999999</v>
      </c>
      <c r="II26" s="77">
        <v>225.09995900000001</v>
      </c>
      <c r="IJ26" s="77">
        <v>0.446712</v>
      </c>
      <c r="IK26" s="77">
        <v>268.35055699999998</v>
      </c>
      <c r="IL26" s="77">
        <v>0</v>
      </c>
      <c r="IM26" s="77">
        <v>0</v>
      </c>
      <c r="IN26" s="77">
        <v>245.17382000000001</v>
      </c>
      <c r="IO26" s="77">
        <v>0.36608200000000002</v>
      </c>
      <c r="IP26" s="77">
        <v>247.77247600000001</v>
      </c>
      <c r="IQ26" s="77">
        <v>0.43729499999999999</v>
      </c>
      <c r="IR26" s="77">
        <v>279.77043099999997</v>
      </c>
      <c r="IS26" s="77">
        <v>0</v>
      </c>
      <c r="IT26" s="77">
        <v>0</v>
      </c>
      <c r="IU26" s="77">
        <v>203.592364</v>
      </c>
      <c r="IV26" s="77">
        <v>0.27174799999999999</v>
      </c>
      <c r="IW26" s="77">
        <v>182.44373400000001</v>
      </c>
      <c r="IX26" s="77">
        <v>0.36935699999999999</v>
      </c>
      <c r="IY26" s="77">
        <v>217.89005</v>
      </c>
      <c r="IZ26" s="77">
        <v>0</v>
      </c>
      <c r="JA26" s="77">
        <v>0</v>
      </c>
      <c r="JB26" s="77">
        <v>208.909627</v>
      </c>
      <c r="JC26" s="77">
        <v>0.31718400000000002</v>
      </c>
      <c r="JD26" s="77">
        <v>208.720403</v>
      </c>
      <c r="JE26" s="77">
        <v>0.36543300000000001</v>
      </c>
      <c r="JF26" s="77">
        <v>235.59859700000001</v>
      </c>
      <c r="JG26" s="77">
        <v>0</v>
      </c>
      <c r="JH26" s="77">
        <v>0</v>
      </c>
      <c r="JI26" s="77">
        <v>260.16682100000003</v>
      </c>
      <c r="JJ26" s="77">
        <v>0.35868699999999998</v>
      </c>
      <c r="JK26" s="77">
        <v>243.05810199999999</v>
      </c>
      <c r="JL26" s="77">
        <v>0.50547299999999995</v>
      </c>
      <c r="JM26" s="77">
        <v>291.01681100000002</v>
      </c>
      <c r="JN26" s="77">
        <v>0</v>
      </c>
      <c r="JO26" s="77">
        <v>0</v>
      </c>
      <c r="JP26" s="77">
        <v>212.33252100000001</v>
      </c>
      <c r="JQ26" s="77">
        <v>0.30693399999999998</v>
      </c>
      <c r="JR26" s="77">
        <v>223.80801199999999</v>
      </c>
      <c r="JS26" s="77">
        <v>0.410084</v>
      </c>
      <c r="JT26" s="77">
        <v>253.10365899999999</v>
      </c>
      <c r="JU26" s="77">
        <v>0</v>
      </c>
      <c r="JV26" s="77">
        <v>0</v>
      </c>
      <c r="JW26" s="77">
        <v>125.84975900000001</v>
      </c>
      <c r="JX26" s="77">
        <v>0.22637499999999999</v>
      </c>
      <c r="JY26" s="77">
        <v>100.431692</v>
      </c>
      <c r="JZ26" s="77">
        <v>0.27361999999999997</v>
      </c>
      <c r="KA26" s="77">
        <v>126.13919199999999</v>
      </c>
      <c r="KB26" s="77">
        <v>101.59042700000001</v>
      </c>
      <c r="KC26" s="77">
        <v>101.574933</v>
      </c>
      <c r="KD26" s="77">
        <v>76.187481000000005</v>
      </c>
      <c r="KE26" s="77">
        <v>74.148728000000006</v>
      </c>
      <c r="KF26" s="77">
        <v>88.027557999999999</v>
      </c>
      <c r="KG26" s="77">
        <v>70.208006999999995</v>
      </c>
      <c r="KH26" s="77">
        <v>70.252421999999996</v>
      </c>
      <c r="KI26" s="77">
        <v>70.353154000000004</v>
      </c>
      <c r="KJ26" s="77">
        <v>70.373761000000002</v>
      </c>
      <c r="KK26" s="77">
        <v>79.798029</v>
      </c>
      <c r="KL26" s="77">
        <v>71.951995999999994</v>
      </c>
      <c r="KM26" s="77">
        <v>83.015742000000003</v>
      </c>
      <c r="KN26" s="77">
        <v>79.588256000000001</v>
      </c>
      <c r="KO26" s="77">
        <v>72.679291000000006</v>
      </c>
      <c r="KP26" s="77">
        <v>72.524170999999996</v>
      </c>
      <c r="KQ26" s="77">
        <v>72.510332000000005</v>
      </c>
      <c r="KR26" s="77">
        <v>72.902985999999999</v>
      </c>
      <c r="KS26" s="77">
        <v>70.945383000000007</v>
      </c>
      <c r="KT26" s="77">
        <v>84.222319999999996</v>
      </c>
      <c r="KU26" s="77">
        <v>67.199577000000005</v>
      </c>
      <c r="KV26" s="77">
        <v>67.243509000000003</v>
      </c>
      <c r="KW26" s="77">
        <v>67.338663999999994</v>
      </c>
      <c r="KX26" s="77">
        <v>67.357893000000004</v>
      </c>
      <c r="KY26" s="77">
        <v>78.447415000000007</v>
      </c>
      <c r="KZ26" s="77">
        <v>70.714642999999995</v>
      </c>
      <c r="LA26" s="77">
        <v>81.335695999999999</v>
      </c>
      <c r="LB26" s="77">
        <v>77.906143</v>
      </c>
      <c r="LC26" s="77">
        <v>71.068636999999995</v>
      </c>
      <c r="LD26" s="77">
        <v>70.924289000000002</v>
      </c>
      <c r="LE26" s="77">
        <v>70.861941000000002</v>
      </c>
      <c r="LF26" s="77">
        <v>84.900201999999993</v>
      </c>
      <c r="LG26" s="77">
        <v>82.383944</v>
      </c>
      <c r="LH26" s="77">
        <v>98.047246999999999</v>
      </c>
      <c r="LI26" s="77">
        <v>78.984858000000003</v>
      </c>
      <c r="LJ26" s="77">
        <v>79.012243999999995</v>
      </c>
      <c r="LK26" s="77">
        <v>79.089721999999995</v>
      </c>
      <c r="LL26" s="77">
        <v>79.161800999999997</v>
      </c>
      <c r="LM26" s="77">
        <v>77.310911000000004</v>
      </c>
      <c r="LN26" s="77">
        <v>69.713358999999997</v>
      </c>
      <c r="LO26" s="77">
        <v>80.061448999999996</v>
      </c>
      <c r="LP26" s="77">
        <v>76.657375000000002</v>
      </c>
      <c r="LQ26" s="77">
        <v>69.777741000000006</v>
      </c>
      <c r="LR26" s="77">
        <v>69.644103999999999</v>
      </c>
      <c r="LS26" s="77">
        <v>69.586260999999993</v>
      </c>
      <c r="LT26" s="77">
        <v>77.288067999999996</v>
      </c>
      <c r="LU26" s="77">
        <v>75.068879999999993</v>
      </c>
      <c r="LV26" s="77">
        <v>89.289002999999994</v>
      </c>
      <c r="LW26" s="77">
        <v>71.591093000000001</v>
      </c>
      <c r="LX26" s="77">
        <v>71.656458999999998</v>
      </c>
      <c r="LY26" s="77">
        <v>71.741167000000004</v>
      </c>
      <c r="LZ26" s="77">
        <v>71.755234000000002</v>
      </c>
      <c r="MA26" s="77">
        <v>80.662357999999998</v>
      </c>
      <c r="MB26" s="77">
        <v>72.691417999999999</v>
      </c>
      <c r="MC26" s="77">
        <v>85.660679000000002</v>
      </c>
      <c r="MD26" s="77">
        <v>82.117919999999998</v>
      </c>
      <c r="ME26" s="77">
        <v>74.960008999999999</v>
      </c>
      <c r="MF26" s="77">
        <v>74.801624000000004</v>
      </c>
      <c r="MG26" s="77">
        <v>74.787482999999995</v>
      </c>
      <c r="MH26" s="77">
        <v>87.860712000000007</v>
      </c>
      <c r="MI26" s="77">
        <v>85.220421999999999</v>
      </c>
      <c r="MJ26" s="77">
        <v>98.249146999999994</v>
      </c>
      <c r="MK26" s="77">
        <v>78.995748000000006</v>
      </c>
      <c r="ML26" s="77">
        <v>79.079554999999999</v>
      </c>
      <c r="MM26" s="77">
        <v>79.162543999999997</v>
      </c>
      <c r="MN26" s="77">
        <v>79.174036000000001</v>
      </c>
      <c r="MO26" s="77">
        <v>85.761216000000005</v>
      </c>
      <c r="MP26" s="77">
        <v>77.389021</v>
      </c>
      <c r="MQ26" s="77">
        <v>88.553698999999995</v>
      </c>
      <c r="MR26" s="77">
        <v>84.887179000000003</v>
      </c>
      <c r="MS26" s="77">
        <v>77.798985999999999</v>
      </c>
      <c r="MT26" s="77">
        <v>77.621657999999996</v>
      </c>
      <c r="MU26" s="77">
        <v>77.545367999999996</v>
      </c>
      <c r="MV26" s="77">
        <v>85.50215</v>
      </c>
      <c r="MW26" s="77">
        <v>83.103266000000005</v>
      </c>
      <c r="MX26" s="77">
        <v>100.12600999999999</v>
      </c>
      <c r="MY26" s="77">
        <v>80.343699000000001</v>
      </c>
      <c r="MZ26" s="77">
        <v>80.357939000000002</v>
      </c>
      <c r="NA26" s="77">
        <v>80.451611</v>
      </c>
      <c r="NB26" s="77">
        <v>80.527699999999996</v>
      </c>
      <c r="NC26" s="77">
        <v>88.448881999999998</v>
      </c>
      <c r="ND26" s="77">
        <v>79.749705000000006</v>
      </c>
      <c r="NE26" s="77">
        <v>90.913976000000005</v>
      </c>
      <c r="NF26" s="77">
        <v>87.030203999999998</v>
      </c>
      <c r="NG26" s="77">
        <v>79.121435000000005</v>
      </c>
      <c r="NH26" s="77">
        <v>78.975149000000002</v>
      </c>
      <c r="NI26" s="77">
        <v>78.911747000000005</v>
      </c>
      <c r="NJ26" s="77">
        <v>78.615538999999998</v>
      </c>
      <c r="NK26" s="77">
        <v>76.593490000000003</v>
      </c>
      <c r="NL26" s="77">
        <v>91.819901000000002</v>
      </c>
      <c r="NM26" s="77">
        <v>72.838651999999996</v>
      </c>
      <c r="NN26" s="77">
        <v>72.863754999999998</v>
      </c>
      <c r="NO26" s="77">
        <v>72.987093999999999</v>
      </c>
      <c r="NP26" s="77">
        <v>73.015721999999997</v>
      </c>
      <c r="NQ26" s="77">
        <v>81.424008000000001</v>
      </c>
      <c r="NR26" s="77">
        <v>73.428471000000002</v>
      </c>
      <c r="NS26" s="77">
        <v>83.571276999999995</v>
      </c>
      <c r="NT26" s="77">
        <v>80.109345000000005</v>
      </c>
      <c r="NU26" s="77">
        <v>73.099524000000002</v>
      </c>
      <c r="NV26" s="77">
        <v>72.946539999999999</v>
      </c>
      <c r="NW26" s="77">
        <v>72.932879</v>
      </c>
      <c r="NX26" s="77">
        <v>87.29665</v>
      </c>
      <c r="NY26" s="77">
        <v>85.042893000000007</v>
      </c>
      <c r="NZ26" s="77">
        <v>102.405432</v>
      </c>
      <c r="OA26" s="77">
        <v>81.603729000000001</v>
      </c>
      <c r="OB26" s="77">
        <v>81.651540999999995</v>
      </c>
      <c r="OC26" s="77">
        <v>81.772053</v>
      </c>
      <c r="OD26" s="77">
        <v>81.797317000000007</v>
      </c>
      <c r="OE26" s="77">
        <v>81.141242000000005</v>
      </c>
      <c r="OF26" s="77">
        <v>73.059813000000005</v>
      </c>
      <c r="OG26" s="77">
        <v>84.500908999999993</v>
      </c>
      <c r="OH26" s="77">
        <v>80.869186999999997</v>
      </c>
      <c r="OI26" s="77">
        <v>73.402547999999996</v>
      </c>
      <c r="OJ26" s="77">
        <v>73.273150000000001</v>
      </c>
      <c r="OK26" s="77">
        <v>73.216958000000005</v>
      </c>
      <c r="OL26" s="77">
        <v>81.236689999999996</v>
      </c>
      <c r="OM26" s="77">
        <v>79.135480000000001</v>
      </c>
      <c r="ON26" s="77">
        <v>98.206708000000006</v>
      </c>
      <c r="OO26" s="77">
        <v>78.613696000000004</v>
      </c>
      <c r="OP26" s="77">
        <v>78.619404000000003</v>
      </c>
      <c r="OQ26" s="77">
        <v>78.720016000000001</v>
      </c>
      <c r="OR26" s="77">
        <v>78.796155999999996</v>
      </c>
      <c r="OS26" s="77">
        <v>90.608832000000007</v>
      </c>
      <c r="OT26" s="77">
        <v>81.693622000000005</v>
      </c>
      <c r="OU26" s="77">
        <v>90.987897000000004</v>
      </c>
      <c r="OV26" s="77">
        <v>87.058548000000002</v>
      </c>
      <c r="OW26" s="77">
        <v>78.919180999999995</v>
      </c>
      <c r="OX26" s="77">
        <v>78.785477</v>
      </c>
      <c r="OY26" s="77">
        <v>78.727322999999998</v>
      </c>
      <c r="OZ26" s="77">
        <v>84.771925999999993</v>
      </c>
      <c r="PA26" s="77">
        <v>82.690331</v>
      </c>
      <c r="PB26" s="77">
        <v>99.429136999999997</v>
      </c>
      <c r="PC26" s="77">
        <v>78.550189000000003</v>
      </c>
      <c r="PD26" s="77">
        <v>78.559877</v>
      </c>
      <c r="PE26" s="77">
        <v>78.708482000000004</v>
      </c>
      <c r="PF26" s="77">
        <v>78.745363999999995</v>
      </c>
      <c r="PG26" s="77">
        <v>85.161126999999993</v>
      </c>
      <c r="PH26" s="77">
        <v>76.731395000000006</v>
      </c>
      <c r="PI26" s="77">
        <v>87.335368000000003</v>
      </c>
      <c r="PJ26" s="77">
        <v>83.649483000000004</v>
      </c>
      <c r="PK26" s="77">
        <v>76.001334999999997</v>
      </c>
      <c r="PL26" s="77">
        <v>75.860183000000006</v>
      </c>
      <c r="PM26" s="77">
        <v>75.847520000000003</v>
      </c>
      <c r="PN26" s="77">
        <v>77.537052000000003</v>
      </c>
      <c r="PO26" s="77">
        <v>75.405064999999993</v>
      </c>
      <c r="PP26" s="77">
        <v>90.944632999999996</v>
      </c>
      <c r="PQ26" s="77">
        <v>73.016716000000002</v>
      </c>
      <c r="PR26" s="77">
        <v>73.088578999999996</v>
      </c>
      <c r="PS26" s="77">
        <v>73.170315000000002</v>
      </c>
      <c r="PT26" s="77">
        <v>73.182862</v>
      </c>
      <c r="PU26" s="77">
        <v>80.511621000000005</v>
      </c>
      <c r="PV26" s="77">
        <v>72.663405999999995</v>
      </c>
      <c r="PW26" s="77">
        <v>83.081657000000007</v>
      </c>
      <c r="PX26" s="77">
        <v>79.651249000000007</v>
      </c>
      <c r="PY26" s="77">
        <v>73.05153</v>
      </c>
      <c r="PZ26" s="77">
        <v>72.882300999999998</v>
      </c>
      <c r="QA26" s="77">
        <v>72.809533000000002</v>
      </c>
      <c r="QB26" s="77">
        <v>86.355908999999997</v>
      </c>
      <c r="QC26" s="77">
        <v>83.809621000000007</v>
      </c>
      <c r="QD26" s="77">
        <v>99.481994999999998</v>
      </c>
      <c r="QE26" s="77">
        <v>79.985449000000003</v>
      </c>
      <c r="QF26" s="77">
        <v>80.070217999999997</v>
      </c>
      <c r="QG26" s="77">
        <v>80.154330999999999</v>
      </c>
      <c r="QH26" s="77">
        <v>80.165986000000004</v>
      </c>
      <c r="QI26" s="77">
        <v>65.030800999999997</v>
      </c>
      <c r="QJ26" s="77">
        <v>58.579130999999997</v>
      </c>
      <c r="QK26" s="77">
        <v>67.610536999999994</v>
      </c>
      <c r="QL26" s="77">
        <v>64.725481000000002</v>
      </c>
      <c r="QM26" s="77">
        <v>58.860917999999998</v>
      </c>
      <c r="QN26" s="77">
        <v>58.751170999999999</v>
      </c>
      <c r="QO26" s="77">
        <v>58.703623</v>
      </c>
      <c r="QP26" s="77">
        <v>86.804979000000003</v>
      </c>
      <c r="QQ26" s="77">
        <v>84.431551999999996</v>
      </c>
      <c r="QR26" s="77">
        <v>100.7882</v>
      </c>
      <c r="QS26" s="77">
        <v>80.415576999999999</v>
      </c>
    </row>
    <row r="27" spans="6:461" x14ac:dyDescent="0.25">
      <c r="F27" s="76" t="str">
        <f xml:space="preserve"> _xll.EPMOlapMemberO("[PRDDESCR].[].[HELGAS GFREE WHOLEM 500G]","","HELGAS GFREE WHOLEM 500G","","000")</f>
        <v>HELGAS GFREE WHOLEM 500G</v>
      </c>
      <c r="G27" s="76" t="str">
        <f xml:space="preserve"> _xll.EPMOlapMemberO("[PRDID].[].[168848]","","168848","","000")</f>
        <v>168848</v>
      </c>
      <c r="H27" s="76" t="str">
        <f xml:space="preserve"> _xll.EPMOlapMemberO("[LOCID].[].[6123]","","6123","","000")</f>
        <v>6123</v>
      </c>
      <c r="I27" s="76" t="str">
        <f xml:space="preserve"> _xll.EPMOlapMemberO("[LOCDESCR].[].[QBA-Clayton - Fairbank]","","QBA-Clayton - Fairbank","","000")</f>
        <v>QBA-Clayton - Fairbank</v>
      </c>
      <c r="J27" s="76" t="str">
        <f xml:space="preserve"> _xll.EPMOlapMemberO("[KEY_FIGURES].[].[ZGFAPPROVEDFCSTQTY]","","Approved Forecast","","000")</f>
        <v>Approved Forecast</v>
      </c>
      <c r="K27" s="77">
        <v>9.1213000000000002E-2</v>
      </c>
      <c r="L27" s="77">
        <v>1105.9680820000001</v>
      </c>
      <c r="M27" s="77">
        <v>311.665119</v>
      </c>
      <c r="N27" s="77">
        <v>681.21462599999995</v>
      </c>
      <c r="O27" s="77">
        <v>457.83613700000001</v>
      </c>
      <c r="P27" s="77">
        <v>1108.6603009999999</v>
      </c>
      <c r="Q27" s="77">
        <v>0</v>
      </c>
      <c r="R27" s="77">
        <v>0.328038</v>
      </c>
      <c r="S27" s="77">
        <v>1017.914774</v>
      </c>
      <c r="T27" s="77">
        <v>293.789672</v>
      </c>
      <c r="U27" s="77">
        <v>634.71383400000002</v>
      </c>
      <c r="V27" s="77">
        <v>431.43139000000002</v>
      </c>
      <c r="W27" s="77">
        <v>989.20469000000003</v>
      </c>
      <c r="X27" s="77">
        <v>0</v>
      </c>
      <c r="Y27" s="77">
        <v>0.61909700000000001</v>
      </c>
      <c r="Z27" s="77">
        <v>1265.3605930000001</v>
      </c>
      <c r="AA27" s="77">
        <v>312.12642299999999</v>
      </c>
      <c r="AB27" s="77">
        <v>746.97756400000003</v>
      </c>
      <c r="AC27" s="77">
        <v>510.48559699999998</v>
      </c>
      <c r="AD27" s="77">
        <v>1225.117565</v>
      </c>
      <c r="AE27" s="77"/>
      <c r="AF27" s="77"/>
      <c r="AG27" s="77"/>
      <c r="AH27" s="77"/>
      <c r="AI27" s="77"/>
      <c r="AJ27" s="77"/>
      <c r="AK27" s="77"/>
      <c r="AL27" s="77">
        <v>0</v>
      </c>
      <c r="AM27" s="77">
        <v>0.61909700000000001</v>
      </c>
      <c r="AN27" s="77">
        <v>1160.368346</v>
      </c>
      <c r="AO27" s="77">
        <v>271.78813700000001</v>
      </c>
      <c r="AP27" s="77">
        <v>685.33861100000001</v>
      </c>
      <c r="AQ27" s="77">
        <v>468.76975099999999</v>
      </c>
      <c r="AR27" s="77">
        <v>1143.1851529999999</v>
      </c>
      <c r="AS27" s="77">
        <v>0</v>
      </c>
      <c r="AT27" s="77">
        <v>0.61909700000000001</v>
      </c>
      <c r="AU27" s="77">
        <v>1215.2407149999999</v>
      </c>
      <c r="AV27" s="77">
        <v>275.20320400000003</v>
      </c>
      <c r="AW27" s="77">
        <v>701.10245299999997</v>
      </c>
      <c r="AX27" s="77">
        <v>474.036404</v>
      </c>
      <c r="AY27" s="77">
        <v>1173.745447</v>
      </c>
      <c r="AZ27" s="77">
        <v>0</v>
      </c>
      <c r="BA27" s="77">
        <v>0.61909700000000001</v>
      </c>
      <c r="BB27" s="77">
        <v>1138.2645439999999</v>
      </c>
      <c r="BC27" s="77">
        <v>266.55909300000002</v>
      </c>
      <c r="BD27" s="77">
        <v>673.188446</v>
      </c>
      <c r="BE27" s="77">
        <v>454.42106000000001</v>
      </c>
      <c r="BF27" s="77">
        <v>1142.357857</v>
      </c>
      <c r="BG27" s="77">
        <v>0</v>
      </c>
      <c r="BH27" s="77">
        <v>0.61909700000000001</v>
      </c>
      <c r="BI27" s="77">
        <v>1227.1602780000001</v>
      </c>
      <c r="BJ27" s="77">
        <v>285.24949700000002</v>
      </c>
      <c r="BK27" s="77">
        <v>733.15134599999999</v>
      </c>
      <c r="BL27" s="77">
        <v>493.69832200000002</v>
      </c>
      <c r="BM27" s="77">
        <v>1253.48019</v>
      </c>
      <c r="BN27" s="77">
        <v>0</v>
      </c>
      <c r="BO27" s="77">
        <v>0.61909899999999995</v>
      </c>
      <c r="BP27" s="77">
        <v>1245.265686</v>
      </c>
      <c r="BQ27" s="77">
        <v>284.94580200000001</v>
      </c>
      <c r="BR27" s="77">
        <v>726.66181800000004</v>
      </c>
      <c r="BS27" s="77">
        <v>484.91559599999999</v>
      </c>
      <c r="BT27" s="77">
        <v>1235.962843</v>
      </c>
      <c r="BU27" s="77">
        <v>0</v>
      </c>
      <c r="BV27" s="77">
        <v>0.61909899999999995</v>
      </c>
      <c r="BW27" s="77">
        <v>1213.7192689999999</v>
      </c>
      <c r="BX27" s="77">
        <v>281.03337499999998</v>
      </c>
      <c r="BY27" s="77">
        <v>720.55729699999995</v>
      </c>
      <c r="BZ27" s="77">
        <v>481.58045600000003</v>
      </c>
      <c r="CA27" s="77">
        <v>1235.0834890000001</v>
      </c>
      <c r="CB27" s="77">
        <v>0</v>
      </c>
      <c r="CC27" s="77">
        <v>0.61909899999999995</v>
      </c>
      <c r="CD27" s="77">
        <v>1224.548092</v>
      </c>
      <c r="CE27" s="77">
        <v>283.65275400000002</v>
      </c>
      <c r="CF27" s="77">
        <v>723.47020199999997</v>
      </c>
      <c r="CG27" s="77">
        <v>493.37577700000003</v>
      </c>
      <c r="CH27" s="77">
        <v>1207.7339609999999</v>
      </c>
      <c r="CI27" s="77">
        <v>0</v>
      </c>
      <c r="CJ27" s="77">
        <v>0.61909899999999995</v>
      </c>
      <c r="CK27" s="77">
        <v>1269.60969</v>
      </c>
      <c r="CL27" s="77">
        <v>286.49355100000002</v>
      </c>
      <c r="CM27" s="77">
        <v>728.11091599999997</v>
      </c>
      <c r="CN27" s="77">
        <v>496.74091600000003</v>
      </c>
      <c r="CO27" s="77">
        <v>1190.458194</v>
      </c>
      <c r="CP27" s="77">
        <v>0</v>
      </c>
      <c r="CQ27" s="77">
        <v>0.61909899999999995</v>
      </c>
      <c r="CR27" s="77">
        <v>1212.7290820000001</v>
      </c>
      <c r="CS27" s="77">
        <v>280.144879</v>
      </c>
      <c r="CT27" s="77">
        <v>715.08668899999998</v>
      </c>
      <c r="CU27" s="77">
        <v>481.37114400000002</v>
      </c>
      <c r="CV27" s="77">
        <v>1209.7950370000001</v>
      </c>
      <c r="CW27" s="77">
        <v>0</v>
      </c>
      <c r="CX27" s="77">
        <v>0.61909499999999995</v>
      </c>
      <c r="CY27" s="77">
        <v>1260.6855430000001</v>
      </c>
      <c r="CZ27" s="77">
        <v>299.61127800000003</v>
      </c>
      <c r="DA27" s="77">
        <v>754.74256000000003</v>
      </c>
      <c r="DB27" s="77">
        <v>514.22380999999996</v>
      </c>
      <c r="DC27" s="77">
        <v>1248.853202</v>
      </c>
      <c r="DD27" s="77">
        <v>0</v>
      </c>
      <c r="DE27" s="77">
        <v>0.61909899999999995</v>
      </c>
      <c r="DF27" s="77">
        <v>1233.102151</v>
      </c>
      <c r="DG27" s="77">
        <v>285.07955199999998</v>
      </c>
      <c r="DH27" s="77">
        <v>720.25894500000004</v>
      </c>
      <c r="DI27" s="77">
        <v>483.67506400000002</v>
      </c>
      <c r="DJ27" s="77">
        <v>1210.5756220000001</v>
      </c>
      <c r="DK27" s="77">
        <v>0</v>
      </c>
      <c r="DL27" s="77">
        <v>0.61909499999999995</v>
      </c>
      <c r="DM27" s="77">
        <v>1165.674381</v>
      </c>
      <c r="DN27" s="77">
        <v>277.44868700000001</v>
      </c>
      <c r="DO27" s="77">
        <v>694.09387600000002</v>
      </c>
      <c r="DP27" s="77">
        <v>468.48859399999998</v>
      </c>
      <c r="DQ27" s="77">
        <v>1167.279282</v>
      </c>
      <c r="DR27" s="77">
        <v>0</v>
      </c>
      <c r="DS27" s="77">
        <v>0.61909499999999995</v>
      </c>
      <c r="DT27" s="77">
        <v>1200.925923</v>
      </c>
      <c r="DU27" s="77">
        <v>280.827023</v>
      </c>
      <c r="DV27" s="77">
        <v>715.77541399999996</v>
      </c>
      <c r="DW27" s="77">
        <v>484.16862300000003</v>
      </c>
      <c r="DX27" s="77">
        <v>1214.6247060000001</v>
      </c>
      <c r="DY27" s="77">
        <v>0</v>
      </c>
      <c r="DZ27" s="77">
        <v>0.61909499999999995</v>
      </c>
      <c r="EA27" s="77">
        <v>1233.770845</v>
      </c>
      <c r="EB27" s="77">
        <v>283.06003099999998</v>
      </c>
      <c r="EC27" s="77">
        <v>719.62528199999997</v>
      </c>
      <c r="ED27" s="77">
        <v>481.922957</v>
      </c>
      <c r="EE27" s="77">
        <v>1217.9753539999999</v>
      </c>
      <c r="EF27" s="77">
        <v>0</v>
      </c>
      <c r="EG27" s="77">
        <v>0.61909499999999995</v>
      </c>
      <c r="EH27" s="77">
        <v>1219.0049710000001</v>
      </c>
      <c r="EI27" s="77">
        <v>279.90903300000002</v>
      </c>
      <c r="EJ27" s="77">
        <v>715.73654199999999</v>
      </c>
      <c r="EK27" s="77">
        <v>483.411629</v>
      </c>
      <c r="EL27" s="77">
        <v>1204.539274</v>
      </c>
      <c r="EM27" s="77">
        <v>0</v>
      </c>
      <c r="EN27" s="77">
        <v>0.61909499999999995</v>
      </c>
      <c r="EO27" s="77">
        <v>1211.5407620000001</v>
      </c>
      <c r="EP27" s="77">
        <v>282.13559500000002</v>
      </c>
      <c r="EQ27" s="77">
        <v>717.64721699999996</v>
      </c>
      <c r="ER27" s="77">
        <v>489.03489000000002</v>
      </c>
      <c r="ES27" s="77">
        <v>1200.3484800000001</v>
      </c>
      <c r="ET27" s="77">
        <v>0</v>
      </c>
      <c r="EU27" s="77">
        <v>0.61909499999999995</v>
      </c>
      <c r="EV27" s="77">
        <v>1237.3247180000001</v>
      </c>
      <c r="EW27" s="77">
        <v>285.82566500000001</v>
      </c>
      <c r="EX27" s="77">
        <v>719.34653100000003</v>
      </c>
      <c r="EY27" s="77">
        <v>487.12035300000002</v>
      </c>
      <c r="EZ27" s="77">
        <v>1190.5905580000001</v>
      </c>
      <c r="FA27" s="77">
        <v>0</v>
      </c>
      <c r="FB27" s="77">
        <v>0.61909899999999995</v>
      </c>
      <c r="FC27" s="77">
        <v>1299.4820709999999</v>
      </c>
      <c r="FD27" s="77">
        <v>297.50858399999998</v>
      </c>
      <c r="FE27" s="77">
        <v>766.27333199999998</v>
      </c>
      <c r="FF27" s="77">
        <v>514.78717900000004</v>
      </c>
      <c r="FG27" s="77">
        <v>1289.9559690000001</v>
      </c>
      <c r="FH27" s="77">
        <v>0</v>
      </c>
      <c r="FI27" s="77">
        <v>0.61909499999999995</v>
      </c>
      <c r="FJ27" s="77">
        <v>1269.7608230000001</v>
      </c>
      <c r="FK27" s="77">
        <v>294.14651800000001</v>
      </c>
      <c r="FL27" s="77">
        <v>756.56477400000006</v>
      </c>
      <c r="FM27" s="77">
        <v>511.04114199999998</v>
      </c>
      <c r="FN27" s="77">
        <v>1280.1166350000001</v>
      </c>
      <c r="FO27" s="77">
        <v>0</v>
      </c>
      <c r="FP27" s="77">
        <v>0.61909499999999995</v>
      </c>
      <c r="FQ27" s="77">
        <v>1229.8614700000001</v>
      </c>
      <c r="FR27" s="77">
        <v>275.84740199999999</v>
      </c>
      <c r="FS27" s="77">
        <v>705.18464800000004</v>
      </c>
      <c r="FT27" s="77">
        <v>479.58370200000002</v>
      </c>
      <c r="FU27" s="77">
        <v>1169.2529039999999</v>
      </c>
      <c r="FV27" s="77">
        <v>0</v>
      </c>
      <c r="FW27" s="77">
        <v>0.61909499999999995</v>
      </c>
      <c r="FX27" s="77">
        <v>1153.9048809999999</v>
      </c>
      <c r="FY27" s="77">
        <v>266.85714400000001</v>
      </c>
      <c r="FZ27" s="77">
        <v>677.83562800000004</v>
      </c>
      <c r="GA27" s="77">
        <v>458.56050199999999</v>
      </c>
      <c r="GB27" s="77">
        <v>1146.284345</v>
      </c>
      <c r="GC27" s="77">
        <v>0</v>
      </c>
      <c r="GD27" s="77">
        <v>0.61909700000000001</v>
      </c>
      <c r="GE27" s="77">
        <v>1204.250667</v>
      </c>
      <c r="GF27" s="77">
        <v>277.69228600000002</v>
      </c>
      <c r="GG27" s="77">
        <v>711.91357300000004</v>
      </c>
      <c r="GH27" s="77">
        <v>483.07840099999999</v>
      </c>
      <c r="GI27" s="77">
        <v>1204.372689</v>
      </c>
      <c r="GJ27" s="77">
        <v>0</v>
      </c>
      <c r="GK27" s="77">
        <v>0.61909700000000001</v>
      </c>
      <c r="GL27" s="77">
        <v>1211.3823709999999</v>
      </c>
      <c r="GM27" s="77">
        <v>276.98489899999998</v>
      </c>
      <c r="GN27" s="77">
        <v>700.25200800000005</v>
      </c>
      <c r="GO27" s="77">
        <v>475.12620600000002</v>
      </c>
      <c r="GP27" s="77">
        <v>1162.525592</v>
      </c>
      <c r="GQ27" s="77">
        <v>0</v>
      </c>
      <c r="GR27" s="77">
        <v>0.61909700000000001</v>
      </c>
      <c r="GS27" s="77">
        <v>1190.5308640000001</v>
      </c>
      <c r="GT27" s="77">
        <v>271.53011199999997</v>
      </c>
      <c r="GU27" s="77">
        <v>696.08506599999998</v>
      </c>
      <c r="GV27" s="77">
        <v>470.89195999999998</v>
      </c>
      <c r="GW27" s="77">
        <v>1175.144436</v>
      </c>
      <c r="GX27" s="77">
        <v>0</v>
      </c>
      <c r="GY27" s="77">
        <v>0.61909700000000001</v>
      </c>
      <c r="GZ27" s="77">
        <v>1278.6041009999999</v>
      </c>
      <c r="HA27" s="77">
        <v>295.96943099999999</v>
      </c>
      <c r="HB27" s="77">
        <v>762.81432299999994</v>
      </c>
      <c r="HC27" s="77">
        <v>514.05794200000003</v>
      </c>
      <c r="HD27" s="77">
        <v>1295.2156070000001</v>
      </c>
      <c r="HE27" s="77">
        <v>0</v>
      </c>
      <c r="HF27" s="77">
        <v>0.61909700000000001</v>
      </c>
      <c r="HG27" s="77">
        <v>1257.622435</v>
      </c>
      <c r="HH27" s="77">
        <v>283.099423</v>
      </c>
      <c r="HI27" s="77">
        <v>728.37606000000005</v>
      </c>
      <c r="HJ27" s="77">
        <v>487.53620599999999</v>
      </c>
      <c r="HK27" s="77">
        <v>1236.0372669999999</v>
      </c>
      <c r="HL27" s="77">
        <v>0</v>
      </c>
      <c r="HM27" s="77">
        <v>0.61909899999999995</v>
      </c>
      <c r="HN27" s="77">
        <v>1174.2441510000001</v>
      </c>
      <c r="HO27" s="77">
        <v>264.83590800000002</v>
      </c>
      <c r="HP27" s="77">
        <v>682.20368499999995</v>
      </c>
      <c r="HQ27" s="77">
        <v>463.14272599999998</v>
      </c>
      <c r="HR27" s="77">
        <v>1143.7034880000001</v>
      </c>
      <c r="HS27" s="77">
        <v>0</v>
      </c>
      <c r="HT27" s="77">
        <v>0.59904400000000002</v>
      </c>
      <c r="HU27" s="77">
        <v>1154.764021</v>
      </c>
      <c r="HV27" s="77">
        <v>268.28534500000001</v>
      </c>
      <c r="HW27" s="77">
        <v>680.59748999999999</v>
      </c>
      <c r="HX27" s="77">
        <v>466.22470800000002</v>
      </c>
      <c r="HY27" s="77">
        <v>1129.1446989999999</v>
      </c>
      <c r="HZ27" s="77">
        <v>0</v>
      </c>
      <c r="IA27" s="77">
        <v>0.59610700000000005</v>
      </c>
      <c r="IB27" s="77">
        <v>1258.7703160000001</v>
      </c>
      <c r="IC27" s="77">
        <v>280.71222899999998</v>
      </c>
      <c r="ID27" s="77">
        <v>725.32000200000004</v>
      </c>
      <c r="IE27" s="77">
        <v>486.58960400000001</v>
      </c>
      <c r="IF27" s="77">
        <v>1228.716103</v>
      </c>
      <c r="IG27" s="77">
        <v>0</v>
      </c>
      <c r="IH27" s="77">
        <v>0.61909700000000001</v>
      </c>
      <c r="II27" s="77">
        <v>1248.0625110000001</v>
      </c>
      <c r="IJ27" s="77">
        <v>281.64554900000002</v>
      </c>
      <c r="IK27" s="77">
        <v>735.736583</v>
      </c>
      <c r="IL27" s="77">
        <v>488.698714</v>
      </c>
      <c r="IM27" s="77">
        <v>1276.6291060000001</v>
      </c>
      <c r="IN27" s="77">
        <v>0</v>
      </c>
      <c r="IO27" s="77">
        <v>0.61909700000000001</v>
      </c>
      <c r="IP27" s="77">
        <v>1284.760454</v>
      </c>
      <c r="IQ27" s="77">
        <v>294.93544000000003</v>
      </c>
      <c r="IR27" s="77">
        <v>763.03775099999996</v>
      </c>
      <c r="IS27" s="77">
        <v>515.231267</v>
      </c>
      <c r="IT27" s="77">
        <v>1292.5896949999999</v>
      </c>
      <c r="IU27" s="77">
        <v>0</v>
      </c>
      <c r="IV27" s="77">
        <v>0.61909700000000001</v>
      </c>
      <c r="IW27" s="77">
        <v>1225.5256770000001</v>
      </c>
      <c r="IX27" s="77">
        <v>277.575423</v>
      </c>
      <c r="IY27" s="77">
        <v>710.86358800000005</v>
      </c>
      <c r="IZ27" s="77">
        <v>476.242729</v>
      </c>
      <c r="JA27" s="77">
        <v>1207.906256</v>
      </c>
      <c r="JB27" s="77">
        <v>0</v>
      </c>
      <c r="JC27" s="77">
        <v>0.61909700000000001</v>
      </c>
      <c r="JD27" s="77">
        <v>1200.7153579999999</v>
      </c>
      <c r="JE27" s="77">
        <v>277.45009700000003</v>
      </c>
      <c r="JF27" s="77">
        <v>710.85791900000004</v>
      </c>
      <c r="JG27" s="77">
        <v>475.79080699999997</v>
      </c>
      <c r="JH27" s="77">
        <v>1217.592643</v>
      </c>
      <c r="JI27" s="77">
        <v>0</v>
      </c>
      <c r="JJ27" s="77">
        <v>0.61909700000000001</v>
      </c>
      <c r="JK27" s="77">
        <v>1150.1522070000001</v>
      </c>
      <c r="JL27" s="77">
        <v>266.060813</v>
      </c>
      <c r="JM27" s="77">
        <v>681.22130900000002</v>
      </c>
      <c r="JN27" s="77">
        <v>460.78324600000002</v>
      </c>
      <c r="JO27" s="77">
        <v>1167.207795</v>
      </c>
      <c r="JP27" s="77">
        <v>0</v>
      </c>
      <c r="JQ27" s="77">
        <v>0.61909700000000001</v>
      </c>
      <c r="JR27" s="77">
        <v>1241.1534160000001</v>
      </c>
      <c r="JS27" s="77">
        <v>280.17761200000001</v>
      </c>
      <c r="JT27" s="77">
        <v>713.22658000000001</v>
      </c>
      <c r="JU27" s="77">
        <v>485.071732</v>
      </c>
      <c r="JV27" s="77">
        <v>1178.008049</v>
      </c>
      <c r="JW27" s="77">
        <v>1.041979</v>
      </c>
      <c r="JX27" s="77">
        <v>2.288205</v>
      </c>
      <c r="JY27" s="77">
        <v>1992.742992</v>
      </c>
      <c r="JZ27" s="77">
        <v>526.96902499999999</v>
      </c>
      <c r="KA27" s="77">
        <v>1170.652362</v>
      </c>
      <c r="KB27" s="77">
        <v>1.0255399999999999</v>
      </c>
      <c r="KC27" s="77">
        <v>0.97630600000000001</v>
      </c>
      <c r="KD27" s="77">
        <v>559.36865699999998</v>
      </c>
      <c r="KE27" s="77">
        <v>559.36855200000002</v>
      </c>
      <c r="KF27" s="77">
        <v>566.71265700000004</v>
      </c>
      <c r="KG27" s="77">
        <v>598.68802300000004</v>
      </c>
      <c r="KH27" s="77">
        <v>564.82374300000004</v>
      </c>
      <c r="KI27" s="77">
        <v>578.25662499999999</v>
      </c>
      <c r="KJ27" s="77">
        <v>562.41281100000003</v>
      </c>
      <c r="KK27" s="77">
        <v>547.97123599999998</v>
      </c>
      <c r="KL27" s="77">
        <v>547.97113400000001</v>
      </c>
      <c r="KM27" s="77">
        <v>581.98889299999996</v>
      </c>
      <c r="KN27" s="77">
        <v>602.10009200000002</v>
      </c>
      <c r="KO27" s="77">
        <v>565.76996099999997</v>
      </c>
      <c r="KP27" s="77">
        <v>572.98605499999996</v>
      </c>
      <c r="KQ27" s="77">
        <v>560.92806800000005</v>
      </c>
      <c r="KR27" s="77">
        <v>524.43870400000003</v>
      </c>
      <c r="KS27" s="77">
        <v>524.43860400000005</v>
      </c>
      <c r="KT27" s="77">
        <v>532.90231500000004</v>
      </c>
      <c r="KU27" s="77">
        <v>562.72297800000001</v>
      </c>
      <c r="KV27" s="77">
        <v>528.87725399999999</v>
      </c>
      <c r="KW27" s="77">
        <v>535.349064</v>
      </c>
      <c r="KX27" s="77">
        <v>530.017383</v>
      </c>
      <c r="KY27" s="77">
        <v>527.34535500000004</v>
      </c>
      <c r="KZ27" s="77">
        <v>527.34525599999995</v>
      </c>
      <c r="LA27" s="77">
        <v>537.79582800000003</v>
      </c>
      <c r="LB27" s="77">
        <v>566.06306500000005</v>
      </c>
      <c r="LC27" s="77">
        <v>536.13082899999995</v>
      </c>
      <c r="LD27" s="77">
        <v>548.01060199999995</v>
      </c>
      <c r="LE27" s="77">
        <v>533.99220300000002</v>
      </c>
      <c r="LF27" s="77">
        <v>556.42024800000002</v>
      </c>
      <c r="LG27" s="77">
        <v>556.42014800000004</v>
      </c>
      <c r="LH27" s="77">
        <v>590.65449599999999</v>
      </c>
      <c r="LI27" s="77">
        <v>610.21701099999996</v>
      </c>
      <c r="LJ27" s="77">
        <v>573.90386000000001</v>
      </c>
      <c r="LK27" s="77">
        <v>581.03517199999999</v>
      </c>
      <c r="LL27" s="77">
        <v>568.604467</v>
      </c>
      <c r="LM27" s="77">
        <v>539.11931500000003</v>
      </c>
      <c r="LN27" s="77">
        <v>539.11921600000005</v>
      </c>
      <c r="LO27" s="77">
        <v>548.30759399999999</v>
      </c>
      <c r="LP27" s="77">
        <v>577.80941900000005</v>
      </c>
      <c r="LQ27" s="77">
        <v>544.55862999999999</v>
      </c>
      <c r="LR27" s="77">
        <v>550.68369299999995</v>
      </c>
      <c r="LS27" s="77">
        <v>545.33260700000005</v>
      </c>
      <c r="LT27" s="77">
        <v>519.70433700000001</v>
      </c>
      <c r="LU27" s="77">
        <v>519.70423700000003</v>
      </c>
      <c r="LV27" s="77">
        <v>530.66395799999998</v>
      </c>
      <c r="LW27" s="77">
        <v>560.83151599999997</v>
      </c>
      <c r="LX27" s="77">
        <v>528.387337</v>
      </c>
      <c r="LY27" s="77">
        <v>540.58175100000005</v>
      </c>
      <c r="LZ27" s="77">
        <v>526.85777800000005</v>
      </c>
      <c r="MA27" s="77">
        <v>521.45716900000002</v>
      </c>
      <c r="MB27" s="77">
        <v>521.45707000000004</v>
      </c>
      <c r="MC27" s="77">
        <v>565.18686600000001</v>
      </c>
      <c r="MD27" s="77">
        <v>585.84610099999998</v>
      </c>
      <c r="ME27" s="77">
        <v>549.88470700000005</v>
      </c>
      <c r="MF27" s="77">
        <v>557.14114800000004</v>
      </c>
      <c r="MG27" s="77">
        <v>545.73329999999999</v>
      </c>
      <c r="MH27" s="77">
        <v>573.49031500000001</v>
      </c>
      <c r="MI27" s="77">
        <v>573.49021100000004</v>
      </c>
      <c r="MJ27" s="77">
        <v>566.633465</v>
      </c>
      <c r="MK27" s="77">
        <v>595.98330499999997</v>
      </c>
      <c r="ML27" s="77">
        <v>563.16255899999999</v>
      </c>
      <c r="MM27" s="77">
        <v>568.94794000000002</v>
      </c>
      <c r="MN27" s="77">
        <v>563.53955699999995</v>
      </c>
      <c r="MO27" s="77">
        <v>552.23785999999996</v>
      </c>
      <c r="MP27" s="77">
        <v>552.23776099999998</v>
      </c>
      <c r="MQ27" s="77">
        <v>564.03686300000004</v>
      </c>
      <c r="MR27" s="77">
        <v>595.80588</v>
      </c>
      <c r="MS27" s="77">
        <v>562.30479800000001</v>
      </c>
      <c r="MT27" s="77">
        <v>575.79108900000006</v>
      </c>
      <c r="MU27" s="77">
        <v>559.69152799999995</v>
      </c>
      <c r="MV27" s="77">
        <v>553.95640000000003</v>
      </c>
      <c r="MW27" s="77">
        <v>553.95629899999994</v>
      </c>
      <c r="MX27" s="77">
        <v>594.00501699999995</v>
      </c>
      <c r="MY27" s="77">
        <v>616.65865199999996</v>
      </c>
      <c r="MZ27" s="77">
        <v>577.22326999999996</v>
      </c>
      <c r="NA27" s="77">
        <v>585.18051100000002</v>
      </c>
      <c r="NB27" s="77">
        <v>572.66964399999995</v>
      </c>
      <c r="NC27" s="77">
        <v>541.67548999999997</v>
      </c>
      <c r="ND27" s="77">
        <v>541.675388</v>
      </c>
      <c r="NE27" s="77">
        <v>545.48888799999997</v>
      </c>
      <c r="NF27" s="77">
        <v>575.99625200000003</v>
      </c>
      <c r="NG27" s="77">
        <v>541.47506299999998</v>
      </c>
      <c r="NH27" s="77">
        <v>547.97214699999995</v>
      </c>
      <c r="NI27" s="77">
        <v>542.48359700000003</v>
      </c>
      <c r="NJ27" s="77">
        <v>506.53683599999999</v>
      </c>
      <c r="NK27" s="77">
        <v>506.53673700000002</v>
      </c>
      <c r="NL27" s="77">
        <v>517.01880100000005</v>
      </c>
      <c r="NM27" s="77">
        <v>545.98291500000005</v>
      </c>
      <c r="NN27" s="77">
        <v>514.728613</v>
      </c>
      <c r="NO27" s="77">
        <v>526.33539599999995</v>
      </c>
      <c r="NP27" s="77">
        <v>513.41736800000001</v>
      </c>
      <c r="NQ27" s="77">
        <v>578.22626600000001</v>
      </c>
      <c r="NR27" s="77">
        <v>578.22616100000005</v>
      </c>
      <c r="NS27" s="77">
        <v>604.88469799999996</v>
      </c>
      <c r="NT27" s="77">
        <v>625.67828599999996</v>
      </c>
      <c r="NU27" s="77">
        <v>587.44138699999996</v>
      </c>
      <c r="NV27" s="77">
        <v>594.97991400000001</v>
      </c>
      <c r="NW27" s="77">
        <v>582.02727500000003</v>
      </c>
      <c r="NX27" s="77">
        <v>568.21545700000001</v>
      </c>
      <c r="NY27" s="77">
        <v>568.21535500000005</v>
      </c>
      <c r="NZ27" s="77">
        <v>586.68366100000003</v>
      </c>
      <c r="OA27" s="77">
        <v>617.29366200000004</v>
      </c>
      <c r="OB27" s="77">
        <v>583.12872200000004</v>
      </c>
      <c r="OC27" s="77">
        <v>589.08513600000003</v>
      </c>
      <c r="OD27" s="77">
        <v>583.42316800000003</v>
      </c>
      <c r="OE27" s="77">
        <v>519.60659299999998</v>
      </c>
      <c r="OF27" s="77">
        <v>519.60649899999999</v>
      </c>
      <c r="OG27" s="77">
        <v>531.09762799999999</v>
      </c>
      <c r="OH27" s="77">
        <v>563.15982799999995</v>
      </c>
      <c r="OI27" s="77">
        <v>528.27270199999998</v>
      </c>
      <c r="OJ27" s="77">
        <v>540.84030600000006</v>
      </c>
      <c r="OK27" s="77">
        <v>527.25778300000002</v>
      </c>
      <c r="OL27" s="77">
        <v>520.10286599999995</v>
      </c>
      <c r="OM27" s="77">
        <v>520.10276399999998</v>
      </c>
      <c r="ON27" s="77">
        <v>574.094832</v>
      </c>
      <c r="OO27" s="77">
        <v>596.25562000000002</v>
      </c>
      <c r="OP27" s="77">
        <v>558.37670900000001</v>
      </c>
      <c r="OQ27" s="77">
        <v>566.08047499999998</v>
      </c>
      <c r="OR27" s="77">
        <v>554.34492</v>
      </c>
      <c r="OS27" s="77">
        <v>556.47650199999998</v>
      </c>
      <c r="OT27" s="77">
        <v>556.47639800000002</v>
      </c>
      <c r="OU27" s="77">
        <v>542.22821299999998</v>
      </c>
      <c r="OV27" s="77">
        <v>573.93206099999998</v>
      </c>
      <c r="OW27" s="77">
        <v>537.90033800000003</v>
      </c>
      <c r="OX27" s="77">
        <v>544.83879400000001</v>
      </c>
      <c r="OY27" s="77">
        <v>539.18637899999999</v>
      </c>
      <c r="OZ27" s="77">
        <v>513.88782700000002</v>
      </c>
      <c r="PA27" s="77">
        <v>513.88772900000004</v>
      </c>
      <c r="PB27" s="77">
        <v>524.48384799999997</v>
      </c>
      <c r="PC27" s="77">
        <v>553.62638200000004</v>
      </c>
      <c r="PD27" s="77">
        <v>522.30723</v>
      </c>
      <c r="PE27" s="77">
        <v>534.10925199999997</v>
      </c>
      <c r="PF27" s="77">
        <v>520.79549599999996</v>
      </c>
      <c r="PG27" s="77">
        <v>567.25948700000004</v>
      </c>
      <c r="PH27" s="77">
        <v>567.25938699999995</v>
      </c>
      <c r="PI27" s="77">
        <v>588.05625799999996</v>
      </c>
      <c r="PJ27" s="77">
        <v>607.13857900000005</v>
      </c>
      <c r="PK27" s="77">
        <v>571.57138199999997</v>
      </c>
      <c r="PL27" s="77">
        <v>578.54438900000002</v>
      </c>
      <c r="PM27" s="77">
        <v>566.31406700000002</v>
      </c>
      <c r="PN27" s="77">
        <v>550.95355700000005</v>
      </c>
      <c r="PO27" s="77">
        <v>550.95346099999995</v>
      </c>
      <c r="PP27" s="77">
        <v>572.804981</v>
      </c>
      <c r="PQ27" s="77">
        <v>602.27942199999995</v>
      </c>
      <c r="PR27" s="77">
        <v>569.36580600000002</v>
      </c>
      <c r="PS27" s="77">
        <v>575.12039700000003</v>
      </c>
      <c r="PT27" s="77">
        <v>569.67378199999996</v>
      </c>
      <c r="PU27" s="77">
        <v>549.72365000000002</v>
      </c>
      <c r="PV27" s="77">
        <v>549.72354900000005</v>
      </c>
      <c r="PW27" s="77">
        <v>561.16603899999996</v>
      </c>
      <c r="PX27" s="77">
        <v>591.97431600000004</v>
      </c>
      <c r="PY27" s="77">
        <v>559.48708199999999</v>
      </c>
      <c r="PZ27" s="77">
        <v>572.56625199999996</v>
      </c>
      <c r="QA27" s="77">
        <v>556.95174099999997</v>
      </c>
      <c r="QB27" s="77">
        <v>548.02868100000001</v>
      </c>
      <c r="QC27" s="77">
        <v>548.02857200000005</v>
      </c>
      <c r="QD27" s="77">
        <v>577.05811400000005</v>
      </c>
      <c r="QE27" s="77">
        <v>600.77994699999999</v>
      </c>
      <c r="QF27" s="77">
        <v>561.14688999999998</v>
      </c>
      <c r="QG27" s="77">
        <v>569.28818799999999</v>
      </c>
      <c r="QH27" s="77">
        <v>557.38440300000002</v>
      </c>
      <c r="QI27" s="77">
        <v>546.81043099999999</v>
      </c>
      <c r="QJ27" s="77">
        <v>546.81032500000003</v>
      </c>
      <c r="QK27" s="77">
        <v>560.97999700000003</v>
      </c>
      <c r="QL27" s="77">
        <v>597.37806399999999</v>
      </c>
      <c r="QM27" s="77">
        <v>555.75206100000003</v>
      </c>
      <c r="QN27" s="77">
        <v>564.02658199999996</v>
      </c>
      <c r="QO27" s="77">
        <v>557.62227499999995</v>
      </c>
      <c r="QP27" s="77">
        <v>544.40429200000005</v>
      </c>
      <c r="QQ27" s="77">
        <v>544.40419099999997</v>
      </c>
      <c r="QR27" s="77">
        <v>556.452045</v>
      </c>
      <c r="QS27" s="77">
        <v>589.53091300000006</v>
      </c>
    </row>
    <row r="28" spans="6:461" x14ac:dyDescent="0.25">
      <c r="F28" s="76" t="str">
        <f xml:space="preserve"> _xll.EPMOlapMemberO("[PRDDESCR].[].[HELGAS GFREE WHOLEM 500G]","","HELGAS GFREE WHOLEM 500G","","000")</f>
        <v>HELGAS GFREE WHOLEM 500G</v>
      </c>
      <c r="G28" s="76" t="str">
        <f xml:space="preserve"> _xll.EPMOlapMemberO("[PRDID].[].[168848]","","168848","","000")</f>
        <v>168848</v>
      </c>
      <c r="H28" s="76" t="str">
        <f xml:space="preserve"> _xll.EPMOlapMemberO("[LOCID].[].[6125]","","6125","","000")</f>
        <v>6125</v>
      </c>
      <c r="I28" s="76" t="str">
        <f xml:space="preserve"> _xll.EPMOlapMemberO("[LOCDESCR].[].[QBA -Keilor Park]","","QBA -Keilor Park","","000")</f>
        <v>QBA -Keilor Park</v>
      </c>
      <c r="J28" s="76" t="str">
        <f xml:space="preserve"> _xll.EPMOlapMemberO("[KEY_FIGURES].[].[ZGFAPPROVEDFCSTQTY]","","Approved Forecast","","000")</f>
        <v>Approved Forecast</v>
      </c>
      <c r="K28" s="77">
        <v>7.5624999999999998E-2</v>
      </c>
      <c r="L28" s="77">
        <v>969.30801699999995</v>
      </c>
      <c r="M28" s="77">
        <v>181.768283</v>
      </c>
      <c r="N28" s="77">
        <v>413.83226300000001</v>
      </c>
      <c r="O28" s="77">
        <v>598.763959</v>
      </c>
      <c r="P28" s="77">
        <v>595.12834699999996</v>
      </c>
      <c r="Q28" s="77">
        <v>0</v>
      </c>
      <c r="R28" s="77">
        <v>7.6862E-2</v>
      </c>
      <c r="S28" s="77">
        <v>994.29079200000001</v>
      </c>
      <c r="T28" s="77">
        <v>188.215137</v>
      </c>
      <c r="U28" s="77">
        <v>427.35110800000001</v>
      </c>
      <c r="V28" s="77">
        <v>613.35033599999997</v>
      </c>
      <c r="W28" s="77">
        <v>611.862123</v>
      </c>
      <c r="X28" s="77">
        <v>8.0069000000000001E-2</v>
      </c>
      <c r="Y28" s="77">
        <v>0.15148700000000001</v>
      </c>
      <c r="Z28" s="77">
        <v>1041.389725</v>
      </c>
      <c r="AA28" s="77">
        <v>205.96511000000001</v>
      </c>
      <c r="AB28" s="77">
        <v>445.17070899999999</v>
      </c>
      <c r="AC28" s="77">
        <v>623.793139</v>
      </c>
      <c r="AD28" s="77">
        <v>619.92977499999995</v>
      </c>
      <c r="AE28" s="77"/>
      <c r="AF28" s="77"/>
      <c r="AG28" s="77"/>
      <c r="AH28" s="77"/>
      <c r="AI28" s="77"/>
      <c r="AJ28" s="77"/>
      <c r="AK28" s="77"/>
      <c r="AL28" s="77">
        <v>6.6614000000000007E-2</v>
      </c>
      <c r="AM28" s="77">
        <v>0.13803199999999999</v>
      </c>
      <c r="AN28" s="77">
        <v>971.25766699999997</v>
      </c>
      <c r="AO28" s="77">
        <v>189.54119800000001</v>
      </c>
      <c r="AP28" s="77">
        <v>410.938692</v>
      </c>
      <c r="AQ28" s="77">
        <v>580.12277099999994</v>
      </c>
      <c r="AR28" s="77">
        <v>593.58071099999995</v>
      </c>
      <c r="AS28" s="77">
        <v>6.6715999999999998E-2</v>
      </c>
      <c r="AT28" s="77">
        <v>0.13813400000000001</v>
      </c>
      <c r="AU28" s="77">
        <v>989.98770999999999</v>
      </c>
      <c r="AV28" s="77">
        <v>192.86023299999999</v>
      </c>
      <c r="AW28" s="77">
        <v>418.41327899999999</v>
      </c>
      <c r="AX28" s="77">
        <v>592.33783600000004</v>
      </c>
      <c r="AY28" s="77">
        <v>608.54908899999998</v>
      </c>
      <c r="AZ28" s="77">
        <v>6.6861000000000004E-2</v>
      </c>
      <c r="BA28" s="77">
        <v>0.13827900000000001</v>
      </c>
      <c r="BB28" s="77">
        <v>950.76741400000003</v>
      </c>
      <c r="BC28" s="77">
        <v>188.45791600000001</v>
      </c>
      <c r="BD28" s="77">
        <v>403.81374899999997</v>
      </c>
      <c r="BE28" s="77">
        <v>562.82670099999996</v>
      </c>
      <c r="BF28" s="77">
        <v>569.522694</v>
      </c>
      <c r="BG28" s="77">
        <v>7.7530000000000002E-2</v>
      </c>
      <c r="BH28" s="77">
        <v>0.148948</v>
      </c>
      <c r="BI28" s="77">
        <v>1042.1767689999999</v>
      </c>
      <c r="BJ28" s="77">
        <v>201.01537200000001</v>
      </c>
      <c r="BK28" s="77">
        <v>440.35697099999999</v>
      </c>
      <c r="BL28" s="77">
        <v>627.10400800000002</v>
      </c>
      <c r="BM28" s="77">
        <v>650.35899300000005</v>
      </c>
      <c r="BN28" s="77">
        <v>7.3460999999999999E-2</v>
      </c>
      <c r="BO28" s="77">
        <v>0.14488000000000001</v>
      </c>
      <c r="BP28" s="77">
        <v>1047.5293819999999</v>
      </c>
      <c r="BQ28" s="77">
        <v>197.27036000000001</v>
      </c>
      <c r="BR28" s="77">
        <v>440.44083899999998</v>
      </c>
      <c r="BS28" s="77">
        <v>638.04273799999999</v>
      </c>
      <c r="BT28" s="77">
        <v>669.29909699999996</v>
      </c>
      <c r="BU28" s="77">
        <v>6.6753000000000007E-2</v>
      </c>
      <c r="BV28" s="77">
        <v>0.13817199999999999</v>
      </c>
      <c r="BW28" s="77">
        <v>1033.28909</v>
      </c>
      <c r="BX28" s="77">
        <v>201.148672</v>
      </c>
      <c r="BY28" s="77">
        <v>436.61680100000001</v>
      </c>
      <c r="BZ28" s="77">
        <v>618.81679899999995</v>
      </c>
      <c r="CA28" s="77">
        <v>639.09714699999995</v>
      </c>
      <c r="CB28" s="77">
        <v>6.7548999999999998E-2</v>
      </c>
      <c r="CC28" s="77">
        <v>0.13896800000000001</v>
      </c>
      <c r="CD28" s="77">
        <v>1014.73934</v>
      </c>
      <c r="CE28" s="77">
        <v>199.34865600000001</v>
      </c>
      <c r="CF28" s="77">
        <v>429.24316499999998</v>
      </c>
      <c r="CG28" s="77">
        <v>605.13246900000001</v>
      </c>
      <c r="CH28" s="77">
        <v>621.71299199999999</v>
      </c>
      <c r="CI28" s="77">
        <v>5.9825999999999997E-2</v>
      </c>
      <c r="CJ28" s="77">
        <v>0.131245</v>
      </c>
      <c r="CK28" s="77">
        <v>916.62041099999999</v>
      </c>
      <c r="CL28" s="77">
        <v>175.61917700000001</v>
      </c>
      <c r="CM28" s="77">
        <v>386.158297</v>
      </c>
      <c r="CN28" s="77">
        <v>552.520714</v>
      </c>
      <c r="CO28" s="77">
        <v>566.73402399999998</v>
      </c>
      <c r="CP28" s="77">
        <v>6.3778000000000001E-2</v>
      </c>
      <c r="CQ28" s="77">
        <v>0.13519700000000001</v>
      </c>
      <c r="CR28" s="77">
        <v>963.48310100000003</v>
      </c>
      <c r="CS28" s="77">
        <v>188.59681499999999</v>
      </c>
      <c r="CT28" s="77">
        <v>407.42166300000002</v>
      </c>
      <c r="CU28" s="77">
        <v>575.10245599999996</v>
      </c>
      <c r="CV28" s="77">
        <v>588.01273400000002</v>
      </c>
      <c r="CW28" s="77">
        <v>6.3935000000000006E-2</v>
      </c>
      <c r="CX28" s="77">
        <v>0.135353</v>
      </c>
      <c r="CY28" s="77">
        <v>991.05567099999996</v>
      </c>
      <c r="CZ28" s="77">
        <v>190.377047</v>
      </c>
      <c r="DA28" s="77">
        <v>417.23476599999998</v>
      </c>
      <c r="DB28" s="77">
        <v>597.76694499999996</v>
      </c>
      <c r="DC28" s="77">
        <v>619.10985800000003</v>
      </c>
      <c r="DD28" s="77">
        <v>6.1643000000000003E-2</v>
      </c>
      <c r="DE28" s="77">
        <v>0.13306100000000001</v>
      </c>
      <c r="DF28" s="77">
        <v>1018.571792</v>
      </c>
      <c r="DG28" s="77">
        <v>197.59334000000001</v>
      </c>
      <c r="DH28" s="77">
        <v>429.66965099999999</v>
      </c>
      <c r="DI28" s="77">
        <v>611.508509</v>
      </c>
      <c r="DJ28" s="77">
        <v>632.43859199999997</v>
      </c>
      <c r="DK28" s="77">
        <v>6.6878999999999994E-2</v>
      </c>
      <c r="DL28" s="77">
        <v>0.138297</v>
      </c>
      <c r="DM28" s="77">
        <v>944.06339300000002</v>
      </c>
      <c r="DN28" s="77">
        <v>182.102306</v>
      </c>
      <c r="DO28" s="77">
        <v>398.11722099999997</v>
      </c>
      <c r="DP28" s="77">
        <v>567.50700800000004</v>
      </c>
      <c r="DQ28" s="77">
        <v>582.66698399999996</v>
      </c>
      <c r="DR28" s="77">
        <v>6.3977000000000006E-2</v>
      </c>
      <c r="DS28" s="77">
        <v>0.13539399999999999</v>
      </c>
      <c r="DT28" s="77">
        <v>978.51902600000005</v>
      </c>
      <c r="DU28" s="77">
        <v>186.749032</v>
      </c>
      <c r="DV28" s="77">
        <v>411.71507200000002</v>
      </c>
      <c r="DW28" s="77">
        <v>591.68482700000004</v>
      </c>
      <c r="DX28" s="77">
        <v>613.12168099999997</v>
      </c>
      <c r="DY28" s="77">
        <v>8.2674999999999998E-2</v>
      </c>
      <c r="DZ28" s="77">
        <v>0.15409300000000001</v>
      </c>
      <c r="EA28" s="77">
        <v>1052.0027849999999</v>
      </c>
      <c r="EB28" s="77">
        <v>201.20275100000001</v>
      </c>
      <c r="EC28" s="77">
        <v>444.84189300000003</v>
      </c>
      <c r="ED28" s="77">
        <v>633.507882</v>
      </c>
      <c r="EE28" s="77">
        <v>656.96828000000005</v>
      </c>
      <c r="EF28" s="77">
        <v>6.6129999999999994E-2</v>
      </c>
      <c r="EG28" s="77">
        <v>0.137548</v>
      </c>
      <c r="EH28" s="77">
        <v>980.57460200000003</v>
      </c>
      <c r="EI28" s="77">
        <v>189.36888500000001</v>
      </c>
      <c r="EJ28" s="77">
        <v>414.30104399999999</v>
      </c>
      <c r="EK28" s="77">
        <v>588.53244299999994</v>
      </c>
      <c r="EL28" s="77">
        <v>605.21825799999999</v>
      </c>
      <c r="EM28" s="77">
        <v>6.3271999999999995E-2</v>
      </c>
      <c r="EN28" s="77">
        <v>0.13469200000000001</v>
      </c>
      <c r="EO28" s="77">
        <v>982.70356700000002</v>
      </c>
      <c r="EP28" s="77">
        <v>190.454567</v>
      </c>
      <c r="EQ28" s="77">
        <v>414.37212199999999</v>
      </c>
      <c r="ER28" s="77">
        <v>590.12524099999996</v>
      </c>
      <c r="ES28" s="77">
        <v>608.30716500000005</v>
      </c>
      <c r="ET28" s="77">
        <v>6.0220999999999997E-2</v>
      </c>
      <c r="EU28" s="77">
        <v>0.13164000000000001</v>
      </c>
      <c r="EV28" s="77">
        <v>946.15990299999999</v>
      </c>
      <c r="EW28" s="77">
        <v>184.95634000000001</v>
      </c>
      <c r="EX28" s="77">
        <v>399.57084800000001</v>
      </c>
      <c r="EY28" s="77">
        <v>565.53644799999995</v>
      </c>
      <c r="EZ28" s="77">
        <v>578.19895399999996</v>
      </c>
      <c r="FA28" s="77">
        <v>7.2294999999999998E-2</v>
      </c>
      <c r="FB28" s="77">
        <v>0.14371400000000001</v>
      </c>
      <c r="FC28" s="77">
        <v>1025.034574</v>
      </c>
      <c r="FD28" s="77">
        <v>200.33508399999999</v>
      </c>
      <c r="FE28" s="77">
        <v>433.25742500000001</v>
      </c>
      <c r="FF28" s="77">
        <v>612.83525999999995</v>
      </c>
      <c r="FG28" s="77">
        <v>631.63942599999996</v>
      </c>
      <c r="FH28" s="77">
        <v>6.7851999999999996E-2</v>
      </c>
      <c r="FI28" s="77">
        <v>0.13927</v>
      </c>
      <c r="FJ28" s="77">
        <v>1032.9547339999999</v>
      </c>
      <c r="FK28" s="77">
        <v>195.62905699999999</v>
      </c>
      <c r="FL28" s="77">
        <v>434.64276699999999</v>
      </c>
      <c r="FM28" s="77">
        <v>626.52631599999995</v>
      </c>
      <c r="FN28" s="77">
        <v>653.933582</v>
      </c>
      <c r="FO28" s="77">
        <v>6.3589000000000007E-2</v>
      </c>
      <c r="FP28" s="77">
        <v>0.13500699999999999</v>
      </c>
      <c r="FQ28" s="77">
        <v>971.09634900000003</v>
      </c>
      <c r="FR28" s="77">
        <v>196.78424200000001</v>
      </c>
      <c r="FS28" s="77">
        <v>413.21756800000003</v>
      </c>
      <c r="FT28" s="77">
        <v>569.59088999999994</v>
      </c>
      <c r="FU28" s="77">
        <v>573.69289900000001</v>
      </c>
      <c r="FV28" s="77">
        <v>6.5685999999999994E-2</v>
      </c>
      <c r="FW28" s="77">
        <v>0.137104</v>
      </c>
      <c r="FX28" s="77">
        <v>946.25560299999995</v>
      </c>
      <c r="FY28" s="77">
        <v>183.97715199999999</v>
      </c>
      <c r="FZ28" s="77">
        <v>400.20694700000001</v>
      </c>
      <c r="GA28" s="77">
        <v>565.914357</v>
      </c>
      <c r="GB28" s="77">
        <v>577.96025799999995</v>
      </c>
      <c r="GC28" s="77">
        <v>7.0163000000000003E-2</v>
      </c>
      <c r="GD28" s="77">
        <v>0.14158200000000001</v>
      </c>
      <c r="GE28" s="77">
        <v>1016.9052359999999</v>
      </c>
      <c r="GF28" s="77">
        <v>196.16439099999999</v>
      </c>
      <c r="GG28" s="77">
        <v>430.53860600000002</v>
      </c>
      <c r="GH28" s="77">
        <v>609.746037</v>
      </c>
      <c r="GI28" s="77">
        <v>627.93934999999999</v>
      </c>
      <c r="GJ28" s="77">
        <v>7.3428999999999994E-2</v>
      </c>
      <c r="GK28" s="77">
        <v>0.144848</v>
      </c>
      <c r="GL28" s="77">
        <v>964.59670900000003</v>
      </c>
      <c r="GM28" s="77">
        <v>188.230817</v>
      </c>
      <c r="GN28" s="77">
        <v>408.365318</v>
      </c>
      <c r="GO28" s="77">
        <v>575.81153600000005</v>
      </c>
      <c r="GP28" s="77">
        <v>588.19385999999997</v>
      </c>
      <c r="GQ28" s="77">
        <v>6.2411000000000001E-2</v>
      </c>
      <c r="GR28" s="77">
        <v>0.13383</v>
      </c>
      <c r="GS28" s="77">
        <v>937.41735700000004</v>
      </c>
      <c r="GT28" s="77">
        <v>185.15787900000001</v>
      </c>
      <c r="GU28" s="77">
        <v>397.21823000000001</v>
      </c>
      <c r="GV28" s="77">
        <v>556.63120000000004</v>
      </c>
      <c r="GW28" s="77">
        <v>564.57281999999998</v>
      </c>
      <c r="GX28" s="77">
        <v>6.2278E-2</v>
      </c>
      <c r="GY28" s="77">
        <v>0.13369700000000001</v>
      </c>
      <c r="GZ28" s="77">
        <v>973.385583</v>
      </c>
      <c r="HA28" s="77">
        <v>189.14046400000001</v>
      </c>
      <c r="HB28" s="77">
        <v>410.625179</v>
      </c>
      <c r="HC28" s="77">
        <v>583.73080300000004</v>
      </c>
      <c r="HD28" s="77">
        <v>600.39500499999997</v>
      </c>
      <c r="HE28" s="77">
        <v>7.0342000000000002E-2</v>
      </c>
      <c r="HF28" s="77">
        <v>0.141761</v>
      </c>
      <c r="HG28" s="77">
        <v>1010.027689</v>
      </c>
      <c r="HH28" s="77">
        <v>194.44829100000001</v>
      </c>
      <c r="HI28" s="77">
        <v>426.34532200000001</v>
      </c>
      <c r="HJ28" s="77">
        <v>607.53461900000002</v>
      </c>
      <c r="HK28" s="77">
        <v>628.03219200000001</v>
      </c>
      <c r="HL28" s="77">
        <v>6.4049999999999996E-2</v>
      </c>
      <c r="HM28" s="77">
        <v>0.13546900000000001</v>
      </c>
      <c r="HN28" s="77">
        <v>944.68330300000002</v>
      </c>
      <c r="HO28" s="77">
        <v>188.33563899999999</v>
      </c>
      <c r="HP28" s="77">
        <v>401.268732</v>
      </c>
      <c r="HQ28" s="77">
        <v>558.14763600000003</v>
      </c>
      <c r="HR28" s="77">
        <v>565.65050599999995</v>
      </c>
      <c r="HS28" s="77">
        <v>6.2876000000000001E-2</v>
      </c>
      <c r="HT28" s="77">
        <v>0.13198199999999999</v>
      </c>
      <c r="HU28" s="77">
        <v>925.22557600000005</v>
      </c>
      <c r="HV28" s="77">
        <v>180.93088299999999</v>
      </c>
      <c r="HW28" s="77">
        <v>391.21718099999998</v>
      </c>
      <c r="HX28" s="77">
        <v>552.37797499999999</v>
      </c>
      <c r="HY28" s="77">
        <v>564.49950899999999</v>
      </c>
      <c r="HZ28" s="77">
        <v>6.8828E-2</v>
      </c>
      <c r="IA28" s="77">
        <v>0.13759299999999999</v>
      </c>
      <c r="IB28" s="77">
        <v>1007.932457</v>
      </c>
      <c r="IC28" s="77">
        <v>198.11413400000001</v>
      </c>
      <c r="ID28" s="77">
        <v>426.70923399999998</v>
      </c>
      <c r="IE28" s="77">
        <v>600.50163099999997</v>
      </c>
      <c r="IF28" s="77">
        <v>615.71974999999998</v>
      </c>
      <c r="IG28" s="77">
        <v>8.1252000000000005E-2</v>
      </c>
      <c r="IH28" s="77">
        <v>0.152671</v>
      </c>
      <c r="II28" s="77">
        <v>1097.4786979999999</v>
      </c>
      <c r="IJ28" s="77">
        <v>211.01468199999999</v>
      </c>
      <c r="IK28" s="77">
        <v>463.96170000000001</v>
      </c>
      <c r="IL28" s="77">
        <v>660.15849600000001</v>
      </c>
      <c r="IM28" s="77">
        <v>687.208214</v>
      </c>
      <c r="IN28" s="77">
        <v>7.7559000000000003E-2</v>
      </c>
      <c r="IO28" s="77">
        <v>0.148978</v>
      </c>
      <c r="IP28" s="77">
        <v>1109.619747</v>
      </c>
      <c r="IQ28" s="77">
        <v>216.22332399999999</v>
      </c>
      <c r="IR28" s="77">
        <v>469.20147100000003</v>
      </c>
      <c r="IS28" s="77">
        <v>664.40830500000004</v>
      </c>
      <c r="IT28" s="77">
        <v>690.54637400000001</v>
      </c>
      <c r="IU28" s="77">
        <v>7.0379999999999998E-2</v>
      </c>
      <c r="IV28" s="77">
        <v>0.14179900000000001</v>
      </c>
      <c r="IW28" s="77">
        <v>1012.220828</v>
      </c>
      <c r="IX28" s="77">
        <v>196.21122199999999</v>
      </c>
      <c r="IY28" s="77">
        <v>427.56167599999998</v>
      </c>
      <c r="IZ28" s="77">
        <v>607.117525</v>
      </c>
      <c r="JA28" s="77">
        <v>626.38512300000002</v>
      </c>
      <c r="JB28" s="77">
        <v>6.7665000000000003E-2</v>
      </c>
      <c r="JC28" s="77">
        <v>0.13908400000000001</v>
      </c>
      <c r="JD28" s="77">
        <v>1001.431816</v>
      </c>
      <c r="JE28" s="77">
        <v>191.95612399999999</v>
      </c>
      <c r="JF28" s="77">
        <v>422.18361599999997</v>
      </c>
      <c r="JG28" s="77">
        <v>603.82560899999999</v>
      </c>
      <c r="JH28" s="77">
        <v>625.17398200000002</v>
      </c>
      <c r="JI28" s="77">
        <v>6.5411999999999998E-2</v>
      </c>
      <c r="JJ28" s="77">
        <v>0.13683100000000001</v>
      </c>
      <c r="JK28" s="77">
        <v>979.27511800000002</v>
      </c>
      <c r="JL28" s="77">
        <v>188.65698900000001</v>
      </c>
      <c r="JM28" s="77">
        <v>413.427887</v>
      </c>
      <c r="JN28" s="77">
        <v>588.61717199999998</v>
      </c>
      <c r="JO28" s="77">
        <v>606.14433799999995</v>
      </c>
      <c r="JP28" s="77">
        <v>6.5055000000000002E-2</v>
      </c>
      <c r="JQ28" s="77">
        <v>0.13647400000000001</v>
      </c>
      <c r="JR28" s="77">
        <v>978.90299200000004</v>
      </c>
      <c r="JS28" s="77">
        <v>196.16767899999999</v>
      </c>
      <c r="JT28" s="77">
        <v>415.64381300000002</v>
      </c>
      <c r="JU28" s="77">
        <v>577.60389499999997</v>
      </c>
      <c r="JV28" s="77">
        <v>585.513014</v>
      </c>
      <c r="JW28" s="77">
        <v>2.2631350000000001</v>
      </c>
      <c r="JX28" s="77">
        <v>2.3916840000000001</v>
      </c>
      <c r="JY28" s="77">
        <v>1725.0555489999999</v>
      </c>
      <c r="JZ28" s="77">
        <v>354.14207299999998</v>
      </c>
      <c r="KA28" s="77">
        <v>628.74652800000001</v>
      </c>
      <c r="KB28" s="77">
        <v>2.2433830000000001</v>
      </c>
      <c r="KC28" s="77">
        <v>2.1259160000000001</v>
      </c>
      <c r="KD28" s="77">
        <v>379.64362299999999</v>
      </c>
      <c r="KE28" s="77">
        <v>379.64355599999999</v>
      </c>
      <c r="KF28" s="77">
        <v>388.90722699999998</v>
      </c>
      <c r="KG28" s="77">
        <v>490.130605</v>
      </c>
      <c r="KH28" s="77">
        <v>409.32895600000001</v>
      </c>
      <c r="KI28" s="77">
        <v>392.10132499999997</v>
      </c>
      <c r="KJ28" s="77">
        <v>383.956301</v>
      </c>
      <c r="KK28" s="77">
        <v>387.74519700000002</v>
      </c>
      <c r="KL28" s="77">
        <v>387.74512900000002</v>
      </c>
      <c r="KM28" s="77">
        <v>405.57634100000001</v>
      </c>
      <c r="KN28" s="77">
        <v>513.30976099999998</v>
      </c>
      <c r="KO28" s="77">
        <v>427.38765000000001</v>
      </c>
      <c r="KP28" s="77">
        <v>408.65331099999997</v>
      </c>
      <c r="KQ28" s="77">
        <v>400.39568100000002</v>
      </c>
      <c r="KR28" s="77">
        <v>367.87876499999999</v>
      </c>
      <c r="KS28" s="77">
        <v>367.87870199999998</v>
      </c>
      <c r="KT28" s="77">
        <v>377.15952199999998</v>
      </c>
      <c r="KU28" s="77">
        <v>474.64554399999997</v>
      </c>
      <c r="KV28" s="77">
        <v>396.85765700000002</v>
      </c>
      <c r="KW28" s="77">
        <v>380.29121400000002</v>
      </c>
      <c r="KX28" s="77">
        <v>372.38550199999997</v>
      </c>
      <c r="KY28" s="77">
        <v>368.67774500000002</v>
      </c>
      <c r="KZ28" s="77">
        <v>368.67767600000002</v>
      </c>
      <c r="LA28" s="77">
        <v>381.94287400000002</v>
      </c>
      <c r="LB28" s="77">
        <v>480.258715</v>
      </c>
      <c r="LC28" s="77">
        <v>401.72895699999998</v>
      </c>
      <c r="LD28" s="77">
        <v>385.21554700000002</v>
      </c>
      <c r="LE28" s="77">
        <v>377.08541600000001</v>
      </c>
      <c r="LF28" s="77">
        <v>382.14853299999999</v>
      </c>
      <c r="LG28" s="77">
        <v>382.14846399999999</v>
      </c>
      <c r="LH28" s="77">
        <v>398.67946599999999</v>
      </c>
      <c r="LI28" s="77">
        <v>503.15742</v>
      </c>
      <c r="LJ28" s="77">
        <v>419.79802899999999</v>
      </c>
      <c r="LK28" s="77">
        <v>401.81128200000001</v>
      </c>
      <c r="LL28" s="77">
        <v>393.61499199999997</v>
      </c>
      <c r="LM28" s="77">
        <v>380.06787800000001</v>
      </c>
      <c r="LN28" s="77">
        <v>380.06780500000002</v>
      </c>
      <c r="LO28" s="77">
        <v>390.44040200000001</v>
      </c>
      <c r="LP28" s="77">
        <v>492.39223199999998</v>
      </c>
      <c r="LQ28" s="77">
        <v>411.018373</v>
      </c>
      <c r="LR28" s="77">
        <v>393.62014299999998</v>
      </c>
      <c r="LS28" s="77">
        <v>385.46419900000001</v>
      </c>
      <c r="LT28" s="77">
        <v>366.48794500000002</v>
      </c>
      <c r="LU28" s="77">
        <v>366.48788000000002</v>
      </c>
      <c r="LV28" s="77">
        <v>379.486557</v>
      </c>
      <c r="LW28" s="77">
        <v>477.96391599999998</v>
      </c>
      <c r="LX28" s="77">
        <v>399.39170300000001</v>
      </c>
      <c r="LY28" s="77">
        <v>382.60850900000003</v>
      </c>
      <c r="LZ28" s="77">
        <v>374.674781</v>
      </c>
      <c r="MA28" s="77">
        <v>367.858339</v>
      </c>
      <c r="MB28" s="77">
        <v>367.858273</v>
      </c>
      <c r="MC28" s="77">
        <v>397.83943099999999</v>
      </c>
      <c r="MD28" s="77">
        <v>503.06018</v>
      </c>
      <c r="ME28" s="77">
        <v>419.14148399999999</v>
      </c>
      <c r="MF28" s="77">
        <v>400.91425800000002</v>
      </c>
      <c r="MG28" s="77">
        <v>392.76389599999999</v>
      </c>
      <c r="MH28" s="77">
        <v>418.95173799999998</v>
      </c>
      <c r="MI28" s="77">
        <v>418.95166499999999</v>
      </c>
      <c r="MJ28" s="77">
        <v>413.35003699999999</v>
      </c>
      <c r="MK28" s="77">
        <v>523.30745999999999</v>
      </c>
      <c r="ML28" s="77">
        <v>435.57578899999999</v>
      </c>
      <c r="MM28" s="77">
        <v>416.49234899999999</v>
      </c>
      <c r="MN28" s="77">
        <v>408.05428799999999</v>
      </c>
      <c r="MO28" s="77">
        <v>383.07129500000002</v>
      </c>
      <c r="MP28" s="77">
        <v>383.07122700000002</v>
      </c>
      <c r="MQ28" s="77">
        <v>396.06699500000002</v>
      </c>
      <c r="MR28" s="77">
        <v>501.39192700000001</v>
      </c>
      <c r="MS28" s="77">
        <v>417.52230600000001</v>
      </c>
      <c r="MT28" s="77">
        <v>398.91089699999998</v>
      </c>
      <c r="MU28" s="77">
        <v>391.06733500000001</v>
      </c>
      <c r="MV28" s="77">
        <v>388.500045</v>
      </c>
      <c r="MW28" s="77">
        <v>388.49997500000001</v>
      </c>
      <c r="MX28" s="77">
        <v>411.84309999999999</v>
      </c>
      <c r="MY28" s="77">
        <v>521.79086199999995</v>
      </c>
      <c r="MZ28" s="77">
        <v>434.11429099999998</v>
      </c>
      <c r="NA28" s="77">
        <v>414.90261199999998</v>
      </c>
      <c r="NB28" s="77">
        <v>406.57653399999998</v>
      </c>
      <c r="NC28" s="77">
        <v>379.69430499999999</v>
      </c>
      <c r="ND28" s="77">
        <v>379.69422200000002</v>
      </c>
      <c r="NE28" s="77">
        <v>384.53532100000001</v>
      </c>
      <c r="NF28" s="77">
        <v>483.77389399999998</v>
      </c>
      <c r="NG28" s="77">
        <v>404.509908</v>
      </c>
      <c r="NH28" s="77">
        <v>387.80615699999998</v>
      </c>
      <c r="NI28" s="77">
        <v>379.64017699999999</v>
      </c>
      <c r="NJ28" s="77">
        <v>363.37633399999999</v>
      </c>
      <c r="NK28" s="77">
        <v>363.37626999999998</v>
      </c>
      <c r="NL28" s="77">
        <v>376.381643</v>
      </c>
      <c r="NM28" s="77">
        <v>473.44596999999999</v>
      </c>
      <c r="NN28" s="77">
        <v>395.96498500000001</v>
      </c>
      <c r="NO28" s="77">
        <v>379.56429200000002</v>
      </c>
      <c r="NP28" s="77">
        <v>371.60746399999999</v>
      </c>
      <c r="NQ28" s="77">
        <v>404.37230799999998</v>
      </c>
      <c r="NR28" s="77">
        <v>404.37223599999999</v>
      </c>
      <c r="NS28" s="77">
        <v>412.80497200000002</v>
      </c>
      <c r="NT28" s="77">
        <v>523.13498900000002</v>
      </c>
      <c r="NU28" s="77">
        <v>435.18488500000001</v>
      </c>
      <c r="NV28" s="77">
        <v>415.81016299999999</v>
      </c>
      <c r="NW28" s="77">
        <v>407.54139300000003</v>
      </c>
      <c r="NX28" s="77">
        <v>413.66594900000001</v>
      </c>
      <c r="NY28" s="77">
        <v>413.66588100000001</v>
      </c>
      <c r="NZ28" s="77">
        <v>433.72440599999999</v>
      </c>
      <c r="OA28" s="77">
        <v>549.08058200000005</v>
      </c>
      <c r="OB28" s="77">
        <v>456.93700999999999</v>
      </c>
      <c r="OC28" s="77">
        <v>437.05906800000002</v>
      </c>
      <c r="OD28" s="77">
        <v>428.13760400000001</v>
      </c>
      <c r="OE28" s="77">
        <v>372.14322600000003</v>
      </c>
      <c r="OF28" s="77">
        <v>372.14315900000003</v>
      </c>
      <c r="OG28" s="77">
        <v>385.550546</v>
      </c>
      <c r="OH28" s="77">
        <v>484.85758900000002</v>
      </c>
      <c r="OI28" s="77">
        <v>405.51690200000002</v>
      </c>
      <c r="OJ28" s="77">
        <v>388.86009899999999</v>
      </c>
      <c r="OK28" s="77">
        <v>380.63909699999999</v>
      </c>
      <c r="OL28" s="77">
        <v>372.11099899999999</v>
      </c>
      <c r="OM28" s="77">
        <v>372.11093099999999</v>
      </c>
      <c r="ON28" s="77">
        <v>414.05215299999998</v>
      </c>
      <c r="OO28" s="77">
        <v>523.51027199999999</v>
      </c>
      <c r="OP28" s="77">
        <v>436.12645800000001</v>
      </c>
      <c r="OQ28" s="77">
        <v>417.281947</v>
      </c>
      <c r="OR28" s="77">
        <v>408.74677000000003</v>
      </c>
      <c r="OS28" s="77">
        <v>408.94809700000002</v>
      </c>
      <c r="OT28" s="77">
        <v>408.94799499999999</v>
      </c>
      <c r="OU28" s="77">
        <v>393.39484499999998</v>
      </c>
      <c r="OV28" s="77">
        <v>495.59080599999999</v>
      </c>
      <c r="OW28" s="77">
        <v>413.95671800000002</v>
      </c>
      <c r="OX28" s="77">
        <v>396.68939</v>
      </c>
      <c r="OY28" s="77">
        <v>388.36863099999999</v>
      </c>
      <c r="OZ28" s="77">
        <v>362.32695699999999</v>
      </c>
      <c r="PA28" s="77">
        <v>362.32688100000001</v>
      </c>
      <c r="PB28" s="77">
        <v>375.63018399999999</v>
      </c>
      <c r="PC28" s="77">
        <v>470.57503100000002</v>
      </c>
      <c r="PD28" s="77">
        <v>394.64177899999999</v>
      </c>
      <c r="PE28" s="77">
        <v>379.05952300000001</v>
      </c>
      <c r="PF28" s="77">
        <v>370.85830700000002</v>
      </c>
      <c r="PG28" s="77">
        <v>416.87677100000002</v>
      </c>
      <c r="PH28" s="77">
        <v>416.87669499999998</v>
      </c>
      <c r="PI28" s="77">
        <v>421.34255200000001</v>
      </c>
      <c r="PJ28" s="77">
        <v>533.18278999999995</v>
      </c>
      <c r="PK28" s="77">
        <v>443.88593100000003</v>
      </c>
      <c r="PL28" s="77">
        <v>424.59836899999999</v>
      </c>
      <c r="PM28" s="77">
        <v>415.92917</v>
      </c>
      <c r="PN28" s="77">
        <v>414.47333400000002</v>
      </c>
      <c r="PO28" s="77">
        <v>414.47326199999998</v>
      </c>
      <c r="PP28" s="77">
        <v>439.18518</v>
      </c>
      <c r="PQ28" s="77">
        <v>559.57707000000005</v>
      </c>
      <c r="PR28" s="77">
        <v>463.68838399999999</v>
      </c>
      <c r="PS28" s="77">
        <v>442.05206900000002</v>
      </c>
      <c r="PT28" s="77">
        <v>433.55170199999998</v>
      </c>
      <c r="PU28" s="77">
        <v>396.96009099999998</v>
      </c>
      <c r="PV28" s="77">
        <v>396.96002199999998</v>
      </c>
      <c r="PW28" s="77">
        <v>411.199229</v>
      </c>
      <c r="PX28" s="77">
        <v>518.79759100000001</v>
      </c>
      <c r="PY28" s="77">
        <v>432.78414199999997</v>
      </c>
      <c r="PZ28" s="77">
        <v>414.62409500000001</v>
      </c>
      <c r="QA28" s="77">
        <v>405.90332000000001</v>
      </c>
      <c r="QB28" s="77">
        <v>388.79206199999999</v>
      </c>
      <c r="QC28" s="77">
        <v>388.79199199999999</v>
      </c>
      <c r="QD28" s="77">
        <v>402.94773099999998</v>
      </c>
      <c r="QE28" s="77">
        <v>507.28605700000003</v>
      </c>
      <c r="QF28" s="77">
        <v>423.82084400000002</v>
      </c>
      <c r="QG28" s="77">
        <v>406.45905299999998</v>
      </c>
      <c r="QH28" s="77">
        <v>397.75720100000001</v>
      </c>
      <c r="QI28" s="77">
        <v>352.48584599999998</v>
      </c>
      <c r="QJ28" s="77">
        <v>352.48577899999998</v>
      </c>
      <c r="QK28" s="77">
        <v>364.666225</v>
      </c>
      <c r="QL28" s="77">
        <v>459.817522</v>
      </c>
      <c r="QM28" s="77">
        <v>384.07198399999999</v>
      </c>
      <c r="QN28" s="77">
        <v>367.47974299999998</v>
      </c>
      <c r="QO28" s="77">
        <v>360.09970099999998</v>
      </c>
      <c r="QP28" s="77">
        <v>368.93744900000002</v>
      </c>
      <c r="QQ28" s="77">
        <v>368.93738200000001</v>
      </c>
      <c r="QR28" s="77">
        <v>382.22938900000003</v>
      </c>
      <c r="QS28" s="77">
        <v>480.70842299999998</v>
      </c>
    </row>
    <row r="29" spans="6:461" x14ac:dyDescent="0.25">
      <c r="F29" s="76" t="str">
        <f xml:space="preserve"> _xll.EPMOlapMemberO("[PRDDESCR].[].[HELGAS GFREE WHOLEM 500G]","","HELGAS GFREE WHOLEM 500G","","000")</f>
        <v>HELGAS GFREE WHOLEM 500G</v>
      </c>
      <c r="G29" s="76" t="str">
        <f xml:space="preserve"> _xll.EPMOlapMemberO("[PRDID].[].[168848]","","168848","","000")</f>
        <v>168848</v>
      </c>
      <c r="H29" s="76" t="str">
        <f xml:space="preserve"> _xll.EPMOlapMemberO("[LOCID].[].[6130]","","6130","","000")</f>
        <v>6130</v>
      </c>
      <c r="I29" s="76" t="str">
        <f xml:space="preserve"> _xll.EPMOlapMemberO("[LOCDESCR].[].[QBA-Canning Vale]","","QBA-Canning Vale","","000")</f>
        <v>QBA-Canning Vale</v>
      </c>
      <c r="J29" s="76" t="str">
        <f xml:space="preserve"> _xll.EPMOlapMemberO("[KEY_FIGURES].[].[ZGFAPPROVEDFCSTQTY]","","Approved Forecast","","000")</f>
        <v>Approved Forecast</v>
      </c>
      <c r="K29" s="77">
        <v>56.562190999999999</v>
      </c>
      <c r="L29" s="77">
        <v>152.57008300000001</v>
      </c>
      <c r="M29" s="77">
        <v>79.553566000000004</v>
      </c>
      <c r="N29" s="77">
        <v>136.155382</v>
      </c>
      <c r="O29" s="77">
        <v>105.56193500000001</v>
      </c>
      <c r="P29" s="77">
        <v>18.45879</v>
      </c>
      <c r="Q29" s="77">
        <v>254.43141700000001</v>
      </c>
      <c r="R29" s="77">
        <v>51.947510000000001</v>
      </c>
      <c r="S29" s="77">
        <v>151.339844</v>
      </c>
      <c r="T29" s="77">
        <v>75.548683999999994</v>
      </c>
      <c r="U29" s="77">
        <v>152.15813399999999</v>
      </c>
      <c r="V29" s="77">
        <v>101.69663199999999</v>
      </c>
      <c r="W29" s="77">
        <v>19.825762000000001</v>
      </c>
      <c r="X29" s="77">
        <v>254.90616199999999</v>
      </c>
      <c r="Y29" s="77">
        <v>54.015756000000003</v>
      </c>
      <c r="Z29" s="77">
        <v>156.58789200000001</v>
      </c>
      <c r="AA29" s="77">
        <v>81.518287000000001</v>
      </c>
      <c r="AB29" s="77">
        <v>142.13386700000001</v>
      </c>
      <c r="AC29" s="77">
        <v>102.94294600000001</v>
      </c>
      <c r="AD29" s="77">
        <v>21.746027000000002</v>
      </c>
      <c r="AE29" s="77"/>
      <c r="AF29" s="77"/>
      <c r="AG29" s="77"/>
      <c r="AH29" s="77"/>
      <c r="AI29" s="77"/>
      <c r="AJ29" s="77"/>
      <c r="AK29" s="77"/>
      <c r="AL29" s="77">
        <v>265.96910800000001</v>
      </c>
      <c r="AM29" s="77">
        <v>51.524819000000001</v>
      </c>
      <c r="AN29" s="77">
        <v>159.14210800000001</v>
      </c>
      <c r="AO29" s="77">
        <v>77.146896999999996</v>
      </c>
      <c r="AP29" s="77">
        <v>145.65138899999999</v>
      </c>
      <c r="AQ29" s="77">
        <v>104.815792</v>
      </c>
      <c r="AR29" s="77">
        <v>21.865739000000001</v>
      </c>
      <c r="AS29" s="77">
        <v>267.50383699999998</v>
      </c>
      <c r="AT29" s="77">
        <v>51.244402999999998</v>
      </c>
      <c r="AU29" s="77">
        <v>159.82228599999999</v>
      </c>
      <c r="AV29" s="77">
        <v>76.632506000000006</v>
      </c>
      <c r="AW29" s="77">
        <v>146.363462</v>
      </c>
      <c r="AX29" s="77">
        <v>104.27703</v>
      </c>
      <c r="AY29" s="77">
        <v>21.636240999999998</v>
      </c>
      <c r="AZ29" s="77">
        <v>253.931995</v>
      </c>
      <c r="BA29" s="77">
        <v>49.422291999999999</v>
      </c>
      <c r="BB29" s="77">
        <v>152.153481</v>
      </c>
      <c r="BC29" s="77">
        <v>74.174567999999994</v>
      </c>
      <c r="BD29" s="77">
        <v>139.17482200000001</v>
      </c>
      <c r="BE29" s="77">
        <v>100.479784</v>
      </c>
      <c r="BF29" s="77">
        <v>21.195414</v>
      </c>
      <c r="BG29" s="77">
        <v>266.98639700000001</v>
      </c>
      <c r="BH29" s="77">
        <v>51.605018000000001</v>
      </c>
      <c r="BI29" s="77">
        <v>156.276872</v>
      </c>
      <c r="BJ29" s="77">
        <v>74.986656999999994</v>
      </c>
      <c r="BK29" s="77">
        <v>143.10626999999999</v>
      </c>
      <c r="BL29" s="77">
        <v>101.99928800000001</v>
      </c>
      <c r="BM29" s="77">
        <v>21.193608999999999</v>
      </c>
      <c r="BN29" s="77">
        <v>271.63227799999999</v>
      </c>
      <c r="BO29" s="77">
        <v>52.987082999999998</v>
      </c>
      <c r="BP29" s="77">
        <v>162.06728000000001</v>
      </c>
      <c r="BQ29" s="77">
        <v>79.060101000000003</v>
      </c>
      <c r="BR29" s="77">
        <v>148.23282800000001</v>
      </c>
      <c r="BS29" s="77">
        <v>107.060495</v>
      </c>
      <c r="BT29" s="77">
        <v>22.613116000000002</v>
      </c>
      <c r="BU29" s="77">
        <v>263.06912399999999</v>
      </c>
      <c r="BV29" s="77">
        <v>50.546075000000002</v>
      </c>
      <c r="BW29" s="77">
        <v>161.822227</v>
      </c>
      <c r="BX29" s="77">
        <v>78.822256999999993</v>
      </c>
      <c r="BY29" s="77">
        <v>147.959586</v>
      </c>
      <c r="BZ29" s="77">
        <v>106.38869800000001</v>
      </c>
      <c r="CA29" s="77">
        <v>22.756036000000002</v>
      </c>
      <c r="CB29" s="77">
        <v>257.77196700000002</v>
      </c>
      <c r="CC29" s="77">
        <v>51.203147999999999</v>
      </c>
      <c r="CD29" s="77">
        <v>155.417518</v>
      </c>
      <c r="CE29" s="77">
        <v>77.635452999999998</v>
      </c>
      <c r="CF29" s="77">
        <v>141.798811</v>
      </c>
      <c r="CG29" s="77">
        <v>103.836387</v>
      </c>
      <c r="CH29" s="77">
        <v>22.954523999999999</v>
      </c>
      <c r="CI29" s="77">
        <v>236.65569099999999</v>
      </c>
      <c r="CJ29" s="77">
        <v>46.262971</v>
      </c>
      <c r="CK29" s="77">
        <v>142.24342100000001</v>
      </c>
      <c r="CL29" s="77">
        <v>69.880441000000005</v>
      </c>
      <c r="CM29" s="77">
        <v>129.94422</v>
      </c>
      <c r="CN29" s="77">
        <v>93.906705000000002</v>
      </c>
      <c r="CO29" s="77">
        <v>20.413145</v>
      </c>
      <c r="CP29" s="77">
        <v>334.58704299999999</v>
      </c>
      <c r="CQ29" s="77">
        <v>61.848087999999997</v>
      </c>
      <c r="CR29" s="77">
        <v>197.43185399999999</v>
      </c>
      <c r="CS29" s="77">
        <v>90.328441999999995</v>
      </c>
      <c r="CT29" s="77">
        <v>181.735904</v>
      </c>
      <c r="CU29" s="77">
        <v>126.578472</v>
      </c>
      <c r="CV29" s="77">
        <v>23.37312</v>
      </c>
      <c r="CW29" s="77">
        <v>272.96245199999998</v>
      </c>
      <c r="CX29" s="77">
        <v>52.871394000000002</v>
      </c>
      <c r="CY29" s="77">
        <v>163.616983</v>
      </c>
      <c r="CZ29" s="77">
        <v>79.502352999999999</v>
      </c>
      <c r="DA29" s="77">
        <v>149.63755900000001</v>
      </c>
      <c r="DB29" s="77">
        <v>107.441271</v>
      </c>
      <c r="DC29" s="77">
        <v>22.874431999999999</v>
      </c>
      <c r="DD29" s="77">
        <v>256.780529</v>
      </c>
      <c r="DE29" s="77">
        <v>50.382086000000001</v>
      </c>
      <c r="DF29" s="77">
        <v>163.531834</v>
      </c>
      <c r="DG29" s="77">
        <v>82.353553000000005</v>
      </c>
      <c r="DH29" s="77">
        <v>149.07362900000001</v>
      </c>
      <c r="DI29" s="77">
        <v>109.68477</v>
      </c>
      <c r="DJ29" s="77">
        <v>24.616768</v>
      </c>
      <c r="DK29" s="77">
        <v>280.70201600000001</v>
      </c>
      <c r="DL29" s="77">
        <v>55.222014999999999</v>
      </c>
      <c r="DM29" s="77">
        <v>159.730086</v>
      </c>
      <c r="DN29" s="77">
        <v>77.231044999999995</v>
      </c>
      <c r="DO29" s="77">
        <v>146.155891</v>
      </c>
      <c r="DP29" s="77">
        <v>104.63802099999999</v>
      </c>
      <c r="DQ29" s="77">
        <v>22.067070000000001</v>
      </c>
      <c r="DR29" s="77">
        <v>286.94794200000001</v>
      </c>
      <c r="DS29" s="77">
        <v>55.243606999999997</v>
      </c>
      <c r="DT29" s="77">
        <v>171.37307899999999</v>
      </c>
      <c r="DU29" s="77">
        <v>82.450605999999993</v>
      </c>
      <c r="DV29" s="77">
        <v>156.966328</v>
      </c>
      <c r="DW29" s="77">
        <v>112.46969900000001</v>
      </c>
      <c r="DX29" s="77">
        <v>23.109797</v>
      </c>
      <c r="DY29" s="77">
        <v>264.49517300000002</v>
      </c>
      <c r="DZ29" s="77">
        <v>52.497047000000002</v>
      </c>
      <c r="EA29" s="77">
        <v>155.573937</v>
      </c>
      <c r="EB29" s="77">
        <v>77.023680999999996</v>
      </c>
      <c r="EC29" s="77">
        <v>142.008411</v>
      </c>
      <c r="ED29" s="77">
        <v>103.096794</v>
      </c>
      <c r="EE29" s="77">
        <v>22.736127</v>
      </c>
      <c r="EF29" s="77">
        <v>263.469111</v>
      </c>
      <c r="EG29" s="77">
        <v>51.494979000000001</v>
      </c>
      <c r="EH29" s="77">
        <v>162.11121</v>
      </c>
      <c r="EI29" s="77">
        <v>80.246262999999999</v>
      </c>
      <c r="EJ29" s="77">
        <v>148.047607</v>
      </c>
      <c r="EK29" s="77">
        <v>107.837615</v>
      </c>
      <c r="EL29" s="77">
        <v>23.431784</v>
      </c>
      <c r="EM29" s="77">
        <v>275.42477100000002</v>
      </c>
      <c r="EN29" s="77">
        <v>53.088256000000001</v>
      </c>
      <c r="EO29" s="77">
        <v>164.85422800000001</v>
      </c>
      <c r="EP29" s="77">
        <v>79.634970999999993</v>
      </c>
      <c r="EQ29" s="77">
        <v>150.85903500000001</v>
      </c>
      <c r="ER29" s="77">
        <v>107.946888</v>
      </c>
      <c r="ES29" s="77">
        <v>22.724316000000002</v>
      </c>
      <c r="ET29" s="77">
        <v>273.04560900000001</v>
      </c>
      <c r="EU29" s="77">
        <v>52.643535999999997</v>
      </c>
      <c r="EV29" s="77">
        <v>163.14143899999999</v>
      </c>
      <c r="EW29" s="77">
        <v>78.628951999999998</v>
      </c>
      <c r="EX29" s="77">
        <v>149.39985200000001</v>
      </c>
      <c r="EY29" s="77">
        <v>107.156335</v>
      </c>
      <c r="EZ29" s="77">
        <v>22.096549</v>
      </c>
      <c r="FA29" s="77">
        <v>300.89446700000002</v>
      </c>
      <c r="FB29" s="77">
        <v>57.853065000000001</v>
      </c>
      <c r="FC29" s="77">
        <v>173.86479199999999</v>
      </c>
      <c r="FD29" s="77">
        <v>82.453704000000002</v>
      </c>
      <c r="FE29" s="77">
        <v>159.39794000000001</v>
      </c>
      <c r="FF29" s="77">
        <v>112.84143400000001</v>
      </c>
      <c r="FG29" s="77">
        <v>22.908151</v>
      </c>
      <c r="FH29" s="77">
        <v>288.19442099999998</v>
      </c>
      <c r="FI29" s="77">
        <v>55.250579000000002</v>
      </c>
      <c r="FJ29" s="77">
        <v>177.99949100000001</v>
      </c>
      <c r="FK29" s="77">
        <v>86.500629000000004</v>
      </c>
      <c r="FL29" s="77">
        <v>162.86905899999999</v>
      </c>
      <c r="FM29" s="77">
        <v>117.372094</v>
      </c>
      <c r="FN29" s="77">
        <v>24.604727</v>
      </c>
      <c r="FO29" s="77">
        <v>303.04288100000002</v>
      </c>
      <c r="FP29" s="77">
        <v>58.174854000000003</v>
      </c>
      <c r="FQ29" s="77">
        <v>187.70248599999999</v>
      </c>
      <c r="FR29" s="77">
        <v>89.005297999999996</v>
      </c>
      <c r="FS29" s="77">
        <v>172.08619999999999</v>
      </c>
      <c r="FT29" s="77">
        <v>121.81512499999999</v>
      </c>
      <c r="FU29" s="77">
        <v>24.723866000000001</v>
      </c>
      <c r="FV29" s="77">
        <v>313.15007600000001</v>
      </c>
      <c r="FW29" s="77">
        <v>60.074663000000001</v>
      </c>
      <c r="FX29" s="77">
        <v>180.39144999999999</v>
      </c>
      <c r="FY29" s="77">
        <v>87.581013999999996</v>
      </c>
      <c r="FZ29" s="77">
        <v>165.073837</v>
      </c>
      <c r="GA29" s="77">
        <v>118.89689799999999</v>
      </c>
      <c r="GB29" s="77">
        <v>24.878257000000001</v>
      </c>
      <c r="GC29" s="77">
        <v>288.01460600000001</v>
      </c>
      <c r="GD29" s="77">
        <v>56.444149000000003</v>
      </c>
      <c r="GE29" s="77">
        <v>186.203014</v>
      </c>
      <c r="GF29" s="77">
        <v>94.328987999999995</v>
      </c>
      <c r="GG29" s="77">
        <v>169.55735300000001</v>
      </c>
      <c r="GH29" s="77">
        <v>124.797781</v>
      </c>
      <c r="GI29" s="77">
        <v>28.689361999999999</v>
      </c>
      <c r="GJ29" s="77">
        <v>329.522513</v>
      </c>
      <c r="GK29" s="77">
        <v>65.899244999999993</v>
      </c>
      <c r="GL29" s="77">
        <v>185.57145499999999</v>
      </c>
      <c r="GM29" s="77">
        <v>90.896720000000002</v>
      </c>
      <c r="GN29" s="77">
        <v>169.658928</v>
      </c>
      <c r="GO29" s="77">
        <v>122.825363</v>
      </c>
      <c r="GP29" s="77">
        <v>26.151278999999999</v>
      </c>
      <c r="GQ29" s="77">
        <v>305.93441000000001</v>
      </c>
      <c r="GR29" s="77">
        <v>59.329377999999998</v>
      </c>
      <c r="GS29" s="77">
        <v>183.44641799999999</v>
      </c>
      <c r="GT29" s="77">
        <v>89.266329999999996</v>
      </c>
      <c r="GU29" s="77">
        <v>167.74833899999999</v>
      </c>
      <c r="GV29" s="77">
        <v>120.547094</v>
      </c>
      <c r="GW29" s="77">
        <v>25.735572000000001</v>
      </c>
      <c r="GX29" s="77">
        <v>288.42474700000002</v>
      </c>
      <c r="GY29" s="77">
        <v>55.748902000000001</v>
      </c>
      <c r="GZ29" s="77">
        <v>172.81496300000001</v>
      </c>
      <c r="HA29" s="77">
        <v>83.619928000000002</v>
      </c>
      <c r="HB29" s="77">
        <v>158.19521399999999</v>
      </c>
      <c r="HC29" s="77">
        <v>113.72150499999999</v>
      </c>
      <c r="HD29" s="77">
        <v>23.636104</v>
      </c>
      <c r="HE29" s="77">
        <v>309.63571999999999</v>
      </c>
      <c r="HF29" s="77">
        <v>61.193838999999997</v>
      </c>
      <c r="HG29" s="77">
        <v>186.30264299999999</v>
      </c>
      <c r="HH29" s="77">
        <v>92.635313999999994</v>
      </c>
      <c r="HI29" s="77">
        <v>169.98163600000001</v>
      </c>
      <c r="HJ29" s="77">
        <v>123.721271</v>
      </c>
      <c r="HK29" s="77">
        <v>27.501529999999999</v>
      </c>
      <c r="HL29" s="77">
        <v>315.67352899999997</v>
      </c>
      <c r="HM29" s="77">
        <v>60.708258999999998</v>
      </c>
      <c r="HN29" s="77">
        <v>199.92898299999999</v>
      </c>
      <c r="HO29" s="77">
        <v>93.968919</v>
      </c>
      <c r="HP29" s="77">
        <v>183.551332</v>
      </c>
      <c r="HQ29" s="77">
        <v>129.78411500000001</v>
      </c>
      <c r="HR29" s="77">
        <v>25.411535000000001</v>
      </c>
      <c r="HS29" s="77">
        <v>330.61322799999999</v>
      </c>
      <c r="HT29" s="77">
        <v>60.143022999999999</v>
      </c>
      <c r="HU29" s="77">
        <v>182.566123</v>
      </c>
      <c r="HV29" s="77">
        <v>84.012397000000007</v>
      </c>
      <c r="HW29" s="77">
        <v>167.86625599999999</v>
      </c>
      <c r="HX29" s="77">
        <v>116.80550700000001</v>
      </c>
      <c r="HY29" s="77">
        <v>22.283242999999999</v>
      </c>
      <c r="HZ29" s="77">
        <v>191.03598400000001</v>
      </c>
      <c r="IA29" s="77">
        <v>40.983877999999997</v>
      </c>
      <c r="IB29" s="77">
        <v>117.37165400000001</v>
      </c>
      <c r="IC29" s="77">
        <v>63.967771999999997</v>
      </c>
      <c r="ID29" s="77">
        <v>106.054422</v>
      </c>
      <c r="IE29" s="77">
        <v>81.846096000000003</v>
      </c>
      <c r="IF29" s="77">
        <v>21.058983999999999</v>
      </c>
      <c r="IG29" s="77">
        <v>267.28243400000002</v>
      </c>
      <c r="IH29" s="77">
        <v>51.303524000000003</v>
      </c>
      <c r="II29" s="77">
        <v>160.36072300000001</v>
      </c>
      <c r="IJ29" s="77">
        <v>77.024975999999995</v>
      </c>
      <c r="IK29" s="77">
        <v>153.79177200000001</v>
      </c>
      <c r="IL29" s="77">
        <v>104.717651</v>
      </c>
      <c r="IM29" s="77">
        <v>21.901775000000001</v>
      </c>
      <c r="IN29" s="77">
        <v>354.47489000000002</v>
      </c>
      <c r="IO29" s="77">
        <v>64.399859000000006</v>
      </c>
      <c r="IP29" s="77">
        <v>212.85733300000001</v>
      </c>
      <c r="IQ29" s="77">
        <v>94.517433999999994</v>
      </c>
      <c r="IR29" s="77">
        <v>198.089823</v>
      </c>
      <c r="IS29" s="77">
        <v>134.625925</v>
      </c>
      <c r="IT29" s="77">
        <v>23.220942000000001</v>
      </c>
      <c r="IU29" s="77">
        <v>312.74238600000001</v>
      </c>
      <c r="IV29" s="77">
        <v>58.832976000000002</v>
      </c>
      <c r="IW29" s="77">
        <v>180.93461400000001</v>
      </c>
      <c r="IX29" s="77">
        <v>85.198083999999994</v>
      </c>
      <c r="IY29" s="77">
        <v>167.47635099999999</v>
      </c>
      <c r="IZ29" s="77">
        <v>117.031256</v>
      </c>
      <c r="JA29" s="77">
        <v>23.441229</v>
      </c>
      <c r="JB29" s="77">
        <v>280.86704900000001</v>
      </c>
      <c r="JC29" s="77">
        <v>52.699885000000002</v>
      </c>
      <c r="JD29" s="77">
        <v>167.52132399999999</v>
      </c>
      <c r="JE29" s="77">
        <v>78.294219999999996</v>
      </c>
      <c r="JF29" s="77">
        <v>155.26189199999999</v>
      </c>
      <c r="JG29" s="77">
        <v>108.462672</v>
      </c>
      <c r="JH29" s="77">
        <v>21.003240000000002</v>
      </c>
      <c r="JI29" s="77">
        <v>271.15298200000001</v>
      </c>
      <c r="JJ29" s="77">
        <v>51.054260999999997</v>
      </c>
      <c r="JK29" s="77">
        <v>164.71590499999999</v>
      </c>
      <c r="JL29" s="77">
        <v>78.121607999999995</v>
      </c>
      <c r="JM29" s="77">
        <v>151.008962</v>
      </c>
      <c r="JN29" s="77">
        <v>106.907954</v>
      </c>
      <c r="JO29" s="77">
        <v>21.707324</v>
      </c>
      <c r="JP29" s="77">
        <v>242.59446399999999</v>
      </c>
      <c r="JQ29" s="77">
        <v>47.372962999999999</v>
      </c>
      <c r="JR29" s="77">
        <v>154.098243</v>
      </c>
      <c r="JS29" s="77">
        <v>72.461528000000001</v>
      </c>
      <c r="JT29" s="77">
        <v>141.468414</v>
      </c>
      <c r="JU29" s="77">
        <v>100.054602</v>
      </c>
      <c r="JV29" s="77">
        <v>19.609736000000002</v>
      </c>
      <c r="JW29" s="77">
        <v>151.55831000000001</v>
      </c>
      <c r="JX29" s="77">
        <v>46.647877999999999</v>
      </c>
      <c r="JY29" s="77">
        <v>116.202506</v>
      </c>
      <c r="JZ29" s="77">
        <v>50.778452000000001</v>
      </c>
      <c r="KA29" s="77">
        <v>92.121748999999994</v>
      </c>
      <c r="KB29" s="77">
        <v>141.12293399999999</v>
      </c>
      <c r="KC29" s="77">
        <v>141.66693699999999</v>
      </c>
      <c r="KD29" s="77">
        <v>114.817323</v>
      </c>
      <c r="KE29" s="77">
        <v>115.238102</v>
      </c>
      <c r="KF29" s="77">
        <v>113.43122099999999</v>
      </c>
      <c r="KG29" s="77">
        <v>113.852042</v>
      </c>
      <c r="KH29" s="77">
        <v>113.43116499999999</v>
      </c>
      <c r="KI29" s="77">
        <v>113.851997</v>
      </c>
      <c r="KJ29" s="77">
        <v>113.43113700000001</v>
      </c>
      <c r="KK29" s="77">
        <v>107.810287</v>
      </c>
      <c r="KL29" s="77">
        <v>107.413943</v>
      </c>
      <c r="KM29" s="77">
        <v>109.07047</v>
      </c>
      <c r="KN29" s="77">
        <v>108.674199</v>
      </c>
      <c r="KO29" s="77">
        <v>109.070403</v>
      </c>
      <c r="KP29" s="77">
        <v>108.674145</v>
      </c>
      <c r="KQ29" s="77">
        <v>109.07037099999999</v>
      </c>
      <c r="KR29" s="77">
        <v>115.51434500000001</v>
      </c>
      <c r="KS29" s="77">
        <v>115.907571</v>
      </c>
      <c r="KT29" s="77">
        <v>114.09267199999999</v>
      </c>
      <c r="KU29" s="77">
        <v>114.48593200000001</v>
      </c>
      <c r="KV29" s="77">
        <v>114.092608</v>
      </c>
      <c r="KW29" s="77">
        <v>114.485879</v>
      </c>
      <c r="KX29" s="77">
        <v>114.092579</v>
      </c>
      <c r="KY29" s="77">
        <v>107.896342</v>
      </c>
      <c r="KZ29" s="77">
        <v>107.506304</v>
      </c>
      <c r="LA29" s="77">
        <v>107.896219</v>
      </c>
      <c r="LB29" s="77">
        <v>107.506224</v>
      </c>
      <c r="LC29" s="77">
        <v>107.896158</v>
      </c>
      <c r="LD29" s="77">
        <v>107.506165</v>
      </c>
      <c r="LE29" s="77">
        <v>107.896129</v>
      </c>
      <c r="LF29" s="77">
        <v>105.64015000000001</v>
      </c>
      <c r="LG29" s="77">
        <v>105.99890000000001</v>
      </c>
      <c r="LH29" s="77">
        <v>106.652033</v>
      </c>
      <c r="LI29" s="77">
        <v>107.010825</v>
      </c>
      <c r="LJ29" s="77">
        <v>106.65196400000001</v>
      </c>
      <c r="LK29" s="77">
        <v>107.010756</v>
      </c>
      <c r="LL29" s="77">
        <v>106.651921</v>
      </c>
      <c r="LM29" s="77">
        <v>106.54555000000001</v>
      </c>
      <c r="LN29" s="77">
        <v>106.235224</v>
      </c>
      <c r="LO29" s="77">
        <v>105.43183000000001</v>
      </c>
      <c r="LP29" s="77">
        <v>105.121522</v>
      </c>
      <c r="LQ29" s="77">
        <v>105.431769</v>
      </c>
      <c r="LR29" s="77">
        <v>105.121455</v>
      </c>
      <c r="LS29" s="77">
        <v>105.431729</v>
      </c>
      <c r="LT29" s="77">
        <v>140.26217800000001</v>
      </c>
      <c r="LU29" s="77">
        <v>140.84423699999999</v>
      </c>
      <c r="LV29" s="77">
        <v>140.262</v>
      </c>
      <c r="LW29" s="77">
        <v>140.84411499999999</v>
      </c>
      <c r="LX29" s="77">
        <v>140.261922</v>
      </c>
      <c r="LY29" s="77">
        <v>140.844052</v>
      </c>
      <c r="LZ29" s="77">
        <v>140.26188300000001</v>
      </c>
      <c r="MA29" s="77">
        <v>122.22609199999999</v>
      </c>
      <c r="MB29" s="77">
        <v>121.778088</v>
      </c>
      <c r="MC29" s="77">
        <v>128.43207000000001</v>
      </c>
      <c r="MD29" s="77">
        <v>127.984121</v>
      </c>
      <c r="ME29" s="77">
        <v>128.43199799999999</v>
      </c>
      <c r="MF29" s="77">
        <v>127.984059</v>
      </c>
      <c r="MG29" s="77">
        <v>128.43195900000001</v>
      </c>
      <c r="MH29" s="77">
        <v>131.68233599999999</v>
      </c>
      <c r="MI29" s="77">
        <v>132.09893099999999</v>
      </c>
      <c r="MJ29" s="77">
        <v>124.70722000000001</v>
      </c>
      <c r="MK29" s="77">
        <v>125.123862</v>
      </c>
      <c r="ML29" s="77">
        <v>124.707145</v>
      </c>
      <c r="MM29" s="77">
        <v>125.123797</v>
      </c>
      <c r="MN29" s="77">
        <v>124.707106</v>
      </c>
      <c r="MO29" s="77">
        <v>115.341598</v>
      </c>
      <c r="MP29" s="77">
        <v>114.93778500000001</v>
      </c>
      <c r="MQ29" s="77">
        <v>115.341452</v>
      </c>
      <c r="MR29" s="77">
        <v>114.937685</v>
      </c>
      <c r="MS29" s="77">
        <v>115.341393</v>
      </c>
      <c r="MT29" s="77">
        <v>114.937625</v>
      </c>
      <c r="MU29" s="77">
        <v>115.341356</v>
      </c>
      <c r="MV29" s="77">
        <v>119.164013</v>
      </c>
      <c r="MW29" s="77">
        <v>119.581329</v>
      </c>
      <c r="MX29" s="77">
        <v>122.477152</v>
      </c>
      <c r="MY29" s="77">
        <v>122.894521</v>
      </c>
      <c r="MZ29" s="77">
        <v>122.477082</v>
      </c>
      <c r="NA29" s="77">
        <v>122.894462</v>
      </c>
      <c r="NB29" s="77">
        <v>122.477045</v>
      </c>
      <c r="NC29" s="77">
        <v>121.377818</v>
      </c>
      <c r="ND29" s="77">
        <v>120.97307600000001</v>
      </c>
      <c r="NE29" s="77">
        <v>118.055835</v>
      </c>
      <c r="NF29" s="77">
        <v>117.651158</v>
      </c>
      <c r="NG29" s="77">
        <v>118.055761</v>
      </c>
      <c r="NH29" s="77">
        <v>117.651095</v>
      </c>
      <c r="NI29" s="77">
        <v>118.055723</v>
      </c>
      <c r="NJ29" s="77">
        <v>109.88710500000001</v>
      </c>
      <c r="NK29" s="77">
        <v>110.278779</v>
      </c>
      <c r="NL29" s="77">
        <v>109.886976</v>
      </c>
      <c r="NM29" s="77">
        <v>110.27867999999999</v>
      </c>
      <c r="NN29" s="77">
        <v>109.88691</v>
      </c>
      <c r="NO29" s="77">
        <v>110.278628</v>
      </c>
      <c r="NP29" s="77">
        <v>109.886871</v>
      </c>
      <c r="NQ29" s="77">
        <v>116.320414</v>
      </c>
      <c r="NR29" s="77">
        <v>115.924949</v>
      </c>
      <c r="NS29" s="77">
        <v>114.668205</v>
      </c>
      <c r="NT29" s="77">
        <v>114.27278</v>
      </c>
      <c r="NU29" s="77">
        <v>114.668139</v>
      </c>
      <c r="NV29" s="77">
        <v>114.272728</v>
      </c>
      <c r="NW29" s="77">
        <v>114.6681</v>
      </c>
      <c r="NX29" s="77">
        <v>111.84522800000001</v>
      </c>
      <c r="NY29" s="77">
        <v>112.240306</v>
      </c>
      <c r="NZ29" s="77">
        <v>113.43353999999999</v>
      </c>
      <c r="OA29" s="77">
        <v>113.82867299999999</v>
      </c>
      <c r="OB29" s="77">
        <v>113.433466</v>
      </c>
      <c r="OC29" s="77">
        <v>113.828611</v>
      </c>
      <c r="OD29" s="77">
        <v>113.433429</v>
      </c>
      <c r="OE29" s="77">
        <v>113.68647199999999</v>
      </c>
      <c r="OF29" s="77">
        <v>113.274736</v>
      </c>
      <c r="OG29" s="77">
        <v>113.68631999999999</v>
      </c>
      <c r="OH29" s="77">
        <v>113.27463299999999</v>
      </c>
      <c r="OI29" s="77">
        <v>113.68625900000001</v>
      </c>
      <c r="OJ29" s="77">
        <v>113.27458</v>
      </c>
      <c r="OK29" s="77">
        <v>113.686222</v>
      </c>
      <c r="OL29" s="77">
        <v>117.918572</v>
      </c>
      <c r="OM29" s="77">
        <v>118.360769</v>
      </c>
      <c r="ON29" s="77">
        <v>127.998684</v>
      </c>
      <c r="OO29" s="77">
        <v>128.44093100000001</v>
      </c>
      <c r="OP29" s="77">
        <v>127.998608</v>
      </c>
      <c r="OQ29" s="77">
        <v>128.44086799999999</v>
      </c>
      <c r="OR29" s="77">
        <v>127.998565</v>
      </c>
      <c r="OS29" s="77">
        <v>128.27716000000001</v>
      </c>
      <c r="OT29" s="77">
        <v>127.830062</v>
      </c>
      <c r="OU29" s="77">
        <v>118.310451</v>
      </c>
      <c r="OV29" s="77">
        <v>117.863411</v>
      </c>
      <c r="OW29" s="77">
        <v>118.31039199999999</v>
      </c>
      <c r="OX29" s="77">
        <v>117.863353</v>
      </c>
      <c r="OY29" s="77">
        <v>118.310354</v>
      </c>
      <c r="OZ29" s="77">
        <v>112.840773</v>
      </c>
      <c r="PA29" s="77">
        <v>113.257993</v>
      </c>
      <c r="PB29" s="77">
        <v>112.840621</v>
      </c>
      <c r="PC29" s="77">
        <v>113.25789899999999</v>
      </c>
      <c r="PD29" s="77">
        <v>112.840558</v>
      </c>
      <c r="PE29" s="77">
        <v>113.25784299999999</v>
      </c>
      <c r="PF29" s="77">
        <v>112.84052800000001</v>
      </c>
      <c r="PG29" s="77">
        <v>118.59279100000001</v>
      </c>
      <c r="PH29" s="77">
        <v>118.156307</v>
      </c>
      <c r="PI29" s="77">
        <v>115.759355</v>
      </c>
      <c r="PJ29" s="77">
        <v>115.32294400000001</v>
      </c>
      <c r="PK29" s="77">
        <v>115.75929600000001</v>
      </c>
      <c r="PL29" s="77">
        <v>115.32288800000001</v>
      </c>
      <c r="PM29" s="77">
        <v>115.759254</v>
      </c>
      <c r="PN29" s="77">
        <v>120.906919</v>
      </c>
      <c r="PO29" s="77">
        <v>121.350612</v>
      </c>
      <c r="PP29" s="77">
        <v>123.96550499999999</v>
      </c>
      <c r="PQ29" s="77">
        <v>124.40925</v>
      </c>
      <c r="PR29" s="77">
        <v>123.96543</v>
      </c>
      <c r="PS29" s="77">
        <v>124.40918600000001</v>
      </c>
      <c r="PT29" s="77">
        <v>123.96539799999999</v>
      </c>
      <c r="PU29" s="77">
        <v>120.085475</v>
      </c>
      <c r="PV29" s="77">
        <v>119.649012</v>
      </c>
      <c r="PW29" s="77">
        <v>120.085312</v>
      </c>
      <c r="PX29" s="77">
        <v>119.64890200000001</v>
      </c>
      <c r="PY29" s="77">
        <v>120.08523599999999</v>
      </c>
      <c r="PZ29" s="77">
        <v>119.64884600000001</v>
      </c>
      <c r="QA29" s="77">
        <v>120.085201</v>
      </c>
      <c r="QB29" s="77">
        <v>115.71370899999999</v>
      </c>
      <c r="QC29" s="77">
        <v>116.114755</v>
      </c>
      <c r="QD29" s="77">
        <v>115.713559</v>
      </c>
      <c r="QE29" s="77">
        <v>116.11466</v>
      </c>
      <c r="QF29" s="77">
        <v>115.713497</v>
      </c>
      <c r="QG29" s="77">
        <v>116.114609</v>
      </c>
      <c r="QH29" s="77">
        <v>115.713464</v>
      </c>
      <c r="QI29" s="77">
        <v>105.69861899999999</v>
      </c>
      <c r="QJ29" s="77">
        <v>105.322785</v>
      </c>
      <c r="QK29" s="77">
        <v>105.69848500000001</v>
      </c>
      <c r="QL29" s="77">
        <v>105.32270699999999</v>
      </c>
      <c r="QM29" s="77">
        <v>105.698427</v>
      </c>
      <c r="QN29" s="77">
        <v>105.322654</v>
      </c>
      <c r="QO29" s="77">
        <v>105.698392</v>
      </c>
      <c r="QP29" s="77">
        <v>144.98860400000001</v>
      </c>
      <c r="QQ29" s="77">
        <v>145.60945000000001</v>
      </c>
      <c r="QR29" s="77">
        <v>144.98840100000001</v>
      </c>
      <c r="QS29" s="77">
        <v>145.60930500000001</v>
      </c>
    </row>
    <row r="30" spans="6:461" x14ac:dyDescent="0.25">
      <c r="F30" s="76" t="str">
        <f xml:space="preserve"> _xll.EPMOlapMemberO("[PRDDESCR].[].[WONDER GFREE WHITE 470G]","","WONDER GFREE WHITE 470G","","000")</f>
        <v>WONDER GFREE WHITE 470G</v>
      </c>
      <c r="G30" s="76" t="str">
        <f xml:space="preserve"> _xll.EPMOlapMemberO("[PRDID].[].[179649]","","179649","","000")</f>
        <v>179649</v>
      </c>
      <c r="H30" s="76" t="str">
        <f xml:space="preserve"> _xll.EPMOlapMemberO("[LOCID].[].[6103]","","6103","","000")</f>
        <v>6103</v>
      </c>
      <c r="I30" s="76" t="str">
        <f xml:space="preserve"> _xll.EPMOlapMemberO("[LOCDESCR].[].[QBA-Canberra]","","QBA-Canberra","","000")</f>
        <v>QBA-Canberra</v>
      </c>
      <c r="J30" s="76" t="str">
        <f xml:space="preserve"> _xll.EPMOlapMemberO("[KEY_FIGURES].[].[ZGFAPPROVEDFCSTQTY]","","Approved Forecast","","000")</f>
        <v>Approved Forecast</v>
      </c>
      <c r="K30" s="77">
        <v>66.303337999999997</v>
      </c>
      <c r="L30" s="77">
        <v>69.79365</v>
      </c>
      <c r="M30" s="77">
        <v>69.637021000000004</v>
      </c>
      <c r="N30" s="77">
        <v>82.18826</v>
      </c>
      <c r="O30" s="77">
        <v>110.00465199999999</v>
      </c>
      <c r="P30" s="77">
        <v>65.003079999999997</v>
      </c>
      <c r="Q30" s="77">
        <v>127.423636</v>
      </c>
      <c r="R30" s="77">
        <v>70.460006000000007</v>
      </c>
      <c r="S30" s="77">
        <v>70.014953000000006</v>
      </c>
      <c r="T30" s="77">
        <v>66.654216000000005</v>
      </c>
      <c r="U30" s="77">
        <v>76.849333000000001</v>
      </c>
      <c r="V30" s="77">
        <v>101.432575</v>
      </c>
      <c r="W30" s="77">
        <v>62.685298000000003</v>
      </c>
      <c r="X30" s="77">
        <v>125.421999</v>
      </c>
      <c r="Y30" s="77">
        <v>68.504733999999999</v>
      </c>
      <c r="Z30" s="77">
        <v>76.159706</v>
      </c>
      <c r="AA30" s="77">
        <v>67.311825999999996</v>
      </c>
      <c r="AB30" s="77">
        <v>76.535365999999996</v>
      </c>
      <c r="AC30" s="77">
        <v>102.557242</v>
      </c>
      <c r="AD30" s="77">
        <v>63.919744000000001</v>
      </c>
      <c r="AE30" s="77"/>
      <c r="AF30" s="77"/>
      <c r="AG30" s="77"/>
      <c r="AH30" s="77"/>
      <c r="AI30" s="77"/>
      <c r="AJ30" s="77"/>
      <c r="AK30" s="77"/>
      <c r="AL30" s="77">
        <v>127.445213</v>
      </c>
      <c r="AM30" s="77">
        <v>69.914914999999993</v>
      </c>
      <c r="AN30" s="77">
        <v>74.771964999999994</v>
      </c>
      <c r="AO30" s="77">
        <v>64.406288000000004</v>
      </c>
      <c r="AP30" s="77">
        <v>75.043167999999994</v>
      </c>
      <c r="AQ30" s="77">
        <v>101.385276</v>
      </c>
      <c r="AR30" s="77">
        <v>60.451051</v>
      </c>
      <c r="AS30" s="77">
        <v>125.529788</v>
      </c>
      <c r="AT30" s="77">
        <v>66.058927999999995</v>
      </c>
      <c r="AU30" s="77">
        <v>70.795416000000003</v>
      </c>
      <c r="AV30" s="77">
        <v>63.375340999999999</v>
      </c>
      <c r="AW30" s="77">
        <v>72.703642000000002</v>
      </c>
      <c r="AX30" s="77">
        <v>96.066895000000002</v>
      </c>
      <c r="AY30" s="77">
        <v>58.883394000000003</v>
      </c>
      <c r="AZ30" s="77">
        <v>115.79721600000001</v>
      </c>
      <c r="BA30" s="77">
        <v>62.880085999999999</v>
      </c>
      <c r="BB30" s="77">
        <v>74.731798999999995</v>
      </c>
      <c r="BC30" s="77">
        <v>64.751884000000004</v>
      </c>
      <c r="BD30" s="77">
        <v>74.696858000000006</v>
      </c>
      <c r="BE30" s="77">
        <v>102.223534</v>
      </c>
      <c r="BF30" s="77">
        <v>59.434981000000001</v>
      </c>
      <c r="BG30" s="77">
        <v>133.80018699999999</v>
      </c>
      <c r="BH30" s="77">
        <v>71.249703999999994</v>
      </c>
      <c r="BI30" s="77">
        <v>74.264274</v>
      </c>
      <c r="BJ30" s="77">
        <v>65.937759</v>
      </c>
      <c r="BK30" s="77">
        <v>78.677710000000005</v>
      </c>
      <c r="BL30" s="77">
        <v>103.588703</v>
      </c>
      <c r="BM30" s="77">
        <v>60.990352999999999</v>
      </c>
      <c r="BN30" s="77">
        <v>114.25957099999999</v>
      </c>
      <c r="BO30" s="77">
        <v>62.151468999999999</v>
      </c>
      <c r="BP30" s="77">
        <v>68.463162999999994</v>
      </c>
      <c r="BQ30" s="77">
        <v>60.122261999999999</v>
      </c>
      <c r="BR30" s="77">
        <v>70.744181999999995</v>
      </c>
      <c r="BS30" s="77">
        <v>90.942165000000003</v>
      </c>
      <c r="BT30" s="77">
        <v>57.978803999999997</v>
      </c>
      <c r="BU30" s="77">
        <v>124.833169</v>
      </c>
      <c r="BV30" s="77">
        <v>67.476134000000002</v>
      </c>
      <c r="BW30" s="77">
        <v>76.276380000000003</v>
      </c>
      <c r="BX30" s="77">
        <v>69.111621999999997</v>
      </c>
      <c r="BY30" s="77">
        <v>77.026848999999999</v>
      </c>
      <c r="BZ30" s="77">
        <v>104.64557000000001</v>
      </c>
      <c r="CA30" s="77">
        <v>63.798118000000002</v>
      </c>
      <c r="CB30" s="77">
        <v>126.20789600000001</v>
      </c>
      <c r="CC30" s="77">
        <v>69.419297999999998</v>
      </c>
      <c r="CD30" s="77">
        <v>73.959959999999995</v>
      </c>
      <c r="CE30" s="77">
        <v>64.758922999999996</v>
      </c>
      <c r="CF30" s="77">
        <v>76.875595000000004</v>
      </c>
      <c r="CG30" s="77">
        <v>97.619939000000002</v>
      </c>
      <c r="CH30" s="77">
        <v>60.222895000000001</v>
      </c>
      <c r="CI30" s="77">
        <v>128.116085</v>
      </c>
      <c r="CJ30" s="77">
        <v>70.262634000000006</v>
      </c>
      <c r="CK30" s="77">
        <v>76.631878999999998</v>
      </c>
      <c r="CL30" s="77">
        <v>71.714302000000004</v>
      </c>
      <c r="CM30" s="77">
        <v>79.464723000000006</v>
      </c>
      <c r="CN30" s="77">
        <v>103.27697000000001</v>
      </c>
      <c r="CO30" s="77">
        <v>63.215949999999999</v>
      </c>
      <c r="CP30" s="77">
        <v>123.01799699999999</v>
      </c>
      <c r="CQ30" s="77">
        <v>66.845905000000002</v>
      </c>
      <c r="CR30" s="77">
        <v>74.660359999999997</v>
      </c>
      <c r="CS30" s="77">
        <v>66.645787999999996</v>
      </c>
      <c r="CT30" s="77">
        <v>75.196959000000007</v>
      </c>
      <c r="CU30" s="77">
        <v>105.177119</v>
      </c>
      <c r="CV30" s="77">
        <v>60.538820999999999</v>
      </c>
      <c r="CW30" s="77">
        <v>125.648438</v>
      </c>
      <c r="CX30" s="77">
        <v>68.353262999999998</v>
      </c>
      <c r="CY30" s="77">
        <v>74.679213000000004</v>
      </c>
      <c r="CZ30" s="77">
        <v>65.455504000000005</v>
      </c>
      <c r="DA30" s="77">
        <v>76.352975999999998</v>
      </c>
      <c r="DB30" s="77">
        <v>101.056988</v>
      </c>
      <c r="DC30" s="77">
        <v>61.070253000000001</v>
      </c>
      <c r="DD30" s="77">
        <v>129.933423</v>
      </c>
      <c r="DE30" s="77">
        <v>70.173767999999995</v>
      </c>
      <c r="DF30" s="77">
        <v>78.509789999999995</v>
      </c>
      <c r="DG30" s="77">
        <v>70.092234000000005</v>
      </c>
      <c r="DH30" s="77">
        <v>78.443376000000001</v>
      </c>
      <c r="DI30" s="77">
        <v>104.69968799999999</v>
      </c>
      <c r="DJ30" s="77">
        <v>61.183017999999997</v>
      </c>
      <c r="DK30" s="77">
        <v>126.596255</v>
      </c>
      <c r="DL30" s="77">
        <v>69.464072999999999</v>
      </c>
      <c r="DM30" s="77">
        <v>81.913978999999998</v>
      </c>
      <c r="DN30" s="77">
        <v>72.290417000000005</v>
      </c>
      <c r="DO30" s="77">
        <v>78.524720000000002</v>
      </c>
      <c r="DP30" s="77">
        <v>105.835643</v>
      </c>
      <c r="DQ30" s="77">
        <v>63.879593999999997</v>
      </c>
      <c r="DR30" s="77">
        <v>135.336027</v>
      </c>
      <c r="DS30" s="77">
        <v>74.216497000000004</v>
      </c>
      <c r="DT30" s="77">
        <v>82.945964000000004</v>
      </c>
      <c r="DU30" s="77">
        <v>72.212029999999999</v>
      </c>
      <c r="DV30" s="77">
        <v>86.045377999999999</v>
      </c>
      <c r="DW30" s="77">
        <v>107.999599</v>
      </c>
      <c r="DX30" s="77">
        <v>63.431099000000003</v>
      </c>
      <c r="DY30" s="77">
        <v>132.88831200000001</v>
      </c>
      <c r="DZ30" s="77">
        <v>73.627793999999994</v>
      </c>
      <c r="EA30" s="77">
        <v>75.828507999999999</v>
      </c>
      <c r="EB30" s="77">
        <v>68.696394999999995</v>
      </c>
      <c r="EC30" s="77">
        <v>77.969819999999999</v>
      </c>
      <c r="ED30" s="77">
        <v>103.54901700000001</v>
      </c>
      <c r="EE30" s="77">
        <v>63.498848000000002</v>
      </c>
      <c r="EF30" s="77">
        <v>121.893646</v>
      </c>
      <c r="EG30" s="77">
        <v>67.192120000000003</v>
      </c>
      <c r="EH30" s="77">
        <v>76.625750999999994</v>
      </c>
      <c r="EI30" s="77">
        <v>64.631777999999997</v>
      </c>
      <c r="EJ30" s="77">
        <v>75.533672999999993</v>
      </c>
      <c r="EK30" s="77">
        <v>96.752043</v>
      </c>
      <c r="EL30" s="77">
        <v>58.589731999999998</v>
      </c>
      <c r="EM30" s="77">
        <v>124.495046</v>
      </c>
      <c r="EN30" s="77">
        <v>71.477963000000003</v>
      </c>
      <c r="EO30" s="77">
        <v>76.44802</v>
      </c>
      <c r="EP30" s="77">
        <v>66.329177999999999</v>
      </c>
      <c r="EQ30" s="77">
        <v>75.121955999999997</v>
      </c>
      <c r="ER30" s="77">
        <v>100.638491</v>
      </c>
      <c r="ES30" s="77">
        <v>60.808475999999999</v>
      </c>
      <c r="ET30" s="77">
        <v>128.34743499999999</v>
      </c>
      <c r="EU30" s="77">
        <v>71.139570000000006</v>
      </c>
      <c r="EV30" s="77">
        <v>82.650321000000005</v>
      </c>
      <c r="EW30" s="77">
        <v>76.722716000000005</v>
      </c>
      <c r="EX30" s="77">
        <v>82.964792000000003</v>
      </c>
      <c r="EY30" s="77">
        <v>108.87342599999999</v>
      </c>
      <c r="EZ30" s="77">
        <v>65.907127000000003</v>
      </c>
      <c r="FA30" s="77">
        <v>123.492727</v>
      </c>
      <c r="FB30" s="77">
        <v>66.962890000000002</v>
      </c>
      <c r="FC30" s="77">
        <v>69.315921000000003</v>
      </c>
      <c r="FD30" s="77">
        <v>61.884222999999999</v>
      </c>
      <c r="FE30" s="77">
        <v>70.627799999999993</v>
      </c>
      <c r="FF30" s="77">
        <v>94.914551000000003</v>
      </c>
      <c r="FG30" s="77">
        <v>57.091205000000002</v>
      </c>
      <c r="FH30" s="77">
        <v>132.063774</v>
      </c>
      <c r="FI30" s="77">
        <v>73.177352999999997</v>
      </c>
      <c r="FJ30" s="77">
        <v>85.407821999999996</v>
      </c>
      <c r="FK30" s="77">
        <v>75.991311999999994</v>
      </c>
      <c r="FL30" s="77">
        <v>84.506754999999998</v>
      </c>
      <c r="FM30" s="77">
        <v>113.025982</v>
      </c>
      <c r="FN30" s="77">
        <v>68.838158000000007</v>
      </c>
      <c r="FO30" s="77">
        <v>131.181557</v>
      </c>
      <c r="FP30" s="77">
        <v>70.616305999999994</v>
      </c>
      <c r="FQ30" s="77">
        <v>70.814066999999994</v>
      </c>
      <c r="FR30" s="77">
        <v>64.487703999999994</v>
      </c>
      <c r="FS30" s="77">
        <v>73.450514999999996</v>
      </c>
      <c r="FT30" s="77">
        <v>95.860648999999995</v>
      </c>
      <c r="FU30" s="77">
        <v>57.599328</v>
      </c>
      <c r="FV30" s="77">
        <v>130.99923699999999</v>
      </c>
      <c r="FW30" s="77">
        <v>70.325950000000006</v>
      </c>
      <c r="FX30" s="77">
        <v>83.286770000000004</v>
      </c>
      <c r="FY30" s="77">
        <v>69.249881999999999</v>
      </c>
      <c r="FZ30" s="77">
        <v>78.826376999999994</v>
      </c>
      <c r="GA30" s="77">
        <v>103.887306</v>
      </c>
      <c r="GB30" s="77">
        <v>63.608817999999999</v>
      </c>
      <c r="GC30" s="77">
        <v>136.052773</v>
      </c>
      <c r="GD30" s="77">
        <v>75.500799999999998</v>
      </c>
      <c r="GE30" s="77">
        <v>77.897035000000002</v>
      </c>
      <c r="GF30" s="77">
        <v>69.392688000000007</v>
      </c>
      <c r="GG30" s="77">
        <v>79.069766999999999</v>
      </c>
      <c r="GH30" s="77">
        <v>105.835977</v>
      </c>
      <c r="GI30" s="77">
        <v>65.248039000000006</v>
      </c>
      <c r="GJ30" s="77">
        <v>125.307727</v>
      </c>
      <c r="GK30" s="77">
        <v>66.172572000000002</v>
      </c>
      <c r="GL30" s="77">
        <v>75.122639000000007</v>
      </c>
      <c r="GM30" s="77">
        <v>63.514181999999998</v>
      </c>
      <c r="GN30" s="77">
        <v>73.863106000000002</v>
      </c>
      <c r="GO30" s="77">
        <v>97.194732000000002</v>
      </c>
      <c r="GP30" s="77">
        <v>61.772275999999998</v>
      </c>
      <c r="GQ30" s="77">
        <v>124.96317999999999</v>
      </c>
      <c r="GR30" s="77">
        <v>66.395356000000007</v>
      </c>
      <c r="GS30" s="77">
        <v>79.899519999999995</v>
      </c>
      <c r="GT30" s="77">
        <v>71.154634000000001</v>
      </c>
      <c r="GU30" s="77">
        <v>80.033191000000002</v>
      </c>
      <c r="GV30" s="77">
        <v>108.14396499999999</v>
      </c>
      <c r="GW30" s="77">
        <v>67.506060000000005</v>
      </c>
      <c r="GX30" s="77">
        <v>132.31261599999999</v>
      </c>
      <c r="GY30" s="77">
        <v>75.959338000000002</v>
      </c>
      <c r="GZ30" s="77">
        <v>73.731138999999999</v>
      </c>
      <c r="HA30" s="77">
        <v>62.648128</v>
      </c>
      <c r="HB30" s="77">
        <v>73.793105999999995</v>
      </c>
      <c r="HC30" s="77">
        <v>97.459761</v>
      </c>
      <c r="HD30" s="77">
        <v>58.353558</v>
      </c>
      <c r="HE30" s="77">
        <v>126.227709</v>
      </c>
      <c r="HF30" s="77">
        <v>68.994600000000005</v>
      </c>
      <c r="HG30" s="77">
        <v>78.839489999999998</v>
      </c>
      <c r="HH30" s="77">
        <v>71.101543000000007</v>
      </c>
      <c r="HI30" s="77">
        <v>79.603076999999999</v>
      </c>
      <c r="HJ30" s="77">
        <v>108.80910799999999</v>
      </c>
      <c r="HK30" s="77">
        <v>68.393243999999996</v>
      </c>
      <c r="HL30" s="77">
        <v>131.36700200000001</v>
      </c>
      <c r="HM30" s="77">
        <v>73.473123999999999</v>
      </c>
      <c r="HN30" s="77">
        <v>75.678244000000007</v>
      </c>
      <c r="HO30" s="77">
        <v>66.552345000000003</v>
      </c>
      <c r="HP30" s="77">
        <v>76.453782000000004</v>
      </c>
      <c r="HQ30" s="77">
        <v>106.110266</v>
      </c>
      <c r="HR30" s="77">
        <v>62.724634000000002</v>
      </c>
      <c r="HS30" s="77">
        <v>121.081459</v>
      </c>
      <c r="HT30" s="77">
        <v>66.483906000000005</v>
      </c>
      <c r="HU30" s="77">
        <v>76.857602999999997</v>
      </c>
      <c r="HV30" s="77">
        <v>68.943674000000001</v>
      </c>
      <c r="HW30" s="77">
        <v>77.962635000000006</v>
      </c>
      <c r="HX30" s="77">
        <v>106.671486</v>
      </c>
      <c r="HY30" s="77">
        <v>63.344783</v>
      </c>
      <c r="HZ30" s="77">
        <v>141.533376</v>
      </c>
      <c r="IA30" s="77">
        <v>74.254497999999998</v>
      </c>
      <c r="IB30" s="77">
        <v>79.223472000000001</v>
      </c>
      <c r="IC30" s="77">
        <v>68.272807</v>
      </c>
      <c r="ID30" s="77">
        <v>80.621469000000005</v>
      </c>
      <c r="IE30" s="77">
        <v>104.978578</v>
      </c>
      <c r="IF30" s="77">
        <v>64.194546000000003</v>
      </c>
      <c r="IG30" s="77">
        <v>135.937386</v>
      </c>
      <c r="IH30" s="77">
        <v>73.776120000000006</v>
      </c>
      <c r="II30" s="77">
        <v>81.346188999999995</v>
      </c>
      <c r="IJ30" s="77">
        <v>71.191607000000005</v>
      </c>
      <c r="IK30" s="77">
        <v>82.541329000000005</v>
      </c>
      <c r="IL30" s="77">
        <v>113.3373</v>
      </c>
      <c r="IM30" s="77">
        <v>66.634797000000006</v>
      </c>
      <c r="IN30" s="77">
        <v>131.68779799999999</v>
      </c>
      <c r="IO30" s="77">
        <v>69.739890000000003</v>
      </c>
      <c r="IP30" s="77">
        <v>75.416599000000005</v>
      </c>
      <c r="IQ30" s="77">
        <v>65.420682999999997</v>
      </c>
      <c r="IR30" s="77">
        <v>79.048377000000002</v>
      </c>
      <c r="IS30" s="77">
        <v>102.786818</v>
      </c>
      <c r="IT30" s="77">
        <v>60.194701000000002</v>
      </c>
      <c r="IU30" s="77">
        <v>127.36656499999999</v>
      </c>
      <c r="IV30" s="77">
        <v>69.125533000000004</v>
      </c>
      <c r="IW30" s="77">
        <v>80.659205999999998</v>
      </c>
      <c r="IX30" s="77">
        <v>72.041769000000002</v>
      </c>
      <c r="IY30" s="77">
        <v>83.345768000000007</v>
      </c>
      <c r="IZ30" s="77">
        <v>110.272845</v>
      </c>
      <c r="JA30" s="77">
        <v>71.250856999999996</v>
      </c>
      <c r="JB30" s="77">
        <v>134.79719</v>
      </c>
      <c r="JC30" s="77">
        <v>72.607052999999993</v>
      </c>
      <c r="JD30" s="77">
        <v>75.075973000000005</v>
      </c>
      <c r="JE30" s="77">
        <v>65.619054000000006</v>
      </c>
      <c r="JF30" s="77">
        <v>75.979186999999996</v>
      </c>
      <c r="JG30" s="77">
        <v>100.180767</v>
      </c>
      <c r="JH30" s="77">
        <v>60.634922000000003</v>
      </c>
      <c r="JI30" s="77">
        <v>125.784429</v>
      </c>
      <c r="JJ30" s="77">
        <v>69.261564000000007</v>
      </c>
      <c r="JK30" s="77">
        <v>74.918729999999996</v>
      </c>
      <c r="JL30" s="77">
        <v>67.018343000000002</v>
      </c>
      <c r="JM30" s="77">
        <v>78.403740999999997</v>
      </c>
      <c r="JN30" s="77">
        <v>101.422523</v>
      </c>
      <c r="JO30" s="77">
        <v>63.134400999999997</v>
      </c>
      <c r="JP30" s="77">
        <v>128.13167799999999</v>
      </c>
      <c r="JQ30" s="77">
        <v>69.886392000000001</v>
      </c>
      <c r="JR30" s="77">
        <v>77.461405999999997</v>
      </c>
      <c r="JS30" s="77">
        <v>70.689435000000003</v>
      </c>
      <c r="JT30" s="77">
        <v>79.969245999999998</v>
      </c>
      <c r="JU30" s="77">
        <v>101.581874</v>
      </c>
      <c r="JV30" s="77">
        <v>61.482647</v>
      </c>
      <c r="JW30" s="77">
        <v>99.260930000000002</v>
      </c>
      <c r="JX30" s="77">
        <v>100.06723700000001</v>
      </c>
      <c r="JY30" s="77">
        <v>65.171716000000004</v>
      </c>
      <c r="JZ30" s="77">
        <v>65.707140999999993</v>
      </c>
      <c r="KA30" s="77">
        <v>63.873541000000003</v>
      </c>
      <c r="KB30" s="77">
        <v>106.84778900000001</v>
      </c>
      <c r="KC30" s="77">
        <v>109.246409</v>
      </c>
      <c r="KD30" s="77">
        <v>73.009800999999996</v>
      </c>
      <c r="KE30" s="77">
        <v>73.746346000000003</v>
      </c>
      <c r="KF30" s="77">
        <v>81.499791000000002</v>
      </c>
      <c r="KG30" s="77">
        <v>78.133903000000004</v>
      </c>
      <c r="KH30" s="77">
        <v>78.001043999999993</v>
      </c>
      <c r="KI30" s="77">
        <v>79.229494000000003</v>
      </c>
      <c r="KJ30" s="77">
        <v>79.390934000000001</v>
      </c>
      <c r="KK30" s="77">
        <v>90.964374000000007</v>
      </c>
      <c r="KL30" s="77">
        <v>91.123840000000001</v>
      </c>
      <c r="KM30" s="77">
        <v>86.491067999999999</v>
      </c>
      <c r="KN30" s="77">
        <v>87.561599000000001</v>
      </c>
      <c r="KO30" s="77">
        <v>82.981609000000006</v>
      </c>
      <c r="KP30" s="77">
        <v>88.215406999999999</v>
      </c>
      <c r="KQ30" s="77">
        <v>93.013006000000004</v>
      </c>
      <c r="KR30" s="77">
        <v>82.504576999999998</v>
      </c>
      <c r="KS30" s="77">
        <v>83.467822999999996</v>
      </c>
      <c r="KT30" s="77">
        <v>95.754445000000004</v>
      </c>
      <c r="KU30" s="77">
        <v>91.219063000000006</v>
      </c>
      <c r="KV30" s="77">
        <v>87.273425000000003</v>
      </c>
      <c r="KW30" s="77">
        <v>89.061138</v>
      </c>
      <c r="KX30" s="77">
        <v>89.272827000000007</v>
      </c>
      <c r="KY30" s="77">
        <v>82.337176999999997</v>
      </c>
      <c r="KZ30" s="77">
        <v>83.459244999999996</v>
      </c>
      <c r="LA30" s="77">
        <v>80.154938000000001</v>
      </c>
      <c r="LB30" s="77">
        <v>78.010334999999998</v>
      </c>
      <c r="LC30" s="77">
        <v>80.567266000000004</v>
      </c>
      <c r="LD30" s="77">
        <v>80.276180999999994</v>
      </c>
      <c r="LE30" s="77">
        <v>85.779214999999994</v>
      </c>
      <c r="LF30" s="77">
        <v>78.188505000000006</v>
      </c>
      <c r="LG30" s="77">
        <v>79.815365</v>
      </c>
      <c r="LH30" s="77">
        <v>81.415390000000002</v>
      </c>
      <c r="LI30" s="77">
        <v>79.194001999999998</v>
      </c>
      <c r="LJ30" s="77">
        <v>78.327616000000006</v>
      </c>
      <c r="LK30" s="77">
        <v>79.356230999999994</v>
      </c>
      <c r="LL30" s="77">
        <v>80.735954000000007</v>
      </c>
      <c r="LM30" s="77">
        <v>73.831957000000003</v>
      </c>
      <c r="LN30" s="77">
        <v>75.482198999999994</v>
      </c>
      <c r="LO30" s="77">
        <v>82.606448</v>
      </c>
      <c r="LP30" s="77">
        <v>78.721593999999996</v>
      </c>
      <c r="LQ30" s="77">
        <v>78.947625000000002</v>
      </c>
      <c r="LR30" s="77">
        <v>79.886978999999997</v>
      </c>
      <c r="LS30" s="77">
        <v>86.972494999999995</v>
      </c>
      <c r="LT30" s="77">
        <v>76.473530999999994</v>
      </c>
      <c r="LU30" s="77">
        <v>80.843990000000005</v>
      </c>
      <c r="LV30" s="77">
        <v>76.702218999999999</v>
      </c>
      <c r="LW30" s="77">
        <v>72.002420000000001</v>
      </c>
      <c r="LX30" s="77">
        <v>71.563396999999995</v>
      </c>
      <c r="LY30" s="77">
        <v>72.549616999999998</v>
      </c>
      <c r="LZ30" s="77">
        <v>72.787229999999994</v>
      </c>
      <c r="MA30" s="77">
        <v>72.796476999999996</v>
      </c>
      <c r="MB30" s="77">
        <v>75.103939999999994</v>
      </c>
      <c r="MC30" s="77">
        <v>74.242537999999996</v>
      </c>
      <c r="MD30" s="77">
        <v>77.045451</v>
      </c>
      <c r="ME30" s="77">
        <v>72.422676999999993</v>
      </c>
      <c r="MF30" s="77">
        <v>74.713863000000003</v>
      </c>
      <c r="MG30" s="77">
        <v>81.241842000000005</v>
      </c>
      <c r="MH30" s="77">
        <v>75.704156999999995</v>
      </c>
      <c r="MI30" s="77">
        <v>75.688889000000003</v>
      </c>
      <c r="MJ30" s="77">
        <v>83.886809999999997</v>
      </c>
      <c r="MK30" s="77">
        <v>81.412364999999994</v>
      </c>
      <c r="ML30" s="77">
        <v>80.233498999999995</v>
      </c>
      <c r="MM30" s="77">
        <v>82.407048000000003</v>
      </c>
      <c r="MN30" s="77">
        <v>82.188447999999994</v>
      </c>
      <c r="MO30" s="77">
        <v>87.591187000000005</v>
      </c>
      <c r="MP30" s="77">
        <v>90.887490999999997</v>
      </c>
      <c r="MQ30" s="77">
        <v>81.211183000000005</v>
      </c>
      <c r="MR30" s="77">
        <v>82.089198999999994</v>
      </c>
      <c r="MS30" s="77">
        <v>78.273116999999999</v>
      </c>
      <c r="MT30" s="77">
        <v>81.785431000000003</v>
      </c>
      <c r="MU30" s="77">
        <v>88.454282000000006</v>
      </c>
      <c r="MV30" s="77">
        <v>83.543000000000006</v>
      </c>
      <c r="MW30" s="77">
        <v>82.669382999999996</v>
      </c>
      <c r="MX30" s="77">
        <v>82.299340000000001</v>
      </c>
      <c r="MY30" s="77">
        <v>80.236609000000001</v>
      </c>
      <c r="MZ30" s="77">
        <v>79.154092000000006</v>
      </c>
      <c r="NA30" s="77">
        <v>80.042850000000001</v>
      </c>
      <c r="NB30" s="77">
        <v>80.746088999999998</v>
      </c>
      <c r="NC30" s="77">
        <v>90.614542999999998</v>
      </c>
      <c r="ND30" s="77">
        <v>90.038550000000001</v>
      </c>
      <c r="NE30" s="77">
        <v>99.103076000000001</v>
      </c>
      <c r="NF30" s="77">
        <v>93.945272000000003</v>
      </c>
      <c r="NG30" s="77">
        <v>91.340892999999994</v>
      </c>
      <c r="NH30" s="77">
        <v>94.497598999999994</v>
      </c>
      <c r="NI30" s="77">
        <v>102.10739100000001</v>
      </c>
      <c r="NJ30" s="77">
        <v>83.113377999999997</v>
      </c>
      <c r="NK30" s="77">
        <v>84.676770000000005</v>
      </c>
      <c r="NL30" s="77">
        <v>83.059839999999994</v>
      </c>
      <c r="NM30" s="77">
        <v>80.203650999999994</v>
      </c>
      <c r="NN30" s="77">
        <v>80.313022000000004</v>
      </c>
      <c r="NO30" s="77">
        <v>80.796133999999995</v>
      </c>
      <c r="NP30" s="77">
        <v>82.122958999999994</v>
      </c>
      <c r="NQ30" s="77">
        <v>83.628947999999994</v>
      </c>
      <c r="NR30" s="77">
        <v>81.519397999999995</v>
      </c>
      <c r="NS30" s="77">
        <v>83.549735999999996</v>
      </c>
      <c r="NT30" s="77">
        <v>80.338561999999996</v>
      </c>
      <c r="NU30" s="77">
        <v>79.268564999999995</v>
      </c>
      <c r="NV30" s="77">
        <v>82.608681000000004</v>
      </c>
      <c r="NW30" s="77">
        <v>92.840557000000004</v>
      </c>
      <c r="NX30" s="77">
        <v>83.759698</v>
      </c>
      <c r="NY30" s="77">
        <v>81.839447000000007</v>
      </c>
      <c r="NZ30" s="77">
        <v>89.351973000000001</v>
      </c>
      <c r="OA30" s="77">
        <v>86.567989999999995</v>
      </c>
      <c r="OB30" s="77">
        <v>85.343829999999997</v>
      </c>
      <c r="OC30" s="77">
        <v>86.794911999999997</v>
      </c>
      <c r="OD30" s="77">
        <v>89.262737999999999</v>
      </c>
      <c r="OE30" s="77">
        <v>84.166987000000006</v>
      </c>
      <c r="OF30" s="77">
        <v>89.611718999999994</v>
      </c>
      <c r="OG30" s="77">
        <v>81.440133000000003</v>
      </c>
      <c r="OH30" s="77">
        <v>79.594736999999995</v>
      </c>
      <c r="OI30" s="77">
        <v>78.274129000000002</v>
      </c>
      <c r="OJ30" s="77">
        <v>82.101895999999996</v>
      </c>
      <c r="OK30" s="77">
        <v>87.430667999999997</v>
      </c>
      <c r="OL30" s="77">
        <v>80.521731000000003</v>
      </c>
      <c r="OM30" s="77">
        <v>81.349834000000001</v>
      </c>
      <c r="ON30" s="77">
        <v>83.038578999999999</v>
      </c>
      <c r="OO30" s="77">
        <v>81.627684000000002</v>
      </c>
      <c r="OP30" s="77">
        <v>80.136002000000005</v>
      </c>
      <c r="OQ30" s="77">
        <v>82.064847</v>
      </c>
      <c r="OR30" s="77">
        <v>84.428020000000004</v>
      </c>
      <c r="OS30" s="77">
        <v>77.936449999999994</v>
      </c>
      <c r="OT30" s="77">
        <v>80.456995000000006</v>
      </c>
      <c r="OU30" s="77">
        <v>82.970899000000003</v>
      </c>
      <c r="OV30" s="77">
        <v>82.507187000000002</v>
      </c>
      <c r="OW30" s="77">
        <v>81.317803999999995</v>
      </c>
      <c r="OX30" s="77">
        <v>88.662762000000001</v>
      </c>
      <c r="OY30" s="77">
        <v>93.154998000000006</v>
      </c>
      <c r="OZ30" s="77">
        <v>78.676607000000004</v>
      </c>
      <c r="PA30" s="77">
        <v>79.935733999999997</v>
      </c>
      <c r="PB30" s="77">
        <v>77.552058000000002</v>
      </c>
      <c r="PC30" s="77">
        <v>74.852618000000007</v>
      </c>
      <c r="PD30" s="77">
        <v>74.238073</v>
      </c>
      <c r="PE30" s="77">
        <v>76.885565</v>
      </c>
      <c r="PF30" s="77">
        <v>76.063096999999999</v>
      </c>
      <c r="PG30" s="77">
        <v>85.344229999999996</v>
      </c>
      <c r="PH30" s="77">
        <v>82.600345000000004</v>
      </c>
      <c r="PI30" s="77">
        <v>81.914392000000007</v>
      </c>
      <c r="PJ30" s="77">
        <v>81.046173999999993</v>
      </c>
      <c r="PK30" s="77">
        <v>80.515557000000001</v>
      </c>
      <c r="PL30" s="77">
        <v>82.787891000000002</v>
      </c>
      <c r="PM30" s="77">
        <v>89.920896999999997</v>
      </c>
      <c r="PN30" s="77">
        <v>74.247586999999996</v>
      </c>
      <c r="PO30" s="77">
        <v>74.740830000000003</v>
      </c>
      <c r="PP30" s="77">
        <v>83.251107000000005</v>
      </c>
      <c r="PQ30" s="77">
        <v>79.951662999999996</v>
      </c>
      <c r="PR30" s="77">
        <v>79.974405000000004</v>
      </c>
      <c r="PS30" s="77">
        <v>83.247839999999997</v>
      </c>
      <c r="PT30" s="77">
        <v>80.593833000000004</v>
      </c>
      <c r="PU30" s="77">
        <v>88.599870999999993</v>
      </c>
      <c r="PV30" s="77">
        <v>86.699343999999996</v>
      </c>
      <c r="PW30" s="77">
        <v>81.536086999999995</v>
      </c>
      <c r="PX30" s="77">
        <v>80.850775999999996</v>
      </c>
      <c r="PY30" s="77">
        <v>83.159948999999997</v>
      </c>
      <c r="PZ30" s="77">
        <v>84.685616999999993</v>
      </c>
      <c r="QA30" s="77">
        <v>88.673625999999999</v>
      </c>
      <c r="QB30" s="77">
        <v>79.136718000000002</v>
      </c>
      <c r="QC30" s="77">
        <v>79.730560999999994</v>
      </c>
      <c r="QD30" s="77">
        <v>81.631386000000006</v>
      </c>
      <c r="QE30" s="77">
        <v>79.266876999999994</v>
      </c>
      <c r="QF30" s="77">
        <v>79.886895999999993</v>
      </c>
      <c r="QG30" s="77">
        <v>79.827674999999999</v>
      </c>
      <c r="QH30" s="77">
        <v>84.183071999999996</v>
      </c>
      <c r="QI30" s="77">
        <v>84.167238999999995</v>
      </c>
      <c r="QJ30" s="77">
        <v>83.950259000000003</v>
      </c>
      <c r="QK30" s="77">
        <v>84.296975000000003</v>
      </c>
      <c r="QL30" s="77">
        <v>84.328971999999993</v>
      </c>
      <c r="QM30" s="77">
        <v>81.946871999999999</v>
      </c>
      <c r="QN30" s="77">
        <v>85.937245000000004</v>
      </c>
      <c r="QO30" s="77">
        <v>92.751037999999994</v>
      </c>
      <c r="QP30" s="77">
        <v>80.308117999999993</v>
      </c>
      <c r="QQ30" s="77">
        <v>82.040871999999993</v>
      </c>
      <c r="QR30" s="77">
        <v>83.495705000000001</v>
      </c>
      <c r="QS30" s="77">
        <v>81.801502999999997</v>
      </c>
    </row>
    <row r="31" spans="6:461" x14ac:dyDescent="0.25">
      <c r="F31" s="76" t="str">
        <f xml:space="preserve"> _xll.EPMOlapMemberO("[PRDDESCR].[].[WONDER GFREE WHITE 470G]","","WONDER GFREE WHITE 470G","","000")</f>
        <v>WONDER GFREE WHITE 470G</v>
      </c>
      <c r="G31" s="76" t="str">
        <f xml:space="preserve"> _xll.EPMOlapMemberO("[PRDID].[].[179649]","","179649","","000")</f>
        <v>179649</v>
      </c>
      <c r="H31" s="76" t="str">
        <f xml:space="preserve"> _xll.EPMOlapMemberO("[LOCID].[].[6104]","","6104","","000")</f>
        <v>6104</v>
      </c>
      <c r="I31" s="76" t="str">
        <f xml:space="preserve"> _xll.EPMOlapMemberO("[LOCDESCR].[].[QBA-Moorebank]","","QBA-Moorebank","","000")</f>
        <v>QBA-Moorebank</v>
      </c>
      <c r="J31" s="76" t="str">
        <f xml:space="preserve"> _xll.EPMOlapMemberO("[KEY_FIGURES].[].[ZGFAPPROVEDFCSTQTY]","","Approved Forecast","","000")</f>
        <v>Approved Forecast</v>
      </c>
      <c r="K31" s="77">
        <v>258.56067200000001</v>
      </c>
      <c r="L31" s="77">
        <v>446.91588899999999</v>
      </c>
      <c r="M31" s="77">
        <v>340.99910999999997</v>
      </c>
      <c r="N31" s="77">
        <v>555.26627499999995</v>
      </c>
      <c r="O31" s="77">
        <v>282.016029</v>
      </c>
      <c r="P31" s="77">
        <v>309.76284099999998</v>
      </c>
      <c r="Q31" s="77">
        <v>636.56221800000003</v>
      </c>
      <c r="R31" s="77">
        <v>277.26066200000002</v>
      </c>
      <c r="S31" s="77">
        <v>416.51155</v>
      </c>
      <c r="T31" s="77">
        <v>310.56298299999997</v>
      </c>
      <c r="U31" s="77">
        <v>515.93346699999995</v>
      </c>
      <c r="V31" s="77">
        <v>252.21751599999999</v>
      </c>
      <c r="W31" s="77">
        <v>283.60954199999998</v>
      </c>
      <c r="X31" s="77">
        <v>627.75147200000004</v>
      </c>
      <c r="Y31" s="77">
        <v>261.94967800000001</v>
      </c>
      <c r="Z31" s="77">
        <v>440.93151699999999</v>
      </c>
      <c r="AA31" s="77">
        <v>325.68509799999998</v>
      </c>
      <c r="AB31" s="77">
        <v>548.42578000000003</v>
      </c>
      <c r="AC31" s="77">
        <v>259.68433499999998</v>
      </c>
      <c r="AD31" s="77">
        <v>281.95807000000002</v>
      </c>
      <c r="AE31" s="77"/>
      <c r="AF31" s="77"/>
      <c r="AG31" s="77"/>
      <c r="AH31" s="77"/>
      <c r="AI31" s="77"/>
      <c r="AJ31" s="77"/>
      <c r="AK31" s="77"/>
      <c r="AL31" s="77">
        <v>642.087985</v>
      </c>
      <c r="AM31" s="77">
        <v>256.36469</v>
      </c>
      <c r="AN31" s="77">
        <v>422.21998100000002</v>
      </c>
      <c r="AO31" s="77">
        <v>313.41798299999999</v>
      </c>
      <c r="AP31" s="77">
        <v>528.07275300000003</v>
      </c>
      <c r="AQ31" s="77">
        <v>248.80670599999999</v>
      </c>
      <c r="AR31" s="77">
        <v>279.33796000000001</v>
      </c>
      <c r="AS31" s="77">
        <v>617.95494599999995</v>
      </c>
      <c r="AT31" s="77">
        <v>279.70253500000001</v>
      </c>
      <c r="AU31" s="77">
        <v>433.73586899999998</v>
      </c>
      <c r="AV31" s="77">
        <v>320.37294500000002</v>
      </c>
      <c r="AW31" s="77">
        <v>535.05730200000005</v>
      </c>
      <c r="AX31" s="77">
        <v>250.12055699999999</v>
      </c>
      <c r="AY31" s="77">
        <v>275.41729400000003</v>
      </c>
      <c r="AZ31" s="77">
        <v>619.99525500000004</v>
      </c>
      <c r="BA31" s="77">
        <v>252.098625</v>
      </c>
      <c r="BB31" s="77">
        <v>458.72533800000002</v>
      </c>
      <c r="BC31" s="77">
        <v>337.72778399999999</v>
      </c>
      <c r="BD31" s="77">
        <v>567.16856600000006</v>
      </c>
      <c r="BE31" s="77">
        <v>268.03324400000002</v>
      </c>
      <c r="BF31" s="77">
        <v>298.40909299999998</v>
      </c>
      <c r="BG31" s="77">
        <v>635.179395</v>
      </c>
      <c r="BH31" s="77">
        <v>249.715497</v>
      </c>
      <c r="BI31" s="77">
        <v>414.897537</v>
      </c>
      <c r="BJ31" s="77">
        <v>308.65210200000001</v>
      </c>
      <c r="BK31" s="77">
        <v>512.976719</v>
      </c>
      <c r="BL31" s="77">
        <v>245.180724</v>
      </c>
      <c r="BM31" s="77">
        <v>268.93365599999998</v>
      </c>
      <c r="BN31" s="77">
        <v>574.12420799999995</v>
      </c>
      <c r="BO31" s="77">
        <v>242.39454599999999</v>
      </c>
      <c r="BP31" s="77">
        <v>396.707897</v>
      </c>
      <c r="BQ31" s="77">
        <v>295.55379099999999</v>
      </c>
      <c r="BR31" s="77">
        <v>498.39243499999998</v>
      </c>
      <c r="BS31" s="77">
        <v>233.99960300000001</v>
      </c>
      <c r="BT31" s="77">
        <v>257.10347899999999</v>
      </c>
      <c r="BU31" s="77">
        <v>654.775441</v>
      </c>
      <c r="BV31" s="77">
        <v>290.08142299999997</v>
      </c>
      <c r="BW31" s="77">
        <v>479.053676</v>
      </c>
      <c r="BX31" s="77">
        <v>351.56232699999998</v>
      </c>
      <c r="BY31" s="77">
        <v>586.49535700000001</v>
      </c>
      <c r="BZ31" s="77">
        <v>273.34037899999998</v>
      </c>
      <c r="CA31" s="77">
        <v>309.298473</v>
      </c>
      <c r="CB31" s="77">
        <v>718.04349200000001</v>
      </c>
      <c r="CC31" s="77">
        <v>281.04179099999999</v>
      </c>
      <c r="CD31" s="77">
        <v>475.13546400000001</v>
      </c>
      <c r="CE31" s="77">
        <v>352.80178100000001</v>
      </c>
      <c r="CF31" s="77">
        <v>592.36633500000005</v>
      </c>
      <c r="CG31" s="77">
        <v>279.30147699999998</v>
      </c>
      <c r="CH31" s="77">
        <v>307.35866800000002</v>
      </c>
      <c r="CI31" s="77">
        <v>608.00045599999999</v>
      </c>
      <c r="CJ31" s="77">
        <v>253.32328100000001</v>
      </c>
      <c r="CK31" s="77">
        <v>417.20765299999999</v>
      </c>
      <c r="CL31" s="77">
        <v>313.60558300000002</v>
      </c>
      <c r="CM31" s="77">
        <v>519.72702600000002</v>
      </c>
      <c r="CN31" s="77">
        <v>247.34581900000001</v>
      </c>
      <c r="CO31" s="77">
        <v>264.51774999999998</v>
      </c>
      <c r="CP31" s="77">
        <v>657.92873599999996</v>
      </c>
      <c r="CQ31" s="77">
        <v>270.68991599999998</v>
      </c>
      <c r="CR31" s="77">
        <v>447.47057599999999</v>
      </c>
      <c r="CS31" s="77">
        <v>332.52463399999999</v>
      </c>
      <c r="CT31" s="77">
        <v>560.62687800000003</v>
      </c>
      <c r="CU31" s="77">
        <v>260.82809200000003</v>
      </c>
      <c r="CV31" s="77">
        <v>293.39125000000001</v>
      </c>
      <c r="CW31" s="77">
        <v>658.91823999999997</v>
      </c>
      <c r="CX31" s="77">
        <v>279.35786000000002</v>
      </c>
      <c r="CY31" s="77">
        <v>456.77463999999998</v>
      </c>
      <c r="CZ31" s="77">
        <v>337.24102599999998</v>
      </c>
      <c r="DA31" s="77">
        <v>564.04425200000003</v>
      </c>
      <c r="DB31" s="77">
        <v>262.54972900000001</v>
      </c>
      <c r="DC31" s="77">
        <v>293.55230499999999</v>
      </c>
      <c r="DD31" s="77">
        <v>631.47590100000002</v>
      </c>
      <c r="DE31" s="77">
        <v>263.28610099999997</v>
      </c>
      <c r="DF31" s="77">
        <v>439.63100300000002</v>
      </c>
      <c r="DG31" s="77">
        <v>326.05954300000002</v>
      </c>
      <c r="DH31" s="77">
        <v>548.59624099999996</v>
      </c>
      <c r="DI31" s="77">
        <v>258.827247</v>
      </c>
      <c r="DJ31" s="77">
        <v>279.87575900000002</v>
      </c>
      <c r="DK31" s="77">
        <v>670.54323699999998</v>
      </c>
      <c r="DL31" s="77">
        <v>273.12086499999998</v>
      </c>
      <c r="DM31" s="77">
        <v>486.43124799999998</v>
      </c>
      <c r="DN31" s="77">
        <v>362.15699899999998</v>
      </c>
      <c r="DO31" s="77">
        <v>597.83632799999998</v>
      </c>
      <c r="DP31" s="77">
        <v>286.85809699999999</v>
      </c>
      <c r="DQ31" s="77">
        <v>316.570312</v>
      </c>
      <c r="DR31" s="77">
        <v>670.79266600000005</v>
      </c>
      <c r="DS31" s="77">
        <v>267.740475</v>
      </c>
      <c r="DT31" s="77">
        <v>452.59923199999997</v>
      </c>
      <c r="DU31" s="77">
        <v>340.58194300000002</v>
      </c>
      <c r="DV31" s="77">
        <v>568.76710800000001</v>
      </c>
      <c r="DW31" s="77">
        <v>268.05098900000002</v>
      </c>
      <c r="DX31" s="77">
        <v>298.72327000000001</v>
      </c>
      <c r="DY31" s="77">
        <v>650.28887599999996</v>
      </c>
      <c r="DZ31" s="77">
        <v>291.79393499999998</v>
      </c>
      <c r="EA31" s="77">
        <v>439.53521699999999</v>
      </c>
      <c r="EB31" s="77">
        <v>323.513848</v>
      </c>
      <c r="EC31" s="77">
        <v>543.17508099999998</v>
      </c>
      <c r="ED31" s="77">
        <v>252.70878300000001</v>
      </c>
      <c r="EE31" s="77">
        <v>277.80571200000003</v>
      </c>
      <c r="EF31" s="77">
        <v>613.02176699999995</v>
      </c>
      <c r="EG31" s="77">
        <v>248.957697</v>
      </c>
      <c r="EH31" s="77">
        <v>417.97880300000003</v>
      </c>
      <c r="EI31" s="77">
        <v>310.55555900000002</v>
      </c>
      <c r="EJ31" s="77">
        <v>520.88759500000003</v>
      </c>
      <c r="EK31" s="77">
        <v>243.622446</v>
      </c>
      <c r="EL31" s="77">
        <v>269.15967000000001</v>
      </c>
      <c r="EM31" s="77">
        <v>645.07111699999996</v>
      </c>
      <c r="EN31" s="77">
        <v>252.720339</v>
      </c>
      <c r="EO31" s="77">
        <v>452.45150000000001</v>
      </c>
      <c r="EP31" s="77">
        <v>333.91797100000002</v>
      </c>
      <c r="EQ31" s="77">
        <v>556.94594700000005</v>
      </c>
      <c r="ER31" s="77">
        <v>266.97549500000002</v>
      </c>
      <c r="ES31" s="77">
        <v>294.325425</v>
      </c>
      <c r="ET31" s="77">
        <v>618.69539499999996</v>
      </c>
      <c r="EU31" s="77">
        <v>261.14355499999999</v>
      </c>
      <c r="EV31" s="77">
        <v>462.03622999999999</v>
      </c>
      <c r="EW31" s="77">
        <v>342.25989299999998</v>
      </c>
      <c r="EX31" s="77">
        <v>577.60292600000002</v>
      </c>
      <c r="EY31" s="77">
        <v>272.82050600000002</v>
      </c>
      <c r="EZ31" s="77">
        <v>301.92758199999997</v>
      </c>
      <c r="FA31" s="77">
        <v>635.14260100000001</v>
      </c>
      <c r="FB31" s="77">
        <v>279.14640400000002</v>
      </c>
      <c r="FC31" s="77">
        <v>406.54930000000002</v>
      </c>
      <c r="FD31" s="77">
        <v>299.82074899999998</v>
      </c>
      <c r="FE31" s="77">
        <v>504.06925999999999</v>
      </c>
      <c r="FF31" s="77">
        <v>230.42380800000001</v>
      </c>
      <c r="FG31" s="77">
        <v>258.011053</v>
      </c>
      <c r="FH31" s="77">
        <v>624.28289400000006</v>
      </c>
      <c r="FI31" s="77">
        <v>241.17496600000001</v>
      </c>
      <c r="FJ31" s="77">
        <v>464.79267700000003</v>
      </c>
      <c r="FK31" s="77">
        <v>343.79274099999998</v>
      </c>
      <c r="FL31" s="77">
        <v>579.45799399999999</v>
      </c>
      <c r="FM31" s="77">
        <v>272.43889899999999</v>
      </c>
      <c r="FN31" s="77">
        <v>300.15622999999999</v>
      </c>
      <c r="FO31" s="77">
        <v>670.61024999999995</v>
      </c>
      <c r="FP31" s="77">
        <v>280.26281899999998</v>
      </c>
      <c r="FQ31" s="77">
        <v>438.07336700000002</v>
      </c>
      <c r="FR31" s="77">
        <v>330.017897</v>
      </c>
      <c r="FS31" s="77">
        <v>547.35637099999997</v>
      </c>
      <c r="FT31" s="77">
        <v>259.382338</v>
      </c>
      <c r="FU31" s="77">
        <v>276.49614100000002</v>
      </c>
      <c r="FV31" s="77">
        <v>657.84554300000002</v>
      </c>
      <c r="FW31" s="77">
        <v>269.24101000000002</v>
      </c>
      <c r="FX31" s="77">
        <v>460.625473</v>
      </c>
      <c r="FY31" s="77">
        <v>337.011528</v>
      </c>
      <c r="FZ31" s="77">
        <v>574.21569799999997</v>
      </c>
      <c r="GA31" s="77">
        <v>266.72341999999998</v>
      </c>
      <c r="GB31" s="77">
        <v>302.43695600000001</v>
      </c>
      <c r="GC31" s="77">
        <v>693.93381999999997</v>
      </c>
      <c r="GD31" s="77">
        <v>297.93230599999998</v>
      </c>
      <c r="GE31" s="77">
        <v>455.26887099999999</v>
      </c>
      <c r="GF31" s="77">
        <v>333.75815999999998</v>
      </c>
      <c r="GG31" s="77">
        <v>560.66234499999996</v>
      </c>
      <c r="GH31" s="77">
        <v>261.00981899999999</v>
      </c>
      <c r="GI31" s="77">
        <v>293.00552099999999</v>
      </c>
      <c r="GJ31" s="77">
        <v>640.91744300000005</v>
      </c>
      <c r="GK31" s="77">
        <v>267.19988000000001</v>
      </c>
      <c r="GL31" s="77">
        <v>446.76583199999999</v>
      </c>
      <c r="GM31" s="77">
        <v>330.02266800000001</v>
      </c>
      <c r="GN31" s="77">
        <v>557.69870600000002</v>
      </c>
      <c r="GO31" s="77">
        <v>262.16058399999997</v>
      </c>
      <c r="GP31" s="77">
        <v>283.51780300000001</v>
      </c>
      <c r="GQ31" s="77">
        <v>620.40624600000001</v>
      </c>
      <c r="GR31" s="77">
        <v>250.97051099999999</v>
      </c>
      <c r="GS31" s="77">
        <v>472.85138799999999</v>
      </c>
      <c r="GT31" s="77">
        <v>350.41162300000002</v>
      </c>
      <c r="GU31" s="77">
        <v>583.604061</v>
      </c>
      <c r="GV31" s="77">
        <v>276.44531899999998</v>
      </c>
      <c r="GW31" s="77">
        <v>305.02532000000002</v>
      </c>
      <c r="GX31" s="77">
        <v>677.38364999999999</v>
      </c>
      <c r="GY31" s="77">
        <v>269.41833800000001</v>
      </c>
      <c r="GZ31" s="77">
        <v>420.22411899999997</v>
      </c>
      <c r="HA31" s="77">
        <v>309.01667400000002</v>
      </c>
      <c r="HB31" s="77">
        <v>526.29638</v>
      </c>
      <c r="HC31" s="77">
        <v>245.359576</v>
      </c>
      <c r="HD31" s="77">
        <v>275.40067099999999</v>
      </c>
      <c r="HE31" s="77">
        <v>672.53038900000001</v>
      </c>
      <c r="HF31" s="77">
        <v>302.57642800000002</v>
      </c>
      <c r="HG31" s="77">
        <v>501.49738600000001</v>
      </c>
      <c r="HH31" s="77">
        <v>367.29601100000002</v>
      </c>
      <c r="HI31" s="77">
        <v>617.23244499999998</v>
      </c>
      <c r="HJ31" s="77">
        <v>288.155867</v>
      </c>
      <c r="HK31" s="77">
        <v>318.38777299999998</v>
      </c>
      <c r="HL31" s="77">
        <v>691.83328900000004</v>
      </c>
      <c r="HM31" s="77">
        <v>280.806082</v>
      </c>
      <c r="HN31" s="77">
        <v>449.272132</v>
      </c>
      <c r="HO31" s="77">
        <v>331.32747699999999</v>
      </c>
      <c r="HP31" s="77">
        <v>560.46401600000002</v>
      </c>
      <c r="HQ31" s="77">
        <v>259.81341600000002</v>
      </c>
      <c r="HR31" s="77">
        <v>287.57967500000001</v>
      </c>
      <c r="HS31" s="77">
        <v>686.15842699999996</v>
      </c>
      <c r="HT31" s="77">
        <v>267.57532500000002</v>
      </c>
      <c r="HU31" s="77">
        <v>508.830578</v>
      </c>
      <c r="HV31" s="77">
        <v>381.73882900000001</v>
      </c>
      <c r="HW31" s="77">
        <v>630.33059700000001</v>
      </c>
      <c r="HX31" s="77">
        <v>301.895781</v>
      </c>
      <c r="HY31" s="77">
        <v>329.82955800000002</v>
      </c>
      <c r="HZ31" s="77">
        <v>710.91299400000003</v>
      </c>
      <c r="IA31" s="77">
        <v>299.78669000000002</v>
      </c>
      <c r="IB31" s="77">
        <v>471.32840800000002</v>
      </c>
      <c r="IC31" s="77">
        <v>347.15665000000001</v>
      </c>
      <c r="ID31" s="77">
        <v>591.630987</v>
      </c>
      <c r="IE31" s="77">
        <v>275.79081600000001</v>
      </c>
      <c r="IF31" s="77">
        <v>303.19432599999999</v>
      </c>
      <c r="IG31" s="77">
        <v>666.87907399999995</v>
      </c>
      <c r="IH31" s="77">
        <v>289.45593300000002</v>
      </c>
      <c r="II31" s="77">
        <v>454.72483899999997</v>
      </c>
      <c r="IJ31" s="77">
        <v>332.70853199999999</v>
      </c>
      <c r="IK31" s="77">
        <v>563.17931999999996</v>
      </c>
      <c r="IL31" s="77">
        <v>256.55014199999999</v>
      </c>
      <c r="IM31" s="77">
        <v>288.15225600000002</v>
      </c>
      <c r="IN31" s="77">
        <v>702.12698599999999</v>
      </c>
      <c r="IO31" s="77">
        <v>271.33168000000001</v>
      </c>
      <c r="IP31" s="77">
        <v>474.68065999999999</v>
      </c>
      <c r="IQ31" s="77">
        <v>347.45308399999999</v>
      </c>
      <c r="IR31" s="77">
        <v>590.80266700000004</v>
      </c>
      <c r="IS31" s="77">
        <v>276.54338799999999</v>
      </c>
      <c r="IT31" s="77">
        <v>305.965576</v>
      </c>
      <c r="IU31" s="77">
        <v>733.57150200000001</v>
      </c>
      <c r="IV31" s="77">
        <v>306.12541199999998</v>
      </c>
      <c r="IW31" s="77">
        <v>550.042328</v>
      </c>
      <c r="IX31" s="77">
        <v>411.00738200000001</v>
      </c>
      <c r="IY31" s="77">
        <v>683.37791500000003</v>
      </c>
      <c r="IZ31" s="77">
        <v>325.47330199999999</v>
      </c>
      <c r="JA31" s="77">
        <v>349.22888999999998</v>
      </c>
      <c r="JB31" s="77">
        <v>783.817454</v>
      </c>
      <c r="JC31" s="77">
        <v>321.92712499999999</v>
      </c>
      <c r="JD31" s="77">
        <v>498.163095</v>
      </c>
      <c r="JE31" s="77">
        <v>363.44018799999998</v>
      </c>
      <c r="JF31" s="77">
        <v>621.90478299999995</v>
      </c>
      <c r="JG31" s="77">
        <v>287.05863199999999</v>
      </c>
      <c r="JH31" s="77">
        <v>325.15960999999999</v>
      </c>
      <c r="JI31" s="77">
        <v>703.94411500000001</v>
      </c>
      <c r="JJ31" s="77">
        <v>297.46077100000002</v>
      </c>
      <c r="JK31" s="77">
        <v>494.13719200000003</v>
      </c>
      <c r="JL31" s="77">
        <v>360.33015699999999</v>
      </c>
      <c r="JM31" s="77">
        <v>608.24660500000005</v>
      </c>
      <c r="JN31" s="77">
        <v>282.47861599999999</v>
      </c>
      <c r="JO31" s="77">
        <v>317.641908</v>
      </c>
      <c r="JP31" s="77">
        <v>666.427954</v>
      </c>
      <c r="JQ31" s="77">
        <v>277.46520500000003</v>
      </c>
      <c r="JR31" s="77">
        <v>458.41317500000002</v>
      </c>
      <c r="JS31" s="77">
        <v>340.28777000000002</v>
      </c>
      <c r="JT31" s="77">
        <v>575.23049900000001</v>
      </c>
      <c r="JU31" s="77">
        <v>268.50360599999999</v>
      </c>
      <c r="JV31" s="77">
        <v>288.50376399999999</v>
      </c>
      <c r="JW31" s="77">
        <v>524.61770300000001</v>
      </c>
      <c r="JX31" s="77">
        <v>294.05823400000003</v>
      </c>
      <c r="JY31" s="77">
        <v>423.21420999999998</v>
      </c>
      <c r="JZ31" s="77">
        <v>323.149877</v>
      </c>
      <c r="KA31" s="77">
        <v>522.60004400000003</v>
      </c>
      <c r="KB31" s="77">
        <v>542.23206400000004</v>
      </c>
      <c r="KC31" s="77">
        <v>555.840643</v>
      </c>
      <c r="KD31" s="77">
        <v>367.011595</v>
      </c>
      <c r="KE31" s="77">
        <v>400.430027</v>
      </c>
      <c r="KF31" s="77">
        <v>419.98165599999999</v>
      </c>
      <c r="KG31" s="77">
        <v>412.38508200000001</v>
      </c>
      <c r="KH31" s="77">
        <v>384.48440299999999</v>
      </c>
      <c r="KI31" s="77">
        <v>417.89777299999997</v>
      </c>
      <c r="KJ31" s="77">
        <v>434.18270699999999</v>
      </c>
      <c r="KK31" s="77">
        <v>441.12450799999999</v>
      </c>
      <c r="KL31" s="77">
        <v>551.05985499999997</v>
      </c>
      <c r="KM31" s="77">
        <v>433.74774600000001</v>
      </c>
      <c r="KN31" s="77">
        <v>427.91318200000001</v>
      </c>
      <c r="KO31" s="77">
        <v>393.11036799999999</v>
      </c>
      <c r="KP31" s="77">
        <v>424.85155600000002</v>
      </c>
      <c r="KQ31" s="77">
        <v>431.944185</v>
      </c>
      <c r="KR31" s="77">
        <v>376.55076500000001</v>
      </c>
      <c r="KS31" s="77">
        <v>424.644317</v>
      </c>
      <c r="KT31" s="77">
        <v>426.46335800000003</v>
      </c>
      <c r="KU31" s="77">
        <v>418.94315399999999</v>
      </c>
      <c r="KV31" s="77">
        <v>389.47036200000002</v>
      </c>
      <c r="KW31" s="77">
        <v>419.81778300000002</v>
      </c>
      <c r="KX31" s="77">
        <v>431.86790200000002</v>
      </c>
      <c r="KY31" s="77">
        <v>436.75642699999997</v>
      </c>
      <c r="KZ31" s="77">
        <v>467.77988599999998</v>
      </c>
      <c r="LA31" s="77">
        <v>426.290457</v>
      </c>
      <c r="LB31" s="77">
        <v>421.31853699999999</v>
      </c>
      <c r="LC31" s="77">
        <v>385.49998199999999</v>
      </c>
      <c r="LD31" s="77">
        <v>426.09940799999998</v>
      </c>
      <c r="LE31" s="77">
        <v>434.28064699999999</v>
      </c>
      <c r="LF31" s="77">
        <v>359.18658399999998</v>
      </c>
      <c r="LG31" s="77">
        <v>422.860299</v>
      </c>
      <c r="LH31" s="77">
        <v>382.55151999999998</v>
      </c>
      <c r="LI31" s="77">
        <v>377.29513900000001</v>
      </c>
      <c r="LJ31" s="77">
        <v>349.919016</v>
      </c>
      <c r="LK31" s="77">
        <v>381.96787599999999</v>
      </c>
      <c r="LL31" s="77">
        <v>388.589609</v>
      </c>
      <c r="LM31" s="77">
        <v>378.54468200000002</v>
      </c>
      <c r="LN31" s="77">
        <v>460.31250499999999</v>
      </c>
      <c r="LO31" s="77">
        <v>429.09457400000002</v>
      </c>
      <c r="LP31" s="77">
        <v>418.99936100000002</v>
      </c>
      <c r="LQ31" s="77">
        <v>388.40341799999999</v>
      </c>
      <c r="LR31" s="77">
        <v>413.27895699999999</v>
      </c>
      <c r="LS31" s="77">
        <v>430.83970499999998</v>
      </c>
      <c r="LT31" s="77">
        <v>382.00709999999998</v>
      </c>
      <c r="LU31" s="77">
        <v>409.863133</v>
      </c>
      <c r="LV31" s="77">
        <v>376.86024300000003</v>
      </c>
      <c r="LW31" s="77">
        <v>370.08606200000003</v>
      </c>
      <c r="LX31" s="77">
        <v>341.970212</v>
      </c>
      <c r="LY31" s="77">
        <v>375.18957799999998</v>
      </c>
      <c r="LZ31" s="77">
        <v>383.87329099999999</v>
      </c>
      <c r="MA31" s="77">
        <v>357.15357</v>
      </c>
      <c r="MB31" s="77">
        <v>414.15774299999998</v>
      </c>
      <c r="MC31" s="77">
        <v>379.47975500000001</v>
      </c>
      <c r="MD31" s="77">
        <v>376.526318</v>
      </c>
      <c r="ME31" s="77">
        <v>344.04226899999998</v>
      </c>
      <c r="MF31" s="77">
        <v>380.48618699999997</v>
      </c>
      <c r="MG31" s="77">
        <v>379.79924799999998</v>
      </c>
      <c r="MH31" s="77">
        <v>361.852372</v>
      </c>
      <c r="MI31" s="77">
        <v>413.95649500000002</v>
      </c>
      <c r="MJ31" s="77">
        <v>411.45769899999999</v>
      </c>
      <c r="MK31" s="77">
        <v>403.65686099999999</v>
      </c>
      <c r="ML31" s="77">
        <v>377.25695000000002</v>
      </c>
      <c r="MM31" s="77">
        <v>404.872863</v>
      </c>
      <c r="MN31" s="77">
        <v>423.099807</v>
      </c>
      <c r="MO31" s="77">
        <v>428.52658600000001</v>
      </c>
      <c r="MP31" s="77">
        <v>502.87709000000001</v>
      </c>
      <c r="MQ31" s="77">
        <v>413.27968499999997</v>
      </c>
      <c r="MR31" s="77">
        <v>404.68912399999999</v>
      </c>
      <c r="MS31" s="77">
        <v>374.12452400000001</v>
      </c>
      <c r="MT31" s="77">
        <v>402.49417199999999</v>
      </c>
      <c r="MU31" s="77">
        <v>417.69589300000001</v>
      </c>
      <c r="MV31" s="77">
        <v>387.79801700000002</v>
      </c>
      <c r="MW31" s="77">
        <v>446.72934800000002</v>
      </c>
      <c r="MX31" s="77">
        <v>412.078464</v>
      </c>
      <c r="MY31" s="77">
        <v>406.89354300000002</v>
      </c>
      <c r="MZ31" s="77">
        <v>376.846225</v>
      </c>
      <c r="NA31" s="77">
        <v>411.32691499999999</v>
      </c>
      <c r="NB31" s="77">
        <v>412.81687899999997</v>
      </c>
      <c r="NC31" s="77">
        <v>392.22206599999998</v>
      </c>
      <c r="ND31" s="77">
        <v>439.41593</v>
      </c>
      <c r="NE31" s="77">
        <v>433.84749199999999</v>
      </c>
      <c r="NF31" s="77">
        <v>427.98705000000001</v>
      </c>
      <c r="NG31" s="77">
        <v>394.296268</v>
      </c>
      <c r="NH31" s="77">
        <v>429.273819</v>
      </c>
      <c r="NI31" s="77">
        <v>438.53445699999997</v>
      </c>
      <c r="NJ31" s="77">
        <v>416.70373000000001</v>
      </c>
      <c r="NK31" s="77">
        <v>452.68644</v>
      </c>
      <c r="NL31" s="77">
        <v>416.037465</v>
      </c>
      <c r="NM31" s="77">
        <v>408.58583599999997</v>
      </c>
      <c r="NN31" s="77">
        <v>381.30183499999998</v>
      </c>
      <c r="NO31" s="77">
        <v>413.94325300000003</v>
      </c>
      <c r="NP31" s="77">
        <v>430.17137100000002</v>
      </c>
      <c r="NQ31" s="77">
        <v>370.08072299999998</v>
      </c>
      <c r="NR31" s="77">
        <v>462.32009900000003</v>
      </c>
      <c r="NS31" s="77">
        <v>394.59597500000001</v>
      </c>
      <c r="NT31" s="77">
        <v>387.696504</v>
      </c>
      <c r="NU31" s="77">
        <v>357.43773099999999</v>
      </c>
      <c r="NV31" s="77">
        <v>385.69167299999998</v>
      </c>
      <c r="NW31" s="77">
        <v>392.299958</v>
      </c>
      <c r="NX31" s="77">
        <v>388.099965</v>
      </c>
      <c r="NY31" s="77">
        <v>435.01522599999998</v>
      </c>
      <c r="NZ31" s="77">
        <v>434.99978700000003</v>
      </c>
      <c r="OA31" s="77">
        <v>427.65366499999999</v>
      </c>
      <c r="OB31" s="77">
        <v>398.65381000000002</v>
      </c>
      <c r="OC31" s="77">
        <v>428.37286</v>
      </c>
      <c r="OD31" s="77">
        <v>440.46414499999997</v>
      </c>
      <c r="OE31" s="77">
        <v>407.89863500000001</v>
      </c>
      <c r="OF31" s="77">
        <v>435.80340100000001</v>
      </c>
      <c r="OG31" s="77">
        <v>400.36402600000002</v>
      </c>
      <c r="OH31" s="77">
        <v>395.55255899999997</v>
      </c>
      <c r="OI31" s="77">
        <v>363.163456</v>
      </c>
      <c r="OJ31" s="77">
        <v>400.18730399999998</v>
      </c>
      <c r="OK31" s="77">
        <v>407.17512499999998</v>
      </c>
      <c r="OL31" s="77">
        <v>366.92858000000001</v>
      </c>
      <c r="OM31" s="77">
        <v>428.52432299999998</v>
      </c>
      <c r="ON31" s="77">
        <v>389.72896600000001</v>
      </c>
      <c r="OO31" s="77">
        <v>384.03835500000002</v>
      </c>
      <c r="OP31" s="77">
        <v>357.8974</v>
      </c>
      <c r="OQ31" s="77">
        <v>388.88474000000002</v>
      </c>
      <c r="OR31" s="77">
        <v>396.44108</v>
      </c>
      <c r="OS31" s="77">
        <v>381.39957600000002</v>
      </c>
      <c r="OT31" s="77">
        <v>463.81056799999999</v>
      </c>
      <c r="OU31" s="77">
        <v>429.58636899999999</v>
      </c>
      <c r="OV31" s="77">
        <v>419.64164</v>
      </c>
      <c r="OW31" s="77">
        <v>389.84929</v>
      </c>
      <c r="OX31" s="77">
        <v>413.40759800000001</v>
      </c>
      <c r="OY31" s="77">
        <v>431.113631</v>
      </c>
      <c r="OZ31" s="77">
        <v>398.97353099999998</v>
      </c>
      <c r="PA31" s="77">
        <v>426.42959300000001</v>
      </c>
      <c r="PB31" s="77">
        <v>393.23734200000001</v>
      </c>
      <c r="PC31" s="77">
        <v>386.64255700000001</v>
      </c>
      <c r="PD31" s="77">
        <v>358.77865100000002</v>
      </c>
      <c r="PE31" s="77">
        <v>391.36369500000001</v>
      </c>
      <c r="PF31" s="77">
        <v>400.358881</v>
      </c>
      <c r="PG31" s="77">
        <v>360.16600799999998</v>
      </c>
      <c r="PH31" s="77">
        <v>415.76176199999998</v>
      </c>
      <c r="PI31" s="77">
        <v>382.12938400000002</v>
      </c>
      <c r="PJ31" s="77">
        <v>379.11465099999998</v>
      </c>
      <c r="PK31" s="77">
        <v>346.98062900000002</v>
      </c>
      <c r="PL31" s="77">
        <v>383.098049</v>
      </c>
      <c r="PM31" s="77">
        <v>382.464654</v>
      </c>
      <c r="PN31" s="77">
        <v>351.78755699999999</v>
      </c>
      <c r="PO31" s="77">
        <v>400.79202500000002</v>
      </c>
      <c r="PP31" s="77">
        <v>400.66599400000001</v>
      </c>
      <c r="PQ31" s="77">
        <v>392.71059700000001</v>
      </c>
      <c r="PR31" s="77">
        <v>368.24123400000002</v>
      </c>
      <c r="PS31" s="77">
        <v>394.44850600000001</v>
      </c>
      <c r="PT31" s="77">
        <v>412.00412399999999</v>
      </c>
      <c r="PU31" s="77">
        <v>432.28114900000003</v>
      </c>
      <c r="PV31" s="77">
        <v>508.14478500000001</v>
      </c>
      <c r="PW31" s="77">
        <v>417.701008</v>
      </c>
      <c r="PX31" s="77">
        <v>408.44554900000003</v>
      </c>
      <c r="PY31" s="77">
        <v>378.09870899999999</v>
      </c>
      <c r="PZ31" s="77">
        <v>406.51200299999999</v>
      </c>
      <c r="QA31" s="77">
        <v>421.62287099999998</v>
      </c>
      <c r="QB31" s="77">
        <v>412.28653100000002</v>
      </c>
      <c r="QC31" s="77">
        <v>477.73417699999999</v>
      </c>
      <c r="QD31" s="77">
        <v>439.04262899999998</v>
      </c>
      <c r="QE31" s="77">
        <v>433.46690100000001</v>
      </c>
      <c r="QF31" s="77">
        <v>400.37799000000001</v>
      </c>
      <c r="QG31" s="77">
        <v>438.39980200000002</v>
      </c>
      <c r="QH31" s="77">
        <v>439.69991399999998</v>
      </c>
      <c r="QI31" s="77">
        <v>371.113112</v>
      </c>
      <c r="QJ31" s="77">
        <v>418.26417700000002</v>
      </c>
      <c r="QK31" s="77">
        <v>388.99177400000002</v>
      </c>
      <c r="QL31" s="77">
        <v>382.87670200000002</v>
      </c>
      <c r="QM31" s="77">
        <v>351.17073900000003</v>
      </c>
      <c r="QN31" s="77">
        <v>384.383239</v>
      </c>
      <c r="QO31" s="77">
        <v>393.329409</v>
      </c>
      <c r="QP31" s="77">
        <v>391.26024899999999</v>
      </c>
      <c r="QQ31" s="77">
        <v>426.259411</v>
      </c>
      <c r="QR31" s="77">
        <v>414.63129600000002</v>
      </c>
      <c r="QS31" s="77">
        <v>406.66565900000001</v>
      </c>
    </row>
    <row r="32" spans="6:461" x14ac:dyDescent="0.25">
      <c r="F32" s="76" t="str">
        <f xml:space="preserve"> _xll.EPMOlapMemberO("[PRDDESCR].[].[WONDER GFREE WHITE 470G]","","WONDER GFREE WHITE 470G","","000")</f>
        <v>WONDER GFREE WHITE 470G</v>
      </c>
      <c r="G32" s="76" t="str">
        <f xml:space="preserve"> _xll.EPMOlapMemberO("[PRDID].[].[179649]","","179649","","000")</f>
        <v>179649</v>
      </c>
      <c r="H32" s="76" t="str">
        <f xml:space="preserve"> _xll.EPMOlapMemberO("[LOCID].[].[6105]","","6105","","000")</f>
        <v>6105</v>
      </c>
      <c r="I32" s="76" t="str">
        <f xml:space="preserve"> _xll.EPMOlapMemberO("[LOCDESCR].[].[QBA-Rydalmere]","","QBA-Rydalmere","","000")</f>
        <v>QBA-Rydalmere</v>
      </c>
      <c r="J32" s="76" t="str">
        <f xml:space="preserve"> _xll.EPMOlapMemberO("[KEY_FIGURES].[].[ZGFAPPROVEDFCSTQTY]","","Approved Forecast","","000")</f>
        <v>Approved Forecast</v>
      </c>
      <c r="K32" s="77">
        <v>219.053856</v>
      </c>
      <c r="L32" s="77">
        <v>179.08432300000001</v>
      </c>
      <c r="M32" s="77">
        <v>195.01265799999999</v>
      </c>
      <c r="N32" s="77">
        <v>210.36384799999999</v>
      </c>
      <c r="O32" s="77">
        <v>234.87424799999999</v>
      </c>
      <c r="P32" s="77">
        <v>180.44430800000001</v>
      </c>
      <c r="Q32" s="77">
        <v>340.47115300000002</v>
      </c>
      <c r="R32" s="77">
        <v>237.662903</v>
      </c>
      <c r="S32" s="77">
        <v>180.225435</v>
      </c>
      <c r="T32" s="77">
        <v>199.48562200000001</v>
      </c>
      <c r="U32" s="77">
        <v>209.310374</v>
      </c>
      <c r="V32" s="77">
        <v>239.29710299999999</v>
      </c>
      <c r="W32" s="77">
        <v>184.09235699999999</v>
      </c>
      <c r="X32" s="77">
        <v>314.61903899999999</v>
      </c>
      <c r="Y32" s="77">
        <v>233.935112</v>
      </c>
      <c r="Z32" s="77">
        <v>182.41831199999999</v>
      </c>
      <c r="AA32" s="77">
        <v>195.65361999999999</v>
      </c>
      <c r="AB32" s="77">
        <v>205.20898299999999</v>
      </c>
      <c r="AC32" s="77">
        <v>236.04503700000001</v>
      </c>
      <c r="AD32" s="77">
        <v>177.29153199999999</v>
      </c>
      <c r="AE32" s="77"/>
      <c r="AF32" s="77"/>
      <c r="AG32" s="77"/>
      <c r="AH32" s="77"/>
      <c r="AI32" s="77"/>
      <c r="AJ32" s="77"/>
      <c r="AK32" s="77"/>
      <c r="AL32" s="77">
        <v>317.31141100000002</v>
      </c>
      <c r="AM32" s="77">
        <v>231.96629200000001</v>
      </c>
      <c r="AN32" s="77">
        <v>172.37187299999999</v>
      </c>
      <c r="AO32" s="77">
        <v>184.041596</v>
      </c>
      <c r="AP32" s="77">
        <v>194.84871799999999</v>
      </c>
      <c r="AQ32" s="77">
        <v>223.643992</v>
      </c>
      <c r="AR32" s="77">
        <v>167.41538600000001</v>
      </c>
      <c r="AS32" s="77">
        <v>304.23909900000001</v>
      </c>
      <c r="AT32" s="77">
        <v>221.59223</v>
      </c>
      <c r="AU32" s="77">
        <v>176.06968900000001</v>
      </c>
      <c r="AV32" s="77">
        <v>184.53485000000001</v>
      </c>
      <c r="AW32" s="77">
        <v>198.281002</v>
      </c>
      <c r="AX32" s="77">
        <v>223.671558</v>
      </c>
      <c r="AY32" s="77">
        <v>171.07312899999999</v>
      </c>
      <c r="AZ32" s="77">
        <v>305.69310200000001</v>
      </c>
      <c r="BA32" s="77">
        <v>225.33402899999999</v>
      </c>
      <c r="BB32" s="77">
        <v>189.47598600000001</v>
      </c>
      <c r="BC32" s="77">
        <v>200.145025</v>
      </c>
      <c r="BD32" s="77">
        <v>213.124514</v>
      </c>
      <c r="BE32" s="77">
        <v>242.93917300000001</v>
      </c>
      <c r="BF32" s="77">
        <v>183.95461900000001</v>
      </c>
      <c r="BG32" s="77">
        <v>318.038611</v>
      </c>
      <c r="BH32" s="77">
        <v>227.728972</v>
      </c>
      <c r="BI32" s="77">
        <v>172.39401100000001</v>
      </c>
      <c r="BJ32" s="77">
        <v>180.511111</v>
      </c>
      <c r="BK32" s="77">
        <v>193.85767300000001</v>
      </c>
      <c r="BL32" s="77">
        <v>218.43687800000001</v>
      </c>
      <c r="BM32" s="77">
        <v>167.48824200000001</v>
      </c>
      <c r="BN32" s="77">
        <v>299.05107800000002</v>
      </c>
      <c r="BO32" s="77">
        <v>222.03025500000001</v>
      </c>
      <c r="BP32" s="77">
        <v>173.669781</v>
      </c>
      <c r="BQ32" s="77">
        <v>186.32629700000001</v>
      </c>
      <c r="BR32" s="77">
        <v>195.094585</v>
      </c>
      <c r="BS32" s="77">
        <v>224.28711899999999</v>
      </c>
      <c r="BT32" s="77">
        <v>168.779225</v>
      </c>
      <c r="BU32" s="77">
        <v>315.16518500000001</v>
      </c>
      <c r="BV32" s="77">
        <v>229.01213799999999</v>
      </c>
      <c r="BW32" s="77">
        <v>192.23588699999999</v>
      </c>
      <c r="BX32" s="77">
        <v>200.19326899999999</v>
      </c>
      <c r="BY32" s="77">
        <v>215.650632</v>
      </c>
      <c r="BZ32" s="77">
        <v>242.285248</v>
      </c>
      <c r="CA32" s="77">
        <v>186.75212500000001</v>
      </c>
      <c r="CB32" s="77">
        <v>333.65908999999999</v>
      </c>
      <c r="CC32" s="77">
        <v>246.104434</v>
      </c>
      <c r="CD32" s="77">
        <v>185.04083600000001</v>
      </c>
      <c r="CE32" s="77">
        <v>198.888971</v>
      </c>
      <c r="CF32" s="77">
        <v>207.90409600000001</v>
      </c>
      <c r="CG32" s="77">
        <v>239.420278</v>
      </c>
      <c r="CH32" s="77">
        <v>179.88412</v>
      </c>
      <c r="CI32" s="77">
        <v>306.71381400000001</v>
      </c>
      <c r="CJ32" s="77">
        <v>223.568962</v>
      </c>
      <c r="CK32" s="77">
        <v>177.508478</v>
      </c>
      <c r="CL32" s="77">
        <v>186.10779299999999</v>
      </c>
      <c r="CM32" s="77">
        <v>199.91029900000001</v>
      </c>
      <c r="CN32" s="77">
        <v>225.57163800000001</v>
      </c>
      <c r="CO32" s="77">
        <v>172.48012600000001</v>
      </c>
      <c r="CP32" s="77">
        <v>292.95454100000001</v>
      </c>
      <c r="CQ32" s="77">
        <v>217.685104</v>
      </c>
      <c r="CR32" s="77">
        <v>168.39193900000001</v>
      </c>
      <c r="CS32" s="77">
        <v>180.13421099999999</v>
      </c>
      <c r="CT32" s="77">
        <v>190.55420100000001</v>
      </c>
      <c r="CU32" s="77">
        <v>218.97633300000001</v>
      </c>
      <c r="CV32" s="77">
        <v>163.556995</v>
      </c>
      <c r="CW32" s="77">
        <v>309.14258000000001</v>
      </c>
      <c r="CX32" s="77">
        <v>224.73806500000001</v>
      </c>
      <c r="CY32" s="77">
        <v>178.57406399999999</v>
      </c>
      <c r="CZ32" s="77">
        <v>186.81231199999999</v>
      </c>
      <c r="DA32" s="77">
        <v>201.357111</v>
      </c>
      <c r="DB32" s="77">
        <v>227.009804</v>
      </c>
      <c r="DC32" s="77">
        <v>173.47498100000001</v>
      </c>
      <c r="DD32" s="77">
        <v>298.93368099999998</v>
      </c>
      <c r="DE32" s="77">
        <v>221.952765</v>
      </c>
      <c r="DF32" s="77">
        <v>172.25361599999999</v>
      </c>
      <c r="DG32" s="77">
        <v>184.29317</v>
      </c>
      <c r="DH32" s="77">
        <v>194.585658</v>
      </c>
      <c r="DI32" s="77">
        <v>223.58668599999999</v>
      </c>
      <c r="DJ32" s="77">
        <v>167.33046400000001</v>
      </c>
      <c r="DK32" s="77">
        <v>301.34716900000001</v>
      </c>
      <c r="DL32" s="77">
        <v>219.44106099999999</v>
      </c>
      <c r="DM32" s="77">
        <v>182.421852</v>
      </c>
      <c r="DN32" s="77">
        <v>189.62284299999999</v>
      </c>
      <c r="DO32" s="77">
        <v>206.093918</v>
      </c>
      <c r="DP32" s="77">
        <v>231.68147400000001</v>
      </c>
      <c r="DQ32" s="77">
        <v>177.10837000000001</v>
      </c>
      <c r="DR32" s="77">
        <v>305.31332099999997</v>
      </c>
      <c r="DS32" s="77">
        <v>225.43598399999999</v>
      </c>
      <c r="DT32" s="77">
        <v>169.79877099999999</v>
      </c>
      <c r="DU32" s="77">
        <v>183.26901899999999</v>
      </c>
      <c r="DV32" s="77">
        <v>193.468018</v>
      </c>
      <c r="DW32" s="77">
        <v>223.89306300000001</v>
      </c>
      <c r="DX32" s="77">
        <v>165.00078999999999</v>
      </c>
      <c r="DY32" s="77">
        <v>309.10949499999998</v>
      </c>
      <c r="DZ32" s="77">
        <v>229.33236400000001</v>
      </c>
      <c r="EA32" s="77">
        <v>175.371398</v>
      </c>
      <c r="EB32" s="77">
        <v>184.334833</v>
      </c>
      <c r="EC32" s="77">
        <v>197.22560300000001</v>
      </c>
      <c r="ED32" s="77">
        <v>222.75372400000001</v>
      </c>
      <c r="EE32" s="77">
        <v>170.446707</v>
      </c>
      <c r="EF32" s="77">
        <v>303.821123</v>
      </c>
      <c r="EG32" s="77">
        <v>225.85952</v>
      </c>
      <c r="EH32" s="77">
        <v>176.528175</v>
      </c>
      <c r="EI32" s="77">
        <v>189.536101</v>
      </c>
      <c r="EJ32" s="77">
        <v>198.25898699999999</v>
      </c>
      <c r="EK32" s="77">
        <v>228.05132399999999</v>
      </c>
      <c r="EL32" s="77">
        <v>171.57602700000001</v>
      </c>
      <c r="EM32" s="77">
        <v>307.07296700000001</v>
      </c>
      <c r="EN32" s="77">
        <v>226.380268</v>
      </c>
      <c r="EO32" s="77">
        <v>178.18475599999999</v>
      </c>
      <c r="EP32" s="77">
        <v>188.167258</v>
      </c>
      <c r="EQ32" s="77">
        <v>200.425725</v>
      </c>
      <c r="ER32" s="77">
        <v>227.00874200000001</v>
      </c>
      <c r="ES32" s="77">
        <v>173.259805</v>
      </c>
      <c r="ET32" s="77">
        <v>319.36579399999999</v>
      </c>
      <c r="EU32" s="77">
        <v>236.37878599999999</v>
      </c>
      <c r="EV32" s="77">
        <v>199.21891299999999</v>
      </c>
      <c r="EW32" s="77">
        <v>210.37848399999999</v>
      </c>
      <c r="EX32" s="77">
        <v>224.51920699999999</v>
      </c>
      <c r="EY32" s="77">
        <v>256.10360100000003</v>
      </c>
      <c r="EZ32" s="77">
        <v>193.41969399999999</v>
      </c>
      <c r="FA32" s="77">
        <v>306.58961199999999</v>
      </c>
      <c r="FB32" s="77">
        <v>224.53072599999999</v>
      </c>
      <c r="FC32" s="77">
        <v>165.90828300000001</v>
      </c>
      <c r="FD32" s="77">
        <v>176.15718799999999</v>
      </c>
      <c r="FE32" s="77">
        <v>186.85938899999999</v>
      </c>
      <c r="FF32" s="77">
        <v>212.24906100000001</v>
      </c>
      <c r="FG32" s="77">
        <v>161.357619</v>
      </c>
      <c r="FH32" s="77">
        <v>335.20411300000001</v>
      </c>
      <c r="FI32" s="77">
        <v>247.77543900000001</v>
      </c>
      <c r="FJ32" s="77">
        <v>215.75729999999999</v>
      </c>
      <c r="FK32" s="77">
        <v>227.07693499999999</v>
      </c>
      <c r="FL32" s="77">
        <v>242.381224</v>
      </c>
      <c r="FM32" s="77">
        <v>275.86489399999999</v>
      </c>
      <c r="FN32" s="77">
        <v>209.484869</v>
      </c>
      <c r="FO32" s="77">
        <v>336.37402300000002</v>
      </c>
      <c r="FP32" s="77">
        <v>245.14480499999999</v>
      </c>
      <c r="FQ32" s="77">
        <v>181.97305900000001</v>
      </c>
      <c r="FR32" s="77">
        <v>194.58482799999999</v>
      </c>
      <c r="FS32" s="77">
        <v>206.27018699999999</v>
      </c>
      <c r="FT32" s="77">
        <v>235.81803600000001</v>
      </c>
      <c r="FU32" s="77">
        <v>177.09208799999999</v>
      </c>
      <c r="FV32" s="77">
        <v>302.06087200000002</v>
      </c>
      <c r="FW32" s="77">
        <v>229.38986299999999</v>
      </c>
      <c r="FX32" s="77">
        <v>183.400362</v>
      </c>
      <c r="FY32" s="77">
        <v>195.52818199999999</v>
      </c>
      <c r="FZ32" s="77">
        <v>205.69499200000001</v>
      </c>
      <c r="GA32" s="77">
        <v>235.580724</v>
      </c>
      <c r="GB32" s="77">
        <v>178.185157</v>
      </c>
      <c r="GC32" s="77">
        <v>359.00246700000002</v>
      </c>
      <c r="GD32" s="77">
        <v>256.79258299999998</v>
      </c>
      <c r="GE32" s="77">
        <v>194.408536</v>
      </c>
      <c r="GF32" s="77">
        <v>203.56648000000001</v>
      </c>
      <c r="GG32" s="77">
        <v>218.00053800000001</v>
      </c>
      <c r="GH32" s="77">
        <v>245.679664</v>
      </c>
      <c r="GI32" s="77">
        <v>188.96308199999999</v>
      </c>
      <c r="GJ32" s="77">
        <v>306.87624699999998</v>
      </c>
      <c r="GK32" s="77">
        <v>230.27846500000001</v>
      </c>
      <c r="GL32" s="77">
        <v>176.607474</v>
      </c>
      <c r="GM32" s="77">
        <v>190.03885299999999</v>
      </c>
      <c r="GN32" s="77">
        <v>199.814134</v>
      </c>
      <c r="GO32" s="77">
        <v>230.530766</v>
      </c>
      <c r="GP32" s="77">
        <v>171.63781599999999</v>
      </c>
      <c r="GQ32" s="77">
        <v>288.14346699999999</v>
      </c>
      <c r="GR32" s="77">
        <v>214.36460199999999</v>
      </c>
      <c r="GS32" s="77">
        <v>187.787836</v>
      </c>
      <c r="GT32" s="77">
        <v>195.61004500000001</v>
      </c>
      <c r="GU32" s="77">
        <v>212.28685200000001</v>
      </c>
      <c r="GV32" s="77">
        <v>239.01909800000001</v>
      </c>
      <c r="GW32" s="77">
        <v>182.36131800000001</v>
      </c>
      <c r="GX32" s="77">
        <v>313.615656</v>
      </c>
      <c r="GY32" s="77">
        <v>228.80546799999999</v>
      </c>
      <c r="GZ32" s="77">
        <v>159.55829</v>
      </c>
      <c r="HA32" s="77">
        <v>172.28131500000001</v>
      </c>
      <c r="HB32" s="77">
        <v>179.906375</v>
      </c>
      <c r="HC32" s="77">
        <v>207.65039899999999</v>
      </c>
      <c r="HD32" s="77">
        <v>155.08419000000001</v>
      </c>
      <c r="HE32" s="77">
        <v>349.41081400000002</v>
      </c>
      <c r="HF32" s="77">
        <v>253.55183099999999</v>
      </c>
      <c r="HG32" s="77">
        <v>216.297281</v>
      </c>
      <c r="HH32" s="77">
        <v>224.705547</v>
      </c>
      <c r="HI32" s="77">
        <v>242.178695</v>
      </c>
      <c r="HJ32" s="77">
        <v>271.792688</v>
      </c>
      <c r="HK32" s="77">
        <v>210.161788</v>
      </c>
      <c r="HL32" s="77">
        <v>352.15982200000002</v>
      </c>
      <c r="HM32" s="77">
        <v>261.64583699999997</v>
      </c>
      <c r="HN32" s="77">
        <v>193.794511</v>
      </c>
      <c r="HO32" s="77">
        <v>209.53094999999999</v>
      </c>
      <c r="HP32" s="77">
        <v>217.66296700000001</v>
      </c>
      <c r="HQ32" s="77">
        <v>251.64547099999999</v>
      </c>
      <c r="HR32" s="77">
        <v>188.503693</v>
      </c>
      <c r="HS32" s="77">
        <v>343.48884099999998</v>
      </c>
      <c r="HT32" s="77">
        <v>251.05046300000001</v>
      </c>
      <c r="HU32" s="77">
        <v>212.63676599999999</v>
      </c>
      <c r="HV32" s="77">
        <v>222.867254</v>
      </c>
      <c r="HW32" s="77">
        <v>239.93199200000001</v>
      </c>
      <c r="HX32" s="77">
        <v>271.18439599999999</v>
      </c>
      <c r="HY32" s="77">
        <v>206.68745899999999</v>
      </c>
      <c r="HZ32" s="77">
        <v>357.00771800000001</v>
      </c>
      <c r="IA32" s="77">
        <v>267.30339199999997</v>
      </c>
      <c r="IB32" s="77">
        <v>200.30163400000001</v>
      </c>
      <c r="IC32" s="77">
        <v>216.24832900000001</v>
      </c>
      <c r="ID32" s="77">
        <v>224.42081200000001</v>
      </c>
      <c r="IE32" s="77">
        <v>259.14910099999997</v>
      </c>
      <c r="IF32" s="77">
        <v>194.843041</v>
      </c>
      <c r="IG32" s="77">
        <v>343.08588600000002</v>
      </c>
      <c r="IH32" s="77">
        <v>254.08310900000001</v>
      </c>
      <c r="II32" s="77">
        <v>199.70760799999999</v>
      </c>
      <c r="IJ32" s="77">
        <v>211.49017699999999</v>
      </c>
      <c r="IK32" s="77">
        <v>223.93718100000001</v>
      </c>
      <c r="IL32" s="77">
        <v>254.046796</v>
      </c>
      <c r="IM32" s="77">
        <v>194.32279299999999</v>
      </c>
      <c r="IN32" s="77">
        <v>329.71881300000001</v>
      </c>
      <c r="IO32" s="77">
        <v>246.30255099999999</v>
      </c>
      <c r="IP32" s="77">
        <v>186.61148600000001</v>
      </c>
      <c r="IQ32" s="77">
        <v>200.73336499999999</v>
      </c>
      <c r="IR32" s="77">
        <v>209.31195199999999</v>
      </c>
      <c r="IS32" s="77">
        <v>241.08187100000001</v>
      </c>
      <c r="IT32" s="77">
        <v>181.436601</v>
      </c>
      <c r="IU32" s="77">
        <v>368.91307999999998</v>
      </c>
      <c r="IV32" s="77">
        <v>267.93683199999998</v>
      </c>
      <c r="IW32" s="77">
        <v>229.60880800000001</v>
      </c>
      <c r="IX32" s="77">
        <v>240.433221</v>
      </c>
      <c r="IY32" s="77">
        <v>258.32868400000001</v>
      </c>
      <c r="IZ32" s="77">
        <v>291.731877</v>
      </c>
      <c r="JA32" s="77">
        <v>223.234624</v>
      </c>
      <c r="JB32" s="77">
        <v>390.38775399999997</v>
      </c>
      <c r="JC32" s="77">
        <v>291.28151000000003</v>
      </c>
      <c r="JD32" s="77">
        <v>212.30477099999999</v>
      </c>
      <c r="JE32" s="77">
        <v>227.876214</v>
      </c>
      <c r="JF32" s="77">
        <v>237.59736100000001</v>
      </c>
      <c r="JG32" s="77">
        <v>273.42711700000001</v>
      </c>
      <c r="JH32" s="77">
        <v>206.46189100000001</v>
      </c>
      <c r="JI32" s="77">
        <v>356.87852900000001</v>
      </c>
      <c r="JJ32" s="77">
        <v>263.10127999999997</v>
      </c>
      <c r="JK32" s="77">
        <v>209.423937</v>
      </c>
      <c r="JL32" s="77">
        <v>221.51811599999999</v>
      </c>
      <c r="JM32" s="77">
        <v>233.815482</v>
      </c>
      <c r="JN32" s="77">
        <v>264.846655</v>
      </c>
      <c r="JO32" s="77">
        <v>203.81853599999999</v>
      </c>
      <c r="JP32" s="77">
        <v>314.46405600000003</v>
      </c>
      <c r="JQ32" s="77">
        <v>239.55969999999999</v>
      </c>
      <c r="JR32" s="77">
        <v>181.37976599999999</v>
      </c>
      <c r="JS32" s="77">
        <v>197.09791899999999</v>
      </c>
      <c r="JT32" s="77">
        <v>205.06645599999999</v>
      </c>
      <c r="JU32" s="77">
        <v>238.03134299999999</v>
      </c>
      <c r="JV32" s="77">
        <v>176.42671899999999</v>
      </c>
      <c r="JW32" s="77">
        <v>268.50874900000002</v>
      </c>
      <c r="JX32" s="77">
        <v>322.375429</v>
      </c>
      <c r="JY32" s="77">
        <v>181.430937</v>
      </c>
      <c r="JZ32" s="77">
        <v>208.95520200000001</v>
      </c>
      <c r="KA32" s="77">
        <v>197.256024</v>
      </c>
      <c r="KB32" s="77">
        <v>265.76902999999999</v>
      </c>
      <c r="KC32" s="77">
        <v>268.508531</v>
      </c>
      <c r="KD32" s="77">
        <v>211.872536</v>
      </c>
      <c r="KE32" s="77">
        <v>214.01011700000001</v>
      </c>
      <c r="KF32" s="77">
        <v>227.782276</v>
      </c>
      <c r="KG32" s="77">
        <v>229.91988599999999</v>
      </c>
      <c r="KH32" s="77">
        <v>227.78221300000001</v>
      </c>
      <c r="KI32" s="77">
        <v>229.919826</v>
      </c>
      <c r="KJ32" s="77">
        <v>227.78214199999999</v>
      </c>
      <c r="KK32" s="77">
        <v>265.76634000000001</v>
      </c>
      <c r="KL32" s="77">
        <v>263.31041599999998</v>
      </c>
      <c r="KM32" s="77">
        <v>246.629718</v>
      </c>
      <c r="KN32" s="77">
        <v>244.17383000000001</v>
      </c>
      <c r="KO32" s="77">
        <v>246.62965</v>
      </c>
      <c r="KP32" s="77">
        <v>244.17376100000001</v>
      </c>
      <c r="KQ32" s="77">
        <v>246.62957900000001</v>
      </c>
      <c r="KR32" s="77">
        <v>216.79137700000001</v>
      </c>
      <c r="KS32" s="77">
        <v>218.99481599999999</v>
      </c>
      <c r="KT32" s="77">
        <v>232.97322800000001</v>
      </c>
      <c r="KU32" s="77">
        <v>235.17670699999999</v>
      </c>
      <c r="KV32" s="77">
        <v>232.97316699999999</v>
      </c>
      <c r="KW32" s="77">
        <v>235.17664400000001</v>
      </c>
      <c r="KX32" s="77">
        <v>232.973094</v>
      </c>
      <c r="KY32" s="77">
        <v>247.65936300000001</v>
      </c>
      <c r="KZ32" s="77">
        <v>245.54017099999999</v>
      </c>
      <c r="LA32" s="77">
        <v>228.975188</v>
      </c>
      <c r="LB32" s="77">
        <v>226.85602800000001</v>
      </c>
      <c r="LC32" s="77">
        <v>228.975123</v>
      </c>
      <c r="LD32" s="77">
        <v>226.85597200000001</v>
      </c>
      <c r="LE32" s="77">
        <v>228.97505799999999</v>
      </c>
      <c r="LF32" s="77">
        <v>213.813939</v>
      </c>
      <c r="LG32" s="77">
        <v>215.89292900000001</v>
      </c>
      <c r="LH32" s="77">
        <v>213.813819</v>
      </c>
      <c r="LI32" s="77">
        <v>215.89283</v>
      </c>
      <c r="LJ32" s="77">
        <v>213.81375700000001</v>
      </c>
      <c r="LK32" s="77">
        <v>215.892765</v>
      </c>
      <c r="LL32" s="77">
        <v>213.81369900000001</v>
      </c>
      <c r="LM32" s="77">
        <v>227.50604200000001</v>
      </c>
      <c r="LN32" s="77">
        <v>225.331298</v>
      </c>
      <c r="LO32" s="77">
        <v>244.16512299999999</v>
      </c>
      <c r="LP32" s="77">
        <v>241.990409</v>
      </c>
      <c r="LQ32" s="77">
        <v>244.16506100000001</v>
      </c>
      <c r="LR32" s="77">
        <v>241.99034700000001</v>
      </c>
      <c r="LS32" s="77">
        <v>244.164984</v>
      </c>
      <c r="LT32" s="77">
        <v>211.320346</v>
      </c>
      <c r="LU32" s="77">
        <v>213.27917400000001</v>
      </c>
      <c r="LV32" s="77">
        <v>197.2809</v>
      </c>
      <c r="LW32" s="77">
        <v>199.239769</v>
      </c>
      <c r="LX32" s="77">
        <v>197.280845</v>
      </c>
      <c r="LY32" s="77">
        <v>199.23971800000001</v>
      </c>
      <c r="LZ32" s="77">
        <v>197.28079299999999</v>
      </c>
      <c r="MA32" s="77">
        <v>203.83836600000001</v>
      </c>
      <c r="MB32" s="77">
        <v>201.91849500000001</v>
      </c>
      <c r="MC32" s="77">
        <v>203.83825100000001</v>
      </c>
      <c r="MD32" s="77">
        <v>201.91841700000001</v>
      </c>
      <c r="ME32" s="77">
        <v>203.83819500000001</v>
      </c>
      <c r="MF32" s="77">
        <v>201.91836000000001</v>
      </c>
      <c r="MG32" s="77">
        <v>203.838133</v>
      </c>
      <c r="MH32" s="77">
        <v>193.430421</v>
      </c>
      <c r="MI32" s="77">
        <v>195.27825799999999</v>
      </c>
      <c r="MJ32" s="77">
        <v>209.97838999999999</v>
      </c>
      <c r="MK32" s="77">
        <v>211.82626200000001</v>
      </c>
      <c r="ML32" s="77">
        <v>209.97832399999999</v>
      </c>
      <c r="MM32" s="77">
        <v>211.82620199999999</v>
      </c>
      <c r="MN32" s="77">
        <v>209.97825499999999</v>
      </c>
      <c r="MO32" s="77">
        <v>235.17375699999999</v>
      </c>
      <c r="MP32" s="77">
        <v>233.209385</v>
      </c>
      <c r="MQ32" s="77">
        <v>215.82241099999999</v>
      </c>
      <c r="MR32" s="77">
        <v>213.85807700000001</v>
      </c>
      <c r="MS32" s="77">
        <v>215.822349</v>
      </c>
      <c r="MT32" s="77">
        <v>213.85801799999999</v>
      </c>
      <c r="MU32" s="77">
        <v>215.82228799999999</v>
      </c>
      <c r="MV32" s="77">
        <v>218.673642</v>
      </c>
      <c r="MW32" s="77">
        <v>220.66930300000001</v>
      </c>
      <c r="MX32" s="77">
        <v>218.67352099999999</v>
      </c>
      <c r="MY32" s="77">
        <v>220.66922700000001</v>
      </c>
      <c r="MZ32" s="77">
        <v>218.673462</v>
      </c>
      <c r="NA32" s="77">
        <v>220.669161</v>
      </c>
      <c r="NB32" s="77">
        <v>218.673394</v>
      </c>
      <c r="NC32" s="77">
        <v>204.41200699999999</v>
      </c>
      <c r="ND32" s="77">
        <v>202.59216599999999</v>
      </c>
      <c r="NE32" s="77">
        <v>215.79928699999999</v>
      </c>
      <c r="NF32" s="77">
        <v>213.97948099999999</v>
      </c>
      <c r="NG32" s="77">
        <v>215.79922300000001</v>
      </c>
      <c r="NH32" s="77">
        <v>213.97941399999999</v>
      </c>
      <c r="NI32" s="77">
        <v>215.79915600000001</v>
      </c>
      <c r="NJ32" s="77">
        <v>225.131135</v>
      </c>
      <c r="NK32" s="77">
        <v>227.12163799999999</v>
      </c>
      <c r="NL32" s="77">
        <v>213.53287700000001</v>
      </c>
      <c r="NM32" s="77">
        <v>215.52340699999999</v>
      </c>
      <c r="NN32" s="77">
        <v>213.53282400000001</v>
      </c>
      <c r="NO32" s="77">
        <v>215.523349</v>
      </c>
      <c r="NP32" s="77">
        <v>213.53276500000001</v>
      </c>
      <c r="NQ32" s="77">
        <v>225.04969700000001</v>
      </c>
      <c r="NR32" s="77">
        <v>222.900113</v>
      </c>
      <c r="NS32" s="77">
        <v>225.04957099999999</v>
      </c>
      <c r="NT32" s="77">
        <v>222.90001899999999</v>
      </c>
      <c r="NU32" s="77">
        <v>225.049511</v>
      </c>
      <c r="NV32" s="77">
        <v>222.899959</v>
      </c>
      <c r="NW32" s="77">
        <v>225.049443</v>
      </c>
      <c r="NX32" s="77">
        <v>219.81610499999999</v>
      </c>
      <c r="NY32" s="77">
        <v>221.92531600000001</v>
      </c>
      <c r="NZ32" s="77">
        <v>234.355785</v>
      </c>
      <c r="OA32" s="77">
        <v>236.46501499999999</v>
      </c>
      <c r="OB32" s="77">
        <v>234.35572099999999</v>
      </c>
      <c r="OC32" s="77">
        <v>236.464957</v>
      </c>
      <c r="OD32" s="77">
        <v>234.35565800000001</v>
      </c>
      <c r="OE32" s="77">
        <v>215.21183099999999</v>
      </c>
      <c r="OF32" s="77">
        <v>213.428301</v>
      </c>
      <c r="OG32" s="77">
        <v>201.39767499999999</v>
      </c>
      <c r="OH32" s="77">
        <v>199.614183</v>
      </c>
      <c r="OI32" s="77">
        <v>201.397616</v>
      </c>
      <c r="OJ32" s="77">
        <v>199.614126</v>
      </c>
      <c r="OK32" s="77">
        <v>201.39755199999999</v>
      </c>
      <c r="OL32" s="77">
        <v>208.26148599999999</v>
      </c>
      <c r="OM32" s="77">
        <v>210.13187199999999</v>
      </c>
      <c r="ON32" s="77">
        <v>208.26137399999999</v>
      </c>
      <c r="OO32" s="77">
        <v>210.13178199999999</v>
      </c>
      <c r="OP32" s="77">
        <v>208.26130800000001</v>
      </c>
      <c r="OQ32" s="77">
        <v>210.131719</v>
      </c>
      <c r="OR32" s="77">
        <v>208.261246</v>
      </c>
      <c r="OS32" s="77">
        <v>212.20308</v>
      </c>
      <c r="OT32" s="77">
        <v>210.25699299999999</v>
      </c>
      <c r="OU32" s="77">
        <v>226.47055599999999</v>
      </c>
      <c r="OV32" s="77">
        <v>224.524484</v>
      </c>
      <c r="OW32" s="77">
        <v>226.470494</v>
      </c>
      <c r="OX32" s="77">
        <v>224.52441999999999</v>
      </c>
      <c r="OY32" s="77">
        <v>226.47041999999999</v>
      </c>
      <c r="OZ32" s="77">
        <v>227.608744</v>
      </c>
      <c r="PA32" s="77">
        <v>229.57216399999999</v>
      </c>
      <c r="PB32" s="77">
        <v>212.95305099999999</v>
      </c>
      <c r="PC32" s="77">
        <v>214.91650999999999</v>
      </c>
      <c r="PD32" s="77">
        <v>212.95299499999999</v>
      </c>
      <c r="PE32" s="77">
        <v>214.91645399999999</v>
      </c>
      <c r="PF32" s="77">
        <v>212.95293000000001</v>
      </c>
      <c r="PG32" s="77">
        <v>207.40041600000001</v>
      </c>
      <c r="PH32" s="77">
        <v>205.49990600000001</v>
      </c>
      <c r="PI32" s="77">
        <v>207.40030100000001</v>
      </c>
      <c r="PJ32" s="77">
        <v>205.49981299999999</v>
      </c>
      <c r="PK32" s="77">
        <v>207.400238</v>
      </c>
      <c r="PL32" s="77">
        <v>205.49975800000001</v>
      </c>
      <c r="PM32" s="77">
        <v>207.40016399999999</v>
      </c>
      <c r="PN32" s="77">
        <v>209.00990999999999</v>
      </c>
      <c r="PO32" s="77">
        <v>211.02443500000001</v>
      </c>
      <c r="PP32" s="77">
        <v>226.58840699999999</v>
      </c>
      <c r="PQ32" s="77">
        <v>228.60294999999999</v>
      </c>
      <c r="PR32" s="77">
        <v>226.58834200000001</v>
      </c>
      <c r="PS32" s="77">
        <v>228.60288499999999</v>
      </c>
      <c r="PT32" s="77">
        <v>226.588268</v>
      </c>
      <c r="PU32" s="77">
        <v>238.916875</v>
      </c>
      <c r="PV32" s="77">
        <v>236.83554599999999</v>
      </c>
      <c r="PW32" s="77">
        <v>220.283649</v>
      </c>
      <c r="PX32" s="77">
        <v>218.20234300000001</v>
      </c>
      <c r="PY32" s="77">
        <v>220.28358499999999</v>
      </c>
      <c r="PZ32" s="77">
        <v>218.20228900000001</v>
      </c>
      <c r="QA32" s="77">
        <v>220.283524</v>
      </c>
      <c r="QB32" s="77">
        <v>222.914367</v>
      </c>
      <c r="QC32" s="77">
        <v>225.10214300000001</v>
      </c>
      <c r="QD32" s="77">
        <v>222.91427400000001</v>
      </c>
      <c r="QE32" s="77">
        <v>225.102059</v>
      </c>
      <c r="QF32" s="77">
        <v>222.914209</v>
      </c>
      <c r="QG32" s="77">
        <v>225.10199499999999</v>
      </c>
      <c r="QH32" s="77">
        <v>222.91414499999999</v>
      </c>
      <c r="QI32" s="77">
        <v>213.98469499999999</v>
      </c>
      <c r="QJ32" s="77">
        <v>212.015244</v>
      </c>
      <c r="QK32" s="77">
        <v>213.984566</v>
      </c>
      <c r="QL32" s="77">
        <v>212.01514499999999</v>
      </c>
      <c r="QM32" s="77">
        <v>213.98450399999999</v>
      </c>
      <c r="QN32" s="77">
        <v>212.01508000000001</v>
      </c>
      <c r="QO32" s="77">
        <v>213.984442</v>
      </c>
      <c r="QP32" s="77">
        <v>203.80340899999999</v>
      </c>
      <c r="QQ32" s="77">
        <v>205.64180099999999</v>
      </c>
      <c r="QR32" s="77">
        <v>203.80329900000001</v>
      </c>
      <c r="QS32" s="77">
        <v>205.64171899999999</v>
      </c>
    </row>
    <row r="33" spans="6:461" x14ac:dyDescent="0.25">
      <c r="F33" s="76" t="str">
        <f xml:space="preserve"> _xll.EPMOlapMemberO("[PRDDESCR].[].[WONDER GFREE WHITE 470G]","","WONDER GFREE WHITE 470G","","000")</f>
        <v>WONDER GFREE WHITE 470G</v>
      </c>
      <c r="G33" s="76" t="str">
        <f xml:space="preserve"> _xll.EPMOlapMemberO("[PRDID].[].[179649]","","179649","","000")</f>
        <v>179649</v>
      </c>
      <c r="H33" s="76" t="str">
        <f xml:space="preserve"> _xll.EPMOlapMemberO("[LOCID].[].[6110]","","6110","","000")</f>
        <v>6110</v>
      </c>
      <c r="I33" s="76" t="str">
        <f xml:space="preserve"> _xll.EPMOlapMemberO("[LOCDESCR].[].[QBA-Burleigh Heads]","","QBA-Burleigh Heads","","000")</f>
        <v>QBA-Burleigh Heads</v>
      </c>
      <c r="J33" s="76" t="str">
        <f xml:space="preserve"> _xll.EPMOlapMemberO("[KEY_FIGURES].[].[ZGFAPPROVEDFCSTQTY]","","Approved Forecast","","000")</f>
        <v>Approved Forecast</v>
      </c>
      <c r="K33" s="77">
        <v>1082.131586</v>
      </c>
      <c r="L33" s="77">
        <v>533.17652099999998</v>
      </c>
      <c r="M33" s="77">
        <v>802.62070100000005</v>
      </c>
      <c r="N33" s="77">
        <v>522.76484000000005</v>
      </c>
      <c r="O33" s="77">
        <v>838.02536299999997</v>
      </c>
      <c r="P33" s="77">
        <v>648.94067800000005</v>
      </c>
      <c r="Q33" s="77">
        <v>0.35475800000000002</v>
      </c>
      <c r="R33" s="77">
        <v>977.39840200000003</v>
      </c>
      <c r="S33" s="77">
        <v>444.02595500000001</v>
      </c>
      <c r="T33" s="77">
        <v>673.88822900000002</v>
      </c>
      <c r="U33" s="77">
        <v>455.74733199999997</v>
      </c>
      <c r="V33" s="77">
        <v>722.16108799999995</v>
      </c>
      <c r="W33" s="77">
        <v>538.26706999999999</v>
      </c>
      <c r="X33" s="77">
        <v>0.36025200000000002</v>
      </c>
      <c r="Y33" s="77">
        <v>962.931735</v>
      </c>
      <c r="Z33" s="77">
        <v>472.31392099999999</v>
      </c>
      <c r="AA33" s="77">
        <v>700.32718799999998</v>
      </c>
      <c r="AB33" s="77">
        <v>476.00291299999998</v>
      </c>
      <c r="AC33" s="77">
        <v>728.80826000000002</v>
      </c>
      <c r="AD33" s="77">
        <v>545.21139900000003</v>
      </c>
      <c r="AE33" s="77"/>
      <c r="AF33" s="77"/>
      <c r="AG33" s="77"/>
      <c r="AH33" s="77"/>
      <c r="AI33" s="77"/>
      <c r="AJ33" s="77"/>
      <c r="AK33" s="77"/>
      <c r="AL33" s="77">
        <v>0.35232599999999997</v>
      </c>
      <c r="AM33" s="77">
        <v>1021.742622</v>
      </c>
      <c r="AN33" s="77">
        <v>481.96394099999998</v>
      </c>
      <c r="AO33" s="77">
        <v>716.37776399999996</v>
      </c>
      <c r="AP33" s="77">
        <v>485.38001000000003</v>
      </c>
      <c r="AQ33" s="77">
        <v>745.05176400000005</v>
      </c>
      <c r="AR33" s="77">
        <v>561.32921099999999</v>
      </c>
      <c r="AS33" s="77">
        <v>0.324353</v>
      </c>
      <c r="AT33" s="77">
        <v>969.31978100000003</v>
      </c>
      <c r="AU33" s="77">
        <v>450.81579499999998</v>
      </c>
      <c r="AV33" s="77">
        <v>686.99391400000002</v>
      </c>
      <c r="AW33" s="77">
        <v>469.30169599999999</v>
      </c>
      <c r="AX33" s="77">
        <v>727.91267400000004</v>
      </c>
      <c r="AY33" s="77">
        <v>536.80764299999998</v>
      </c>
      <c r="AZ33" s="77">
        <v>0.34168700000000002</v>
      </c>
      <c r="BA33" s="77">
        <v>993.66179599999998</v>
      </c>
      <c r="BB33" s="77">
        <v>512.29629</v>
      </c>
      <c r="BC33" s="77">
        <v>762.970865</v>
      </c>
      <c r="BD33" s="77">
        <v>515.23674100000005</v>
      </c>
      <c r="BE33" s="77">
        <v>791.99653499999999</v>
      </c>
      <c r="BF33" s="77">
        <v>606.44541000000004</v>
      </c>
      <c r="BG33" s="77">
        <v>0.33029199999999997</v>
      </c>
      <c r="BH33" s="77">
        <v>1037.2631249999999</v>
      </c>
      <c r="BI33" s="77">
        <v>459.13864699999999</v>
      </c>
      <c r="BJ33" s="77">
        <v>704.34192800000005</v>
      </c>
      <c r="BK33" s="77">
        <v>477.02789300000001</v>
      </c>
      <c r="BL33" s="77">
        <v>746.74224700000002</v>
      </c>
      <c r="BM33" s="77">
        <v>548.29868099999999</v>
      </c>
      <c r="BN33" s="77">
        <v>0.35370099999999999</v>
      </c>
      <c r="BO33" s="77">
        <v>992.54258300000004</v>
      </c>
      <c r="BP33" s="77">
        <v>483.77364399999999</v>
      </c>
      <c r="BQ33" s="77">
        <v>722.72932000000003</v>
      </c>
      <c r="BR33" s="77">
        <v>487.19628799999998</v>
      </c>
      <c r="BS33" s="77">
        <v>752.48238300000003</v>
      </c>
      <c r="BT33" s="77">
        <v>564.98492099999999</v>
      </c>
      <c r="BU33" s="77">
        <v>0.32462999999999997</v>
      </c>
      <c r="BV33" s="77">
        <v>1028.379293</v>
      </c>
      <c r="BW33" s="77">
        <v>493.22867200000002</v>
      </c>
      <c r="BX33" s="77">
        <v>757.09461399999998</v>
      </c>
      <c r="BY33" s="77">
        <v>513.21364300000005</v>
      </c>
      <c r="BZ33" s="77">
        <v>801.55382199999997</v>
      </c>
      <c r="CA33" s="77">
        <v>598.69670499999995</v>
      </c>
      <c r="CB33" s="77">
        <v>0.36346000000000001</v>
      </c>
      <c r="CC33" s="77">
        <v>1047.802494</v>
      </c>
      <c r="CD33" s="77">
        <v>495.983521</v>
      </c>
      <c r="CE33" s="77">
        <v>739.20077600000002</v>
      </c>
      <c r="CF33" s="77">
        <v>499.58377000000002</v>
      </c>
      <c r="CG33" s="77">
        <v>769.246441</v>
      </c>
      <c r="CH33" s="77">
        <v>578.33057399999996</v>
      </c>
      <c r="CI33" s="77">
        <v>0.33978799999999998</v>
      </c>
      <c r="CJ33" s="77">
        <v>1004.9661149999999</v>
      </c>
      <c r="CK33" s="77">
        <v>465.63023399999997</v>
      </c>
      <c r="CL33" s="77">
        <v>712.03282999999999</v>
      </c>
      <c r="CM33" s="77">
        <v>484.22335299999997</v>
      </c>
      <c r="CN33" s="77">
        <v>754.843031</v>
      </c>
      <c r="CO33" s="77">
        <v>553.87594899999999</v>
      </c>
      <c r="CP33" s="77">
        <v>0.36518400000000001</v>
      </c>
      <c r="CQ33" s="77">
        <v>1057.086503</v>
      </c>
      <c r="CR33" s="77">
        <v>515.27959699999997</v>
      </c>
      <c r="CS33" s="77">
        <v>771.22614499999997</v>
      </c>
      <c r="CT33" s="77">
        <v>518.78324599999996</v>
      </c>
      <c r="CU33" s="77">
        <v>802.58820100000003</v>
      </c>
      <c r="CV33" s="77">
        <v>605.71616500000005</v>
      </c>
      <c r="CW33" s="77">
        <v>0.34952299999999997</v>
      </c>
      <c r="CX33" s="77">
        <v>1123.683127</v>
      </c>
      <c r="CY33" s="77">
        <v>518.29728299999999</v>
      </c>
      <c r="CZ33" s="77">
        <v>799.13259700000003</v>
      </c>
      <c r="DA33" s="77">
        <v>538.55899699999998</v>
      </c>
      <c r="DB33" s="77">
        <v>846.69408199999998</v>
      </c>
      <c r="DC33" s="77">
        <v>627.84990700000003</v>
      </c>
      <c r="DD33" s="77">
        <v>0.37013600000000002</v>
      </c>
      <c r="DE33" s="77">
        <v>1049.4877429999999</v>
      </c>
      <c r="DF33" s="77">
        <v>512.22308799999996</v>
      </c>
      <c r="DG33" s="77">
        <v>765.10738800000001</v>
      </c>
      <c r="DH33" s="77">
        <v>515.88001099999997</v>
      </c>
      <c r="DI33" s="77">
        <v>796.26447099999996</v>
      </c>
      <c r="DJ33" s="77">
        <v>599.50333599999999</v>
      </c>
      <c r="DK33" s="77">
        <v>0.33229300000000001</v>
      </c>
      <c r="DL33" s="77">
        <v>1081.855249</v>
      </c>
      <c r="DM33" s="77">
        <v>519.990815</v>
      </c>
      <c r="DN33" s="77">
        <v>799.01642300000003</v>
      </c>
      <c r="DO33" s="77">
        <v>541.27685799999995</v>
      </c>
      <c r="DP33" s="77">
        <v>845.61996899999997</v>
      </c>
      <c r="DQ33" s="77">
        <v>634.69320100000004</v>
      </c>
      <c r="DR33" s="77">
        <v>0.34541699999999997</v>
      </c>
      <c r="DS33" s="77">
        <v>1067.412278</v>
      </c>
      <c r="DT33" s="77">
        <v>523.09625000000005</v>
      </c>
      <c r="DU33" s="77">
        <v>769.73462900000004</v>
      </c>
      <c r="DV33" s="77">
        <v>527.76559599999996</v>
      </c>
      <c r="DW33" s="77">
        <v>800.19122400000003</v>
      </c>
      <c r="DX33" s="77">
        <v>598.46662600000002</v>
      </c>
      <c r="DY33" s="77">
        <v>0.38434499999999999</v>
      </c>
      <c r="DZ33" s="77">
        <v>1047.9422199999999</v>
      </c>
      <c r="EA33" s="77">
        <v>472.64212099999997</v>
      </c>
      <c r="EB33" s="77">
        <v>724.51174300000002</v>
      </c>
      <c r="EC33" s="77">
        <v>491.60726599999998</v>
      </c>
      <c r="ED33" s="77">
        <v>767.44210099999998</v>
      </c>
      <c r="EE33" s="77">
        <v>569.44507099999998</v>
      </c>
      <c r="EF33" s="77">
        <v>0.34001799999999999</v>
      </c>
      <c r="EG33" s="77">
        <v>1004.467822</v>
      </c>
      <c r="EH33" s="77">
        <v>488.69329900000002</v>
      </c>
      <c r="EI33" s="77">
        <v>732.97142799999995</v>
      </c>
      <c r="EJ33" s="77">
        <v>491.720979</v>
      </c>
      <c r="EK33" s="77">
        <v>762.84963900000002</v>
      </c>
      <c r="EL33" s="77">
        <v>576.71698300000003</v>
      </c>
      <c r="EM33" s="77">
        <v>0.30990200000000001</v>
      </c>
      <c r="EN33" s="77">
        <v>982.52007000000003</v>
      </c>
      <c r="EO33" s="77">
        <v>453.05912699999999</v>
      </c>
      <c r="EP33" s="77">
        <v>697.78760299999999</v>
      </c>
      <c r="EQ33" s="77">
        <v>470.37158499999998</v>
      </c>
      <c r="ER33" s="77">
        <v>739.48235999999997</v>
      </c>
      <c r="ES33" s="77">
        <v>546.82774099999995</v>
      </c>
      <c r="ET33" s="77">
        <v>0.34223900000000002</v>
      </c>
      <c r="EU33" s="77">
        <v>1022.6868040000001</v>
      </c>
      <c r="EV33" s="77">
        <v>533.61958500000003</v>
      </c>
      <c r="EW33" s="77">
        <v>794.23909000000003</v>
      </c>
      <c r="EX33" s="77">
        <v>536.43739500000004</v>
      </c>
      <c r="EY33" s="77">
        <v>823.55019600000003</v>
      </c>
      <c r="EZ33" s="77">
        <v>635.33092599999998</v>
      </c>
      <c r="FA33" s="77">
        <v>0.332538</v>
      </c>
      <c r="FB33" s="77">
        <v>1059.964704</v>
      </c>
      <c r="FC33" s="77">
        <v>465.19629500000002</v>
      </c>
      <c r="FD33" s="77">
        <v>720.02425300000004</v>
      </c>
      <c r="FE33" s="77">
        <v>482.02999599999998</v>
      </c>
      <c r="FF33" s="77">
        <v>763.91017299999999</v>
      </c>
      <c r="FG33" s="77">
        <v>558.28823399999999</v>
      </c>
      <c r="FH33" s="77">
        <v>0.37845000000000001</v>
      </c>
      <c r="FI33" s="77">
        <v>1120.1654370000001</v>
      </c>
      <c r="FJ33" s="77">
        <v>567.25108799999998</v>
      </c>
      <c r="FK33" s="77">
        <v>863.64142200000003</v>
      </c>
      <c r="FL33" s="77">
        <v>570.68640900000003</v>
      </c>
      <c r="FM33" s="77">
        <v>900.65211299999999</v>
      </c>
      <c r="FN33" s="77">
        <v>679.72590600000001</v>
      </c>
      <c r="FO33" s="77">
        <v>0.31651000000000001</v>
      </c>
      <c r="FP33" s="77">
        <v>1132.928183</v>
      </c>
      <c r="FQ33" s="77">
        <v>507.433224</v>
      </c>
      <c r="FR33" s="77">
        <v>775.81652199999996</v>
      </c>
      <c r="FS33" s="77">
        <v>527.65506300000004</v>
      </c>
      <c r="FT33" s="77">
        <v>823.18133899999998</v>
      </c>
      <c r="FU33" s="77">
        <v>597.26967100000002</v>
      </c>
      <c r="FV33" s="77">
        <v>0.43741000000000002</v>
      </c>
      <c r="FW33" s="77">
        <v>1121.7386959999999</v>
      </c>
      <c r="FX33" s="77">
        <v>557.55847100000005</v>
      </c>
      <c r="FY33" s="77">
        <v>837.97225000000003</v>
      </c>
      <c r="FZ33" s="77">
        <v>560.47142199999996</v>
      </c>
      <c r="GA33" s="77">
        <v>870.473794</v>
      </c>
      <c r="GB33" s="77">
        <v>668.50017500000001</v>
      </c>
      <c r="GC33" s="77">
        <v>0.317971</v>
      </c>
      <c r="GD33" s="77">
        <v>1018.986386</v>
      </c>
      <c r="GE33" s="77">
        <v>447.78034600000001</v>
      </c>
      <c r="GF33" s="77">
        <v>692.307188</v>
      </c>
      <c r="GG33" s="77">
        <v>464.04698200000001</v>
      </c>
      <c r="GH33" s="77">
        <v>734.37486799999999</v>
      </c>
      <c r="GI33" s="77">
        <v>537.67521799999997</v>
      </c>
      <c r="GJ33" s="77">
        <v>0.36879899999999999</v>
      </c>
      <c r="GK33" s="77">
        <v>1025.600694</v>
      </c>
      <c r="GL33" s="77">
        <v>499.24856199999999</v>
      </c>
      <c r="GM33" s="77">
        <v>746.40909999999997</v>
      </c>
      <c r="GN33" s="77">
        <v>502.95340299999998</v>
      </c>
      <c r="GO33" s="77">
        <v>777.42611799999997</v>
      </c>
      <c r="GP33" s="77">
        <v>582.34069699999998</v>
      </c>
      <c r="GQ33" s="77">
        <v>0.31676399999999999</v>
      </c>
      <c r="GR33" s="77">
        <v>957.02713100000005</v>
      </c>
      <c r="GS33" s="77">
        <v>481.49780800000002</v>
      </c>
      <c r="GT33" s="77">
        <v>740.48446899999999</v>
      </c>
      <c r="GU33" s="77">
        <v>500.617569</v>
      </c>
      <c r="GV33" s="77">
        <v>784.11673499999995</v>
      </c>
      <c r="GW33" s="77">
        <v>584.87659199999996</v>
      </c>
      <c r="GX33" s="77">
        <v>0.34133400000000003</v>
      </c>
      <c r="GY33" s="77">
        <v>991.05776100000003</v>
      </c>
      <c r="GZ33" s="77">
        <v>443.77292499999999</v>
      </c>
      <c r="HA33" s="77">
        <v>661.47413500000005</v>
      </c>
      <c r="HB33" s="77">
        <v>447.14800100000002</v>
      </c>
      <c r="HC33" s="77">
        <v>689.38888199999997</v>
      </c>
      <c r="HD33" s="77">
        <v>512.79991099999995</v>
      </c>
      <c r="HE33" s="77">
        <v>0.36661300000000002</v>
      </c>
      <c r="HF33" s="77">
        <v>1152.413429</v>
      </c>
      <c r="HG33" s="77">
        <v>559.59758199999999</v>
      </c>
      <c r="HH33" s="77">
        <v>857.69567900000004</v>
      </c>
      <c r="HI33" s="77">
        <v>583.09203300000001</v>
      </c>
      <c r="HJ33" s="77">
        <v>907.79001600000004</v>
      </c>
      <c r="HK33" s="77">
        <v>679.79959699999995</v>
      </c>
      <c r="HL33" s="77">
        <v>0.37810300000000002</v>
      </c>
      <c r="HM33" s="77">
        <v>1092.012485</v>
      </c>
      <c r="HN33" s="77">
        <v>511.162397</v>
      </c>
      <c r="HO33" s="77">
        <v>764.61939700000005</v>
      </c>
      <c r="HP33" s="77">
        <v>515.02481399999999</v>
      </c>
      <c r="HQ33" s="77">
        <v>796.47858199999996</v>
      </c>
      <c r="HR33" s="77">
        <v>596.32888600000001</v>
      </c>
      <c r="HS33" s="77">
        <v>0.33732000000000001</v>
      </c>
      <c r="HT33" s="77">
        <v>1148.9177239999999</v>
      </c>
      <c r="HU33" s="77">
        <v>572.69447000000002</v>
      </c>
      <c r="HV33" s="77">
        <v>870.27192400000001</v>
      </c>
      <c r="HW33" s="77">
        <v>598.09135400000002</v>
      </c>
      <c r="HX33" s="77">
        <v>921.02081599999997</v>
      </c>
      <c r="HY33" s="77">
        <v>687.65438099999994</v>
      </c>
      <c r="HZ33" s="77">
        <v>0.40715200000000001</v>
      </c>
      <c r="IA33" s="77">
        <v>1079.336986</v>
      </c>
      <c r="IB33" s="77">
        <v>510.61391900000001</v>
      </c>
      <c r="IC33" s="77">
        <v>773.56616099999997</v>
      </c>
      <c r="ID33" s="77">
        <v>513.68777399999999</v>
      </c>
      <c r="IE33" s="77">
        <v>806.43020899999999</v>
      </c>
      <c r="IF33" s="77">
        <v>607.73602800000003</v>
      </c>
      <c r="IG33" s="77">
        <v>0.33057700000000001</v>
      </c>
      <c r="IH33" s="77">
        <v>1129.0768169999999</v>
      </c>
      <c r="II33" s="77">
        <v>515.38347399999998</v>
      </c>
      <c r="IJ33" s="77">
        <v>802.29504699999995</v>
      </c>
      <c r="IK33" s="77">
        <v>534.18259499999999</v>
      </c>
      <c r="IL33" s="77">
        <v>850.17849699999999</v>
      </c>
      <c r="IM33" s="77">
        <v>632.00812099999996</v>
      </c>
      <c r="IN33" s="77">
        <v>0.34630100000000003</v>
      </c>
      <c r="IO33" s="77">
        <v>1077.9854250000001</v>
      </c>
      <c r="IP33" s="77">
        <v>500.62578000000002</v>
      </c>
      <c r="IQ33" s="77">
        <v>756.392832</v>
      </c>
      <c r="IR33" s="77">
        <v>503.710463</v>
      </c>
      <c r="IS33" s="77">
        <v>788.32872999999995</v>
      </c>
      <c r="IT33" s="77">
        <v>593.75633600000003</v>
      </c>
      <c r="IU33" s="77">
        <v>0.29720800000000003</v>
      </c>
      <c r="IV33" s="77">
        <v>1084.689609</v>
      </c>
      <c r="IW33" s="77">
        <v>536.58865300000002</v>
      </c>
      <c r="IX33" s="77">
        <v>821.81723999999997</v>
      </c>
      <c r="IY33" s="77">
        <v>558.86461299999996</v>
      </c>
      <c r="IZ33" s="77">
        <v>870.216634</v>
      </c>
      <c r="JA33" s="77">
        <v>647.87755400000003</v>
      </c>
      <c r="JB33" s="77">
        <v>0.42805900000000002</v>
      </c>
      <c r="JC33" s="77">
        <v>1156.922918</v>
      </c>
      <c r="JD33" s="77">
        <v>525.34819900000002</v>
      </c>
      <c r="JE33" s="77">
        <v>794.79222600000003</v>
      </c>
      <c r="JF33" s="77">
        <v>528.36246600000004</v>
      </c>
      <c r="JG33" s="77">
        <v>827.80243499999995</v>
      </c>
      <c r="JH33" s="77">
        <v>627.28288699999996</v>
      </c>
      <c r="JI33" s="77">
        <v>0.340889</v>
      </c>
      <c r="JJ33" s="77">
        <v>1155.1169339999999</v>
      </c>
      <c r="JK33" s="77">
        <v>531.57122300000003</v>
      </c>
      <c r="JL33" s="77">
        <v>823.10453099999995</v>
      </c>
      <c r="JM33" s="77">
        <v>552.03129899999999</v>
      </c>
      <c r="JN33" s="77">
        <v>871.77407800000003</v>
      </c>
      <c r="JO33" s="77">
        <v>650.56369199999995</v>
      </c>
      <c r="JP33" s="77">
        <v>0.37710199999999999</v>
      </c>
      <c r="JQ33" s="77">
        <v>978.98446999999999</v>
      </c>
      <c r="JR33" s="77">
        <v>479.601339</v>
      </c>
      <c r="JS33" s="77">
        <v>710.78690300000005</v>
      </c>
      <c r="JT33" s="77">
        <v>483.67498699999999</v>
      </c>
      <c r="JU33" s="77">
        <v>740.20551499999999</v>
      </c>
      <c r="JV33" s="77">
        <v>550.42278499999998</v>
      </c>
      <c r="JW33" s="77">
        <v>0.30402000000000001</v>
      </c>
      <c r="JX33" s="77">
        <v>1813.2959499999999</v>
      </c>
      <c r="JY33" s="77">
        <v>805.89968099999999</v>
      </c>
      <c r="JZ33" s="77">
        <v>1301.8688890000001</v>
      </c>
      <c r="KA33" s="77">
        <v>811.86203799999998</v>
      </c>
      <c r="KB33" s="77">
        <v>0.35023100000000001</v>
      </c>
      <c r="KC33" s="77">
        <v>0.42695499999999997</v>
      </c>
      <c r="KD33" s="77">
        <v>588.03295400000002</v>
      </c>
      <c r="KE33" s="77">
        <v>642.33669099999997</v>
      </c>
      <c r="KF33" s="77">
        <v>751.48969599999998</v>
      </c>
      <c r="KG33" s="77">
        <v>679.52141600000004</v>
      </c>
      <c r="KH33" s="77">
        <v>657.78104199999996</v>
      </c>
      <c r="KI33" s="77">
        <v>633.05996400000004</v>
      </c>
      <c r="KJ33" s="77">
        <v>698.22980700000005</v>
      </c>
      <c r="KK33" s="77">
        <v>642.59683399999994</v>
      </c>
      <c r="KL33" s="77">
        <v>713.06064700000002</v>
      </c>
      <c r="KM33" s="77">
        <v>706.13127799999995</v>
      </c>
      <c r="KN33" s="77">
        <v>653.89648799999998</v>
      </c>
      <c r="KO33" s="77">
        <v>635.21578799999997</v>
      </c>
      <c r="KP33" s="77">
        <v>620.783188</v>
      </c>
      <c r="KQ33" s="77">
        <v>684.41143699999998</v>
      </c>
      <c r="KR33" s="77">
        <v>593.56768399999999</v>
      </c>
      <c r="KS33" s="77">
        <v>647.966542</v>
      </c>
      <c r="KT33" s="77">
        <v>762.10415</v>
      </c>
      <c r="KU33" s="77">
        <v>689.22430499999996</v>
      </c>
      <c r="KV33" s="77">
        <v>667.82465000000002</v>
      </c>
      <c r="KW33" s="77">
        <v>641.57831499999998</v>
      </c>
      <c r="KX33" s="77">
        <v>707.04571599999997</v>
      </c>
      <c r="KY33" s="77">
        <v>574.99100199999998</v>
      </c>
      <c r="KZ33" s="77">
        <v>638.29282000000001</v>
      </c>
      <c r="LA33" s="77">
        <v>633.50855300000001</v>
      </c>
      <c r="LB33" s="77">
        <v>585.21530700000005</v>
      </c>
      <c r="LC33" s="77">
        <v>567.75252799999998</v>
      </c>
      <c r="LD33" s="77">
        <v>557.43183999999997</v>
      </c>
      <c r="LE33" s="77">
        <v>616.09782800000005</v>
      </c>
      <c r="LF33" s="77">
        <v>545.72992899999997</v>
      </c>
      <c r="LG33" s="77">
        <v>595.78004399999998</v>
      </c>
      <c r="LH33" s="77">
        <v>657.93202199999996</v>
      </c>
      <c r="LI33" s="77">
        <v>594.640491</v>
      </c>
      <c r="LJ33" s="77">
        <v>574.76616000000001</v>
      </c>
      <c r="LK33" s="77">
        <v>554.71956499999999</v>
      </c>
      <c r="LL33" s="77">
        <v>612.45796900000005</v>
      </c>
      <c r="LM33" s="77">
        <v>543.46349799999996</v>
      </c>
      <c r="LN33" s="77">
        <v>603.81467999999995</v>
      </c>
      <c r="LO33" s="77">
        <v>669.38148000000001</v>
      </c>
      <c r="LP33" s="77">
        <v>620.85747000000003</v>
      </c>
      <c r="LQ33" s="77">
        <v>603.59539500000005</v>
      </c>
      <c r="LR33" s="77">
        <v>590.25684799999999</v>
      </c>
      <c r="LS33" s="77">
        <v>648.34844699999996</v>
      </c>
      <c r="LT33" s="77">
        <v>574.58526600000005</v>
      </c>
      <c r="LU33" s="77">
        <v>626.55423800000005</v>
      </c>
      <c r="LV33" s="77">
        <v>656.51469399999996</v>
      </c>
      <c r="LW33" s="77">
        <v>593.24141799999995</v>
      </c>
      <c r="LX33" s="77">
        <v>573.26430900000003</v>
      </c>
      <c r="LY33" s="77">
        <v>553.55828399999996</v>
      </c>
      <c r="LZ33" s="77">
        <v>611.24422600000003</v>
      </c>
      <c r="MA33" s="77">
        <v>529.30615399999999</v>
      </c>
      <c r="MB33" s="77">
        <v>588.47001499999999</v>
      </c>
      <c r="MC33" s="77">
        <v>618.41466400000002</v>
      </c>
      <c r="MD33" s="77">
        <v>572.01134300000001</v>
      </c>
      <c r="ME33" s="77">
        <v>555.33186799999999</v>
      </c>
      <c r="MF33" s="77">
        <v>543.65250200000003</v>
      </c>
      <c r="MG33" s="77">
        <v>600.24206000000004</v>
      </c>
      <c r="MH33" s="77">
        <v>510.511347</v>
      </c>
      <c r="MI33" s="77">
        <v>557.11915999999997</v>
      </c>
      <c r="MJ33" s="77">
        <v>657.18962399999998</v>
      </c>
      <c r="MK33" s="77">
        <v>593.71848799999998</v>
      </c>
      <c r="ML33" s="77">
        <v>574.60251600000004</v>
      </c>
      <c r="MM33" s="77">
        <v>553.37574099999995</v>
      </c>
      <c r="MN33" s="77">
        <v>610.07047299999999</v>
      </c>
      <c r="MO33" s="77">
        <v>611.46885299999997</v>
      </c>
      <c r="MP33" s="77">
        <v>676.87965299999996</v>
      </c>
      <c r="MQ33" s="77">
        <v>658.73734300000001</v>
      </c>
      <c r="MR33" s="77">
        <v>611.27629999999999</v>
      </c>
      <c r="MS33" s="77">
        <v>594.421921</v>
      </c>
      <c r="MT33" s="77">
        <v>581.28077299999995</v>
      </c>
      <c r="MU33" s="77">
        <v>637.85620700000004</v>
      </c>
      <c r="MV33" s="77">
        <v>541.19251199999997</v>
      </c>
      <c r="MW33" s="77">
        <v>589.28344500000003</v>
      </c>
      <c r="MX33" s="77">
        <v>653.80896299999995</v>
      </c>
      <c r="MY33" s="77">
        <v>590.38707499999998</v>
      </c>
      <c r="MZ33" s="77">
        <v>571.55512599999997</v>
      </c>
      <c r="NA33" s="77">
        <v>550.21020899999996</v>
      </c>
      <c r="NB33" s="77">
        <v>606.210915</v>
      </c>
      <c r="NC33" s="77">
        <v>520.636662</v>
      </c>
      <c r="ND33" s="77">
        <v>577.79191700000001</v>
      </c>
      <c r="NE33" s="77">
        <v>632.46303599999999</v>
      </c>
      <c r="NF33" s="77">
        <v>586.79739600000005</v>
      </c>
      <c r="NG33" s="77">
        <v>570.55753200000004</v>
      </c>
      <c r="NH33" s="77">
        <v>558.62734399999999</v>
      </c>
      <c r="NI33" s="77">
        <v>612.79015900000002</v>
      </c>
      <c r="NJ33" s="77">
        <v>604.86842000000001</v>
      </c>
      <c r="NK33" s="77">
        <v>657.84531200000004</v>
      </c>
      <c r="NL33" s="77">
        <v>697.54928199999995</v>
      </c>
      <c r="NM33" s="77">
        <v>629.67196999999999</v>
      </c>
      <c r="NN33" s="77">
        <v>609.51860899999997</v>
      </c>
      <c r="NO33" s="77">
        <v>586.91642100000001</v>
      </c>
      <c r="NP33" s="77">
        <v>646.58952899999997</v>
      </c>
      <c r="NQ33" s="77">
        <v>497.98709600000001</v>
      </c>
      <c r="NR33" s="77">
        <v>553.30575999999996</v>
      </c>
      <c r="NS33" s="77">
        <v>581.364868</v>
      </c>
      <c r="NT33" s="77">
        <v>537.77808700000003</v>
      </c>
      <c r="NU33" s="77">
        <v>522.10081700000001</v>
      </c>
      <c r="NV33" s="77">
        <v>511.82635800000003</v>
      </c>
      <c r="NW33" s="77">
        <v>564.58510699999999</v>
      </c>
      <c r="NX33" s="77">
        <v>511.54174799999998</v>
      </c>
      <c r="NY33" s="77">
        <v>557.97087099999999</v>
      </c>
      <c r="NZ33" s="77">
        <v>649.84715500000004</v>
      </c>
      <c r="OA33" s="77">
        <v>587.07240999999999</v>
      </c>
      <c r="OB33" s="77">
        <v>568.26960099999997</v>
      </c>
      <c r="OC33" s="77">
        <v>547.11171899999999</v>
      </c>
      <c r="OD33" s="77">
        <v>603.05390999999997</v>
      </c>
      <c r="OE33" s="77">
        <v>521.41660999999999</v>
      </c>
      <c r="OF33" s="77">
        <v>578.14593200000002</v>
      </c>
      <c r="OG33" s="77">
        <v>575.95271200000002</v>
      </c>
      <c r="OH33" s="77">
        <v>533.64780399999995</v>
      </c>
      <c r="OI33" s="77">
        <v>518.53575999999998</v>
      </c>
      <c r="OJ33" s="77">
        <v>507.326347</v>
      </c>
      <c r="OK33" s="77">
        <v>558.32830899999999</v>
      </c>
      <c r="OL33" s="77">
        <v>522.91137700000002</v>
      </c>
      <c r="OM33" s="77">
        <v>570.31132100000002</v>
      </c>
      <c r="ON33" s="77">
        <v>630.89494300000001</v>
      </c>
      <c r="OO33" s="77">
        <v>570.22752300000002</v>
      </c>
      <c r="OP33" s="77">
        <v>551.77769799999999</v>
      </c>
      <c r="OQ33" s="77">
        <v>531.48758399999997</v>
      </c>
      <c r="OR33" s="77">
        <v>586.20407</v>
      </c>
      <c r="OS33" s="77">
        <v>506.90213199999999</v>
      </c>
      <c r="OT33" s="77">
        <v>562.657692</v>
      </c>
      <c r="OU33" s="77">
        <v>621.10227399999997</v>
      </c>
      <c r="OV33" s="77">
        <v>576.56067599999994</v>
      </c>
      <c r="OW33" s="77">
        <v>560.76292799999999</v>
      </c>
      <c r="OX33" s="77">
        <v>548.411743</v>
      </c>
      <c r="OY33" s="77">
        <v>601.31101899999999</v>
      </c>
      <c r="OZ33" s="77">
        <v>557.85072000000002</v>
      </c>
      <c r="PA33" s="77">
        <v>607.88449800000001</v>
      </c>
      <c r="PB33" s="77">
        <v>638.24696200000005</v>
      </c>
      <c r="PC33" s="77">
        <v>577.17037100000005</v>
      </c>
      <c r="PD33" s="77">
        <v>558.78404999999998</v>
      </c>
      <c r="PE33" s="77">
        <v>537.66199700000004</v>
      </c>
      <c r="PF33" s="77">
        <v>592.93202900000006</v>
      </c>
      <c r="PG33" s="77">
        <v>517.86026500000003</v>
      </c>
      <c r="PH33" s="77">
        <v>575.54017799999997</v>
      </c>
      <c r="PI33" s="77">
        <v>604.40288099999998</v>
      </c>
      <c r="PJ33" s="77">
        <v>559.50131199999998</v>
      </c>
      <c r="PK33" s="77">
        <v>543.41529000000003</v>
      </c>
      <c r="PL33" s="77">
        <v>531.45844</v>
      </c>
      <c r="PM33" s="77">
        <v>586.12374999999997</v>
      </c>
      <c r="PN33" s="77">
        <v>526.93608300000005</v>
      </c>
      <c r="PO33" s="77">
        <v>575.28689699999995</v>
      </c>
      <c r="PP33" s="77">
        <v>677.211905</v>
      </c>
      <c r="PQ33" s="77">
        <v>612.34540900000002</v>
      </c>
      <c r="PR33" s="77">
        <v>593.10758999999996</v>
      </c>
      <c r="PS33" s="77">
        <v>570.23114899999996</v>
      </c>
      <c r="PT33" s="77">
        <v>628.54935999999998</v>
      </c>
      <c r="PU33" s="77">
        <v>576.25287000000003</v>
      </c>
      <c r="PV33" s="77">
        <v>638.52967100000001</v>
      </c>
      <c r="PW33" s="77">
        <v>626.41055600000004</v>
      </c>
      <c r="PX33" s="77">
        <v>580.90428199999997</v>
      </c>
      <c r="PY33" s="77">
        <v>564.71256500000004</v>
      </c>
      <c r="PZ33" s="77">
        <v>551.83515399999999</v>
      </c>
      <c r="QA33" s="77">
        <v>606.61409000000003</v>
      </c>
      <c r="QB33" s="77">
        <v>539.22351200000003</v>
      </c>
      <c r="QC33" s="77">
        <v>588.41788199999996</v>
      </c>
      <c r="QD33" s="77">
        <v>650.31390299999998</v>
      </c>
      <c r="QE33" s="77">
        <v>587.95312200000001</v>
      </c>
      <c r="QF33" s="77">
        <v>568.84582499999999</v>
      </c>
      <c r="QG33" s="77">
        <v>548.02167299999996</v>
      </c>
      <c r="QH33" s="77">
        <v>604.65093999999999</v>
      </c>
      <c r="QI33" s="77">
        <v>524.08505000000002</v>
      </c>
      <c r="QJ33" s="77">
        <v>582.31493599999999</v>
      </c>
      <c r="QK33" s="77">
        <v>611.48231599999997</v>
      </c>
      <c r="QL33" s="77">
        <v>566.06190700000002</v>
      </c>
      <c r="QM33" s="77">
        <v>549.78495099999998</v>
      </c>
      <c r="QN33" s="77">
        <v>538.003692</v>
      </c>
      <c r="QO33" s="77">
        <v>593.12690199999997</v>
      </c>
      <c r="QP33" s="77">
        <v>561.97611300000005</v>
      </c>
      <c r="QQ33" s="77">
        <v>613.47641999999996</v>
      </c>
      <c r="QR33" s="77">
        <v>677.57507599999997</v>
      </c>
      <c r="QS33" s="77">
        <v>612.93688699999996</v>
      </c>
    </row>
    <row r="34" spans="6:461" x14ac:dyDescent="0.25">
      <c r="F34" s="76" t="str">
        <f xml:space="preserve"> _xll.EPMOlapMemberO("[PRDDESCR].[].[WONDER GFREE WHITE 470G]","","WONDER GFREE WHITE 470G","","000")</f>
        <v>WONDER GFREE WHITE 470G</v>
      </c>
      <c r="G34" s="76" t="str">
        <f xml:space="preserve"> _xll.EPMOlapMemberO("[PRDID].[].[179649]","","179649","","000")</f>
        <v>179649</v>
      </c>
      <c r="H34" s="76" t="str">
        <f xml:space="preserve"> _xll.EPMOlapMemberO("[LOCID].[].[6120]","","6120","","000")</f>
        <v>6120</v>
      </c>
      <c r="I34" s="76" t="str">
        <f xml:space="preserve"> _xll.EPMOlapMemberO("[LOCDESCR].[].[QBA-Hobart]","","QBA-Hobart","","000")</f>
        <v>QBA-Hobart</v>
      </c>
      <c r="J34" s="76" t="str">
        <f xml:space="preserve"> _xll.EPMOlapMemberO("[KEY_FIGURES].[].[ZGFAPPROVEDFCSTQTY]","","Approved Forecast","","000")</f>
        <v>Approved Forecast</v>
      </c>
      <c r="K34" s="77">
        <v>0.187116</v>
      </c>
      <c r="L34" s="77">
        <v>73.914751999999993</v>
      </c>
      <c r="M34" s="77">
        <v>0</v>
      </c>
      <c r="N34" s="77">
        <v>67.696499000000003</v>
      </c>
      <c r="O34" s="77">
        <v>0</v>
      </c>
      <c r="P34" s="77">
        <v>0</v>
      </c>
      <c r="Q34" s="77">
        <v>71.973285000000004</v>
      </c>
      <c r="R34" s="77">
        <v>0.178755</v>
      </c>
      <c r="S34" s="77">
        <v>67.235675999999998</v>
      </c>
      <c r="T34" s="77">
        <v>0</v>
      </c>
      <c r="U34" s="77">
        <v>62.440458999999997</v>
      </c>
      <c r="V34" s="77">
        <v>0</v>
      </c>
      <c r="W34" s="77">
        <v>0</v>
      </c>
      <c r="X34" s="77">
        <v>66.726241000000002</v>
      </c>
      <c r="Y34" s="77">
        <v>0.15942999999999999</v>
      </c>
      <c r="Z34" s="77">
        <v>60.738320000000002</v>
      </c>
      <c r="AA34" s="77">
        <v>0</v>
      </c>
      <c r="AB34" s="77">
        <v>57.535594000000003</v>
      </c>
      <c r="AC34" s="77">
        <v>0</v>
      </c>
      <c r="AD34" s="77">
        <v>0</v>
      </c>
      <c r="AE34" s="77"/>
      <c r="AF34" s="77"/>
      <c r="AG34" s="77"/>
      <c r="AH34" s="77"/>
      <c r="AI34" s="77"/>
      <c r="AJ34" s="77"/>
      <c r="AK34" s="77"/>
      <c r="AL34" s="77">
        <v>83.904546999999994</v>
      </c>
      <c r="AM34" s="77">
        <v>0.20047499999999999</v>
      </c>
      <c r="AN34" s="77">
        <v>76.375082000000006</v>
      </c>
      <c r="AO34" s="77">
        <v>0</v>
      </c>
      <c r="AP34" s="77">
        <v>72.347829000000004</v>
      </c>
      <c r="AQ34" s="77">
        <v>0</v>
      </c>
      <c r="AR34" s="77">
        <v>0</v>
      </c>
      <c r="AS34" s="77">
        <v>75.708715999999995</v>
      </c>
      <c r="AT34" s="77">
        <v>0.180893</v>
      </c>
      <c r="AU34" s="77">
        <v>68.914727999999997</v>
      </c>
      <c r="AV34" s="77">
        <v>0</v>
      </c>
      <c r="AW34" s="77">
        <v>65.280852999999993</v>
      </c>
      <c r="AX34" s="77">
        <v>0</v>
      </c>
      <c r="AY34" s="77">
        <v>0</v>
      </c>
      <c r="AZ34" s="77">
        <v>65.684657999999999</v>
      </c>
      <c r="BA34" s="77">
        <v>0.156941</v>
      </c>
      <c r="BB34" s="77">
        <v>59.790211999999997</v>
      </c>
      <c r="BC34" s="77">
        <v>0</v>
      </c>
      <c r="BD34" s="77">
        <v>56.637476999999997</v>
      </c>
      <c r="BE34" s="77">
        <v>0</v>
      </c>
      <c r="BF34" s="77">
        <v>0</v>
      </c>
      <c r="BG34" s="77">
        <v>72.662525000000002</v>
      </c>
      <c r="BH34" s="77">
        <v>0.17361299999999999</v>
      </c>
      <c r="BI34" s="77">
        <v>66.141886</v>
      </c>
      <c r="BJ34" s="77">
        <v>0</v>
      </c>
      <c r="BK34" s="77">
        <v>62.654237999999999</v>
      </c>
      <c r="BL34" s="77">
        <v>0</v>
      </c>
      <c r="BM34" s="77">
        <v>0</v>
      </c>
      <c r="BN34" s="77">
        <v>71.001546000000005</v>
      </c>
      <c r="BO34" s="77">
        <v>0.16964399999999999</v>
      </c>
      <c r="BP34" s="77">
        <v>64.629959999999997</v>
      </c>
      <c r="BQ34" s="77">
        <v>0</v>
      </c>
      <c r="BR34" s="77">
        <v>61.222034999999998</v>
      </c>
      <c r="BS34" s="77">
        <v>0</v>
      </c>
      <c r="BT34" s="77">
        <v>0</v>
      </c>
      <c r="BU34" s="77">
        <v>67.559861999999995</v>
      </c>
      <c r="BV34" s="77">
        <v>0.16142200000000001</v>
      </c>
      <c r="BW34" s="77">
        <v>61.497146000000001</v>
      </c>
      <c r="BX34" s="77">
        <v>0</v>
      </c>
      <c r="BY34" s="77">
        <v>58.254398999999999</v>
      </c>
      <c r="BZ34" s="77">
        <v>0</v>
      </c>
      <c r="CA34" s="77">
        <v>0</v>
      </c>
      <c r="CB34" s="77">
        <v>64.747770000000003</v>
      </c>
      <c r="CC34" s="77">
        <v>0.15470300000000001</v>
      </c>
      <c r="CD34" s="77">
        <v>58.937385999999996</v>
      </c>
      <c r="CE34" s="77">
        <v>0</v>
      </c>
      <c r="CF34" s="77">
        <v>55.829622999999998</v>
      </c>
      <c r="CG34" s="77">
        <v>0</v>
      </c>
      <c r="CH34" s="77">
        <v>0</v>
      </c>
      <c r="CI34" s="77">
        <v>59.378993999999999</v>
      </c>
      <c r="CJ34" s="77">
        <v>0.141874</v>
      </c>
      <c r="CK34" s="77">
        <v>54.050401999999998</v>
      </c>
      <c r="CL34" s="77">
        <v>0</v>
      </c>
      <c r="CM34" s="77">
        <v>51.200333999999998</v>
      </c>
      <c r="CN34" s="77">
        <v>0</v>
      </c>
      <c r="CO34" s="77">
        <v>0</v>
      </c>
      <c r="CP34" s="77">
        <v>74.647948999999997</v>
      </c>
      <c r="CQ34" s="77">
        <v>0.17835699999999999</v>
      </c>
      <c r="CR34" s="77">
        <v>67.949144000000004</v>
      </c>
      <c r="CS34" s="77">
        <v>0</v>
      </c>
      <c r="CT34" s="77">
        <v>64.366196000000002</v>
      </c>
      <c r="CU34" s="77">
        <v>0</v>
      </c>
      <c r="CV34" s="77">
        <v>0</v>
      </c>
      <c r="CW34" s="77">
        <v>67.478195999999997</v>
      </c>
      <c r="CX34" s="77">
        <v>0.16122800000000001</v>
      </c>
      <c r="CY34" s="77">
        <v>61.422798999999998</v>
      </c>
      <c r="CZ34" s="77">
        <v>0</v>
      </c>
      <c r="DA34" s="77">
        <v>58.183951</v>
      </c>
      <c r="DB34" s="77">
        <v>0</v>
      </c>
      <c r="DC34" s="77">
        <v>0</v>
      </c>
      <c r="DD34" s="77">
        <v>78.756360000000001</v>
      </c>
      <c r="DE34" s="77">
        <v>0.18817500000000001</v>
      </c>
      <c r="DF34" s="77">
        <v>71.688851</v>
      </c>
      <c r="DG34" s="77">
        <v>0</v>
      </c>
      <c r="DH34" s="77">
        <v>67.908686000000003</v>
      </c>
      <c r="DI34" s="77">
        <v>0</v>
      </c>
      <c r="DJ34" s="77">
        <v>0</v>
      </c>
      <c r="DK34" s="77">
        <v>71.692558000000005</v>
      </c>
      <c r="DL34" s="77">
        <v>0.171294</v>
      </c>
      <c r="DM34" s="77">
        <v>65.258972999999997</v>
      </c>
      <c r="DN34" s="77">
        <v>0</v>
      </c>
      <c r="DO34" s="77">
        <v>61.817915999999997</v>
      </c>
      <c r="DP34" s="77">
        <v>0</v>
      </c>
      <c r="DQ34" s="77">
        <v>0</v>
      </c>
      <c r="DR34" s="77">
        <v>79.529302000000001</v>
      </c>
      <c r="DS34" s="77">
        <v>0.19001999999999999</v>
      </c>
      <c r="DT34" s="77">
        <v>86.022143</v>
      </c>
      <c r="DU34" s="77">
        <v>0</v>
      </c>
      <c r="DV34" s="77">
        <v>81.486183999999994</v>
      </c>
      <c r="DW34" s="77">
        <v>0</v>
      </c>
      <c r="DX34" s="77">
        <v>0</v>
      </c>
      <c r="DY34" s="77">
        <v>71.474543999999995</v>
      </c>
      <c r="DZ34" s="77">
        <v>0.17077700000000001</v>
      </c>
      <c r="EA34" s="77">
        <v>54.752073000000003</v>
      </c>
      <c r="EB34" s="77">
        <v>0</v>
      </c>
      <c r="EC34" s="77">
        <v>51.864995999999998</v>
      </c>
      <c r="ED34" s="77">
        <v>0</v>
      </c>
      <c r="EE34" s="77">
        <v>0</v>
      </c>
      <c r="EF34" s="77">
        <v>77.037435000000002</v>
      </c>
      <c r="EG34" s="77">
        <v>0.18406500000000001</v>
      </c>
      <c r="EH34" s="77">
        <v>70.124234000000001</v>
      </c>
      <c r="EI34" s="77">
        <v>0</v>
      </c>
      <c r="EJ34" s="77">
        <v>66.426547999999997</v>
      </c>
      <c r="EK34" s="77">
        <v>0</v>
      </c>
      <c r="EL34" s="77">
        <v>0</v>
      </c>
      <c r="EM34" s="77">
        <v>67.784667999999996</v>
      </c>
      <c r="EN34" s="77">
        <v>0.16195999999999999</v>
      </c>
      <c r="EO34" s="77">
        <v>61.701720999999999</v>
      </c>
      <c r="EP34" s="77">
        <v>0</v>
      </c>
      <c r="EQ34" s="77">
        <v>58.448245</v>
      </c>
      <c r="ER34" s="77">
        <v>0</v>
      </c>
      <c r="ES34" s="77">
        <v>0</v>
      </c>
      <c r="ET34" s="77">
        <v>63.911011999999999</v>
      </c>
      <c r="EU34" s="77">
        <v>0.15270500000000001</v>
      </c>
      <c r="EV34" s="77">
        <v>58.175761999999999</v>
      </c>
      <c r="EW34" s="77">
        <v>0</v>
      </c>
      <c r="EX34" s="77">
        <v>55.10812</v>
      </c>
      <c r="EY34" s="77">
        <v>0</v>
      </c>
      <c r="EZ34" s="77">
        <v>0</v>
      </c>
      <c r="FA34" s="77">
        <v>71.081540000000004</v>
      </c>
      <c r="FB34" s="77">
        <v>0.16983699999999999</v>
      </c>
      <c r="FC34" s="77">
        <v>64.702810999999997</v>
      </c>
      <c r="FD34" s="77">
        <v>0</v>
      </c>
      <c r="FE34" s="77">
        <v>61.290996999999997</v>
      </c>
      <c r="FF34" s="77">
        <v>0</v>
      </c>
      <c r="FG34" s="77">
        <v>0</v>
      </c>
      <c r="FH34" s="77">
        <v>78.044551999999996</v>
      </c>
      <c r="FI34" s="77">
        <v>0.186474</v>
      </c>
      <c r="FJ34" s="77">
        <v>71.040938999999995</v>
      </c>
      <c r="FK34" s="77">
        <v>0</v>
      </c>
      <c r="FL34" s="77">
        <v>67.295000999999999</v>
      </c>
      <c r="FM34" s="77">
        <v>0</v>
      </c>
      <c r="FN34" s="77">
        <v>0</v>
      </c>
      <c r="FO34" s="77">
        <v>61.984577999999999</v>
      </c>
      <c r="FP34" s="77">
        <v>0.14810000000000001</v>
      </c>
      <c r="FQ34" s="77">
        <v>69.812036000000006</v>
      </c>
      <c r="FR34" s="77">
        <v>0</v>
      </c>
      <c r="FS34" s="77">
        <v>66.130837999999997</v>
      </c>
      <c r="FT34" s="77">
        <v>0</v>
      </c>
      <c r="FU34" s="77">
        <v>0</v>
      </c>
      <c r="FV34" s="77">
        <v>72.301017000000002</v>
      </c>
      <c r="FW34" s="77">
        <v>0.17275099999999999</v>
      </c>
      <c r="FX34" s="77">
        <v>53.189985</v>
      </c>
      <c r="FY34" s="77">
        <v>0</v>
      </c>
      <c r="FZ34" s="77">
        <v>50.385320999999998</v>
      </c>
      <c r="GA34" s="77">
        <v>0</v>
      </c>
      <c r="GB34" s="77">
        <v>0</v>
      </c>
      <c r="GC34" s="77">
        <v>60.050967</v>
      </c>
      <c r="GD34" s="77">
        <v>0.14348</v>
      </c>
      <c r="GE34" s="77">
        <v>54.662067</v>
      </c>
      <c r="GF34" s="77">
        <v>0</v>
      </c>
      <c r="GG34" s="77">
        <v>51.779750999999997</v>
      </c>
      <c r="GH34" s="77">
        <v>0</v>
      </c>
      <c r="GI34" s="77">
        <v>0</v>
      </c>
      <c r="GJ34" s="77">
        <v>88.768450999999999</v>
      </c>
      <c r="GK34" s="77">
        <v>0.21209500000000001</v>
      </c>
      <c r="GL34" s="77">
        <v>80.802484000000007</v>
      </c>
      <c r="GM34" s="77">
        <v>0</v>
      </c>
      <c r="GN34" s="77">
        <v>76.541777999999994</v>
      </c>
      <c r="GO34" s="77">
        <v>0</v>
      </c>
      <c r="GP34" s="77">
        <v>0</v>
      </c>
      <c r="GQ34" s="77">
        <v>54.766364000000003</v>
      </c>
      <c r="GR34" s="77">
        <v>0.130852</v>
      </c>
      <c r="GS34" s="77">
        <v>49.851692</v>
      </c>
      <c r="GT34" s="77">
        <v>0</v>
      </c>
      <c r="GU34" s="77">
        <v>47.223028999999997</v>
      </c>
      <c r="GV34" s="77">
        <v>0</v>
      </c>
      <c r="GW34" s="77">
        <v>0</v>
      </c>
      <c r="GX34" s="77">
        <v>61.011045000000003</v>
      </c>
      <c r="GY34" s="77">
        <v>0.14577300000000001</v>
      </c>
      <c r="GZ34" s="77">
        <v>55.535989999999998</v>
      </c>
      <c r="HA34" s="77">
        <v>0</v>
      </c>
      <c r="HB34" s="77">
        <v>52.607590999999999</v>
      </c>
      <c r="HC34" s="77">
        <v>0</v>
      </c>
      <c r="HD34" s="77">
        <v>0</v>
      </c>
      <c r="HE34" s="77">
        <v>67.151461999999995</v>
      </c>
      <c r="HF34" s="77">
        <v>0.160444</v>
      </c>
      <c r="HG34" s="77">
        <v>61.125371999999999</v>
      </c>
      <c r="HH34" s="77">
        <v>0</v>
      </c>
      <c r="HI34" s="77">
        <v>57.902245000000001</v>
      </c>
      <c r="HJ34" s="77">
        <v>0</v>
      </c>
      <c r="HK34" s="77">
        <v>0</v>
      </c>
      <c r="HL34" s="77">
        <v>73.422165000000007</v>
      </c>
      <c r="HM34" s="77">
        <v>0.175428</v>
      </c>
      <c r="HN34" s="77">
        <v>66.833354999999997</v>
      </c>
      <c r="HO34" s="77">
        <v>0</v>
      </c>
      <c r="HP34" s="77">
        <v>63.309241</v>
      </c>
      <c r="HQ34" s="77">
        <v>0</v>
      </c>
      <c r="HR34" s="77">
        <v>0</v>
      </c>
      <c r="HS34" s="77">
        <v>63.660705</v>
      </c>
      <c r="HT34" s="77">
        <v>0.15210499999999999</v>
      </c>
      <c r="HU34" s="77">
        <v>67.635993999999997</v>
      </c>
      <c r="HV34" s="77">
        <v>0</v>
      </c>
      <c r="HW34" s="77">
        <v>64.069590000000005</v>
      </c>
      <c r="HX34" s="77">
        <v>0</v>
      </c>
      <c r="HY34" s="77">
        <v>0</v>
      </c>
      <c r="HZ34" s="77">
        <v>76.624494999999996</v>
      </c>
      <c r="IA34" s="77">
        <v>0.18308099999999999</v>
      </c>
      <c r="IB34" s="77">
        <v>59.757589000000003</v>
      </c>
      <c r="IC34" s="77">
        <v>0</v>
      </c>
      <c r="ID34" s="77">
        <v>56.606588000000002</v>
      </c>
      <c r="IE34" s="77">
        <v>0</v>
      </c>
      <c r="IF34" s="77">
        <v>0</v>
      </c>
      <c r="IG34" s="77">
        <v>63.597586999999997</v>
      </c>
      <c r="IH34" s="77">
        <v>0.151953</v>
      </c>
      <c r="II34" s="77">
        <v>57.890422000000001</v>
      </c>
      <c r="IJ34" s="77">
        <v>0</v>
      </c>
      <c r="IK34" s="77">
        <v>54.837865000000001</v>
      </c>
      <c r="IL34" s="77">
        <v>0</v>
      </c>
      <c r="IM34" s="77">
        <v>0</v>
      </c>
      <c r="IN34" s="77">
        <v>71.439453999999998</v>
      </c>
      <c r="IO34" s="77">
        <v>0.17068900000000001</v>
      </c>
      <c r="IP34" s="77">
        <v>65.028566999999995</v>
      </c>
      <c r="IQ34" s="77">
        <v>0</v>
      </c>
      <c r="IR34" s="77">
        <v>61.599623000000001</v>
      </c>
      <c r="IS34" s="77">
        <v>0</v>
      </c>
      <c r="IT34" s="77">
        <v>0</v>
      </c>
      <c r="IU34" s="77">
        <v>60.157307000000003</v>
      </c>
      <c r="IV34" s="77">
        <v>0.143734</v>
      </c>
      <c r="IW34" s="77">
        <v>66.946016</v>
      </c>
      <c r="IX34" s="77">
        <v>0</v>
      </c>
      <c r="IY34" s="77">
        <v>63.415934</v>
      </c>
      <c r="IZ34" s="77">
        <v>0</v>
      </c>
      <c r="JA34" s="77">
        <v>0</v>
      </c>
      <c r="JB34" s="77">
        <v>77.669349999999994</v>
      </c>
      <c r="JC34" s="77">
        <v>0.18557699999999999</v>
      </c>
      <c r="JD34" s="77">
        <v>57.828994000000002</v>
      </c>
      <c r="JE34" s="77">
        <v>0</v>
      </c>
      <c r="JF34" s="77">
        <v>54.779685000000001</v>
      </c>
      <c r="JG34" s="77">
        <v>0</v>
      </c>
      <c r="JH34" s="77">
        <v>0</v>
      </c>
      <c r="JI34" s="77">
        <v>72.241418999999993</v>
      </c>
      <c r="JJ34" s="77">
        <v>0.17260600000000001</v>
      </c>
      <c r="JK34" s="77">
        <v>65.758555000000001</v>
      </c>
      <c r="JL34" s="77">
        <v>0</v>
      </c>
      <c r="JM34" s="77">
        <v>62.291116000000002</v>
      </c>
      <c r="JN34" s="77">
        <v>0</v>
      </c>
      <c r="JO34" s="77">
        <v>0</v>
      </c>
      <c r="JP34" s="77">
        <v>70.394317000000001</v>
      </c>
      <c r="JQ34" s="77">
        <v>0.16819400000000001</v>
      </c>
      <c r="JR34" s="77">
        <v>64.077224999999999</v>
      </c>
      <c r="JS34" s="77">
        <v>0</v>
      </c>
      <c r="JT34" s="77">
        <v>60.698441000000003</v>
      </c>
      <c r="JU34" s="77">
        <v>0</v>
      </c>
      <c r="JV34" s="77">
        <v>0</v>
      </c>
      <c r="JW34" s="77">
        <v>48.651694999999997</v>
      </c>
      <c r="JX34" s="77">
        <v>0.115995</v>
      </c>
      <c r="JY34" s="77">
        <v>59.705818999999998</v>
      </c>
      <c r="JZ34" s="77">
        <v>0</v>
      </c>
      <c r="KA34" s="77">
        <v>50.429611999999999</v>
      </c>
      <c r="KB34" s="77">
        <v>39.911724</v>
      </c>
      <c r="KC34" s="77">
        <v>39.881160000000001</v>
      </c>
      <c r="KD34" s="77">
        <v>32.033614999999998</v>
      </c>
      <c r="KE34" s="77">
        <v>29.216774999999998</v>
      </c>
      <c r="KF34" s="77">
        <v>31.310255999999999</v>
      </c>
      <c r="KG34" s="77">
        <v>26.238700999999999</v>
      </c>
      <c r="KH34" s="77">
        <v>26.158259000000001</v>
      </c>
      <c r="KI34" s="77">
        <v>26.278948</v>
      </c>
      <c r="KJ34" s="77">
        <v>26.258828999999999</v>
      </c>
      <c r="KK34" s="77">
        <v>33.267485000000001</v>
      </c>
      <c r="KL34" s="77">
        <v>30.342136</v>
      </c>
      <c r="KM34" s="77">
        <v>32.516254000000004</v>
      </c>
      <c r="KN34" s="77">
        <v>27.249352999999999</v>
      </c>
      <c r="KO34" s="77">
        <v>27.165813</v>
      </c>
      <c r="KP34" s="77">
        <v>27.291156000000001</v>
      </c>
      <c r="KQ34" s="77">
        <v>27.270254999999999</v>
      </c>
      <c r="KR34" s="77">
        <v>29.275614000000001</v>
      </c>
      <c r="KS34" s="77">
        <v>26.701286</v>
      </c>
      <c r="KT34" s="77">
        <v>28.614528</v>
      </c>
      <c r="KU34" s="77">
        <v>23.979621000000002</v>
      </c>
      <c r="KV34" s="77">
        <v>23.906108</v>
      </c>
      <c r="KW34" s="77">
        <v>24.016407999999998</v>
      </c>
      <c r="KX34" s="77">
        <v>23.998021000000001</v>
      </c>
      <c r="KY34" s="77">
        <v>31.702221999999999</v>
      </c>
      <c r="KZ34" s="77">
        <v>28.914512999999999</v>
      </c>
      <c r="LA34" s="77">
        <v>30.986336000000001</v>
      </c>
      <c r="LB34" s="77">
        <v>25.967257</v>
      </c>
      <c r="LC34" s="77">
        <v>25.887639</v>
      </c>
      <c r="LD34" s="77">
        <v>26.007079999999998</v>
      </c>
      <c r="LE34" s="77">
        <v>25.987176999999999</v>
      </c>
      <c r="LF34" s="77">
        <v>31.301207000000002</v>
      </c>
      <c r="LG34" s="77">
        <v>28.548776</v>
      </c>
      <c r="LH34" s="77">
        <v>30.594384999999999</v>
      </c>
      <c r="LI34" s="77">
        <v>25.638794999999998</v>
      </c>
      <c r="LJ34" s="77">
        <v>25.560185000000001</v>
      </c>
      <c r="LK34" s="77">
        <v>25.67811</v>
      </c>
      <c r="LL34" s="77">
        <v>25.658453000000002</v>
      </c>
      <c r="LM34" s="77">
        <v>30.837043000000001</v>
      </c>
      <c r="LN34" s="77">
        <v>28.125419999999998</v>
      </c>
      <c r="LO34" s="77">
        <v>30.140703999999999</v>
      </c>
      <c r="LP34" s="77">
        <v>25.258595</v>
      </c>
      <c r="LQ34" s="77">
        <v>25.181153999999999</v>
      </c>
      <c r="LR34" s="77">
        <v>25.297335</v>
      </c>
      <c r="LS34" s="77">
        <v>25.27797</v>
      </c>
      <c r="LT34" s="77">
        <v>30.426006000000001</v>
      </c>
      <c r="LU34" s="77">
        <v>27.750515</v>
      </c>
      <c r="LV34" s="77">
        <v>29.738935999999999</v>
      </c>
      <c r="LW34" s="77">
        <v>24.921896</v>
      </c>
      <c r="LX34" s="77">
        <v>24.845492</v>
      </c>
      <c r="LY34" s="77">
        <v>24.960118000000001</v>
      </c>
      <c r="LZ34" s="77">
        <v>24.941020999999999</v>
      </c>
      <c r="MA34" s="77">
        <v>26.794916000000001</v>
      </c>
      <c r="MB34" s="77">
        <v>24.438737</v>
      </c>
      <c r="MC34" s="77">
        <v>26.189854</v>
      </c>
      <c r="MD34" s="77">
        <v>21.947687999999999</v>
      </c>
      <c r="ME34" s="77">
        <v>21.880403000000001</v>
      </c>
      <c r="MF34" s="77">
        <v>21.981352999999999</v>
      </c>
      <c r="MG34" s="77">
        <v>21.964528999999999</v>
      </c>
      <c r="MH34" s="77">
        <v>30.788858000000001</v>
      </c>
      <c r="MI34" s="77">
        <v>28.081475000000001</v>
      </c>
      <c r="MJ34" s="77">
        <v>30.093608</v>
      </c>
      <c r="MK34" s="77">
        <v>25.219121000000001</v>
      </c>
      <c r="ML34" s="77">
        <v>25.141805000000002</v>
      </c>
      <c r="MM34" s="77">
        <v>25.257802000000002</v>
      </c>
      <c r="MN34" s="77">
        <v>25.238471000000001</v>
      </c>
      <c r="MO34" s="77">
        <v>30.591583</v>
      </c>
      <c r="MP34" s="77">
        <v>27.901539</v>
      </c>
      <c r="MQ34" s="77">
        <v>29.900780999999998</v>
      </c>
      <c r="MR34" s="77">
        <v>25.05753</v>
      </c>
      <c r="MS34" s="77">
        <v>24.980709999999998</v>
      </c>
      <c r="MT34" s="77">
        <v>25.095969</v>
      </c>
      <c r="MU34" s="77">
        <v>25.076756</v>
      </c>
      <c r="MV34" s="77">
        <v>29.600377000000002</v>
      </c>
      <c r="MW34" s="77">
        <v>26.997496000000002</v>
      </c>
      <c r="MX34" s="77">
        <v>28.931958999999999</v>
      </c>
      <c r="MY34" s="77">
        <v>24.245633999999999</v>
      </c>
      <c r="MZ34" s="77">
        <v>24.171303000000002</v>
      </c>
      <c r="NA34" s="77">
        <v>24.282824000000002</v>
      </c>
      <c r="NB34" s="77">
        <v>24.264234999999999</v>
      </c>
      <c r="NC34" s="77">
        <v>29.4071</v>
      </c>
      <c r="ND34" s="77">
        <v>26.821217999999998</v>
      </c>
      <c r="NE34" s="77">
        <v>28.743046</v>
      </c>
      <c r="NF34" s="77">
        <v>24.087323000000001</v>
      </c>
      <c r="NG34" s="77">
        <v>24.013475</v>
      </c>
      <c r="NH34" s="77">
        <v>24.124269000000002</v>
      </c>
      <c r="NI34" s="77">
        <v>24.105796999999999</v>
      </c>
      <c r="NJ34" s="77">
        <v>33.588065999999998</v>
      </c>
      <c r="NK34" s="77">
        <v>30.634533000000001</v>
      </c>
      <c r="NL34" s="77">
        <v>32.829602999999999</v>
      </c>
      <c r="NM34" s="77">
        <v>27.511953999999999</v>
      </c>
      <c r="NN34" s="77">
        <v>27.427606999999998</v>
      </c>
      <c r="NO34" s="77">
        <v>27.554154</v>
      </c>
      <c r="NP34" s="77">
        <v>27.533061</v>
      </c>
      <c r="NQ34" s="77">
        <v>30.691790999999998</v>
      </c>
      <c r="NR34" s="77">
        <v>27.992947000000001</v>
      </c>
      <c r="NS34" s="77">
        <v>29.998736000000001</v>
      </c>
      <c r="NT34" s="77">
        <v>25.139619</v>
      </c>
      <c r="NU34" s="77">
        <v>25.062543999999999</v>
      </c>
      <c r="NV34" s="77">
        <v>25.178170999999999</v>
      </c>
      <c r="NW34" s="77">
        <v>25.158897</v>
      </c>
      <c r="NX34" s="77">
        <v>28.500150999999999</v>
      </c>
      <c r="NY34" s="77">
        <v>25.994022000000001</v>
      </c>
      <c r="NZ34" s="77">
        <v>27.856589</v>
      </c>
      <c r="OA34" s="77">
        <v>23.344457999999999</v>
      </c>
      <c r="OB34" s="77">
        <v>23.272891000000001</v>
      </c>
      <c r="OC34" s="77">
        <v>23.380264</v>
      </c>
      <c r="OD34" s="77">
        <v>23.362368</v>
      </c>
      <c r="OE34" s="77">
        <v>30.054593000000001</v>
      </c>
      <c r="OF34" s="77">
        <v>27.411774000000001</v>
      </c>
      <c r="OG34" s="77">
        <v>29.375921000000002</v>
      </c>
      <c r="OH34" s="77">
        <v>24.617691000000001</v>
      </c>
      <c r="OI34" s="77">
        <v>24.542211999999999</v>
      </c>
      <c r="OJ34" s="77">
        <v>24.655439999999999</v>
      </c>
      <c r="OK34" s="77">
        <v>24.636571</v>
      </c>
      <c r="OL34" s="77">
        <v>35.837387999999997</v>
      </c>
      <c r="OM34" s="77">
        <v>32.686061000000002</v>
      </c>
      <c r="ON34" s="77">
        <v>35.028122000000003</v>
      </c>
      <c r="OO34" s="77">
        <v>29.354375000000001</v>
      </c>
      <c r="OP34" s="77">
        <v>29.264365999999999</v>
      </c>
      <c r="OQ34" s="77">
        <v>29.399386</v>
      </c>
      <c r="OR34" s="77">
        <v>29.37688</v>
      </c>
      <c r="OS34" s="77">
        <v>32.336770000000001</v>
      </c>
      <c r="OT34" s="77">
        <v>29.493265000000001</v>
      </c>
      <c r="OU34" s="77">
        <v>31.606552000000001</v>
      </c>
      <c r="OV34" s="77">
        <v>26.487013999999999</v>
      </c>
      <c r="OW34" s="77">
        <v>26.405806999999999</v>
      </c>
      <c r="OX34" s="77">
        <v>26.527639000000001</v>
      </c>
      <c r="OY34" s="77">
        <v>26.507327</v>
      </c>
      <c r="OZ34" s="77">
        <v>28.055282999999999</v>
      </c>
      <c r="PA34" s="77">
        <v>25.588270000000001</v>
      </c>
      <c r="PB34" s="77">
        <v>27.421752999999999</v>
      </c>
      <c r="PC34" s="77">
        <v>22.980051</v>
      </c>
      <c r="PD34" s="77">
        <v>22.909600000000001</v>
      </c>
      <c r="PE34" s="77">
        <v>23.015291000000001</v>
      </c>
      <c r="PF34" s="77">
        <v>22.997679999999999</v>
      </c>
      <c r="PG34" s="77">
        <v>31.035678000000001</v>
      </c>
      <c r="PH34" s="77">
        <v>28.306581999999999</v>
      </c>
      <c r="PI34" s="77">
        <v>30.334847</v>
      </c>
      <c r="PJ34" s="77">
        <v>25.421295000000001</v>
      </c>
      <c r="PK34" s="77">
        <v>25.343351999999999</v>
      </c>
      <c r="PL34" s="77">
        <v>25.460276</v>
      </c>
      <c r="PM34" s="77">
        <v>25.440787</v>
      </c>
      <c r="PN34" s="77">
        <v>30.326232999999998</v>
      </c>
      <c r="PO34" s="77">
        <v>27.659531000000001</v>
      </c>
      <c r="PP34" s="77">
        <v>29.641423</v>
      </c>
      <c r="PQ34" s="77">
        <v>24.84019</v>
      </c>
      <c r="PR34" s="77">
        <v>24.764032</v>
      </c>
      <c r="PS34" s="77">
        <v>24.878285000000002</v>
      </c>
      <c r="PT34" s="77">
        <v>24.859245000000001</v>
      </c>
      <c r="PU34" s="77">
        <v>28.856224999999998</v>
      </c>
      <c r="PV34" s="77">
        <v>26.318781999999999</v>
      </c>
      <c r="PW34" s="77">
        <v>28.204612999999998</v>
      </c>
      <c r="PX34" s="77">
        <v>23.636099999999999</v>
      </c>
      <c r="PY34" s="77">
        <v>23.563638999999998</v>
      </c>
      <c r="PZ34" s="77">
        <v>23.672353999999999</v>
      </c>
      <c r="QA34" s="77">
        <v>23.654228</v>
      </c>
      <c r="QB34" s="77">
        <v>27.655111999999999</v>
      </c>
      <c r="QC34" s="77">
        <v>25.223286999999999</v>
      </c>
      <c r="QD34" s="77">
        <v>27.030625000000001</v>
      </c>
      <c r="QE34" s="77">
        <v>22.652270999999999</v>
      </c>
      <c r="QF34" s="77">
        <v>22.582826000000001</v>
      </c>
      <c r="QG34" s="77">
        <v>22.687014000000001</v>
      </c>
      <c r="QH34" s="77">
        <v>22.669644999999999</v>
      </c>
      <c r="QI34" s="77">
        <v>25.361998</v>
      </c>
      <c r="QJ34" s="77">
        <v>23.131817999999999</v>
      </c>
      <c r="QK34" s="77">
        <v>24.789292</v>
      </c>
      <c r="QL34" s="77">
        <v>20.773992</v>
      </c>
      <c r="QM34" s="77">
        <v>20.710301999999999</v>
      </c>
      <c r="QN34" s="77">
        <v>20.80585</v>
      </c>
      <c r="QO34" s="77">
        <v>20.789929000000001</v>
      </c>
      <c r="QP34" s="77">
        <v>31.883692</v>
      </c>
      <c r="QQ34" s="77">
        <v>29.080034000000001</v>
      </c>
      <c r="QR34" s="77">
        <v>31.163709999999998</v>
      </c>
      <c r="QS34" s="77">
        <v>26.115904</v>
      </c>
    </row>
    <row r="35" spans="6:461" x14ac:dyDescent="0.25">
      <c r="F35" s="76" t="str">
        <f xml:space="preserve"> _xll.EPMOlapMemberO("[PRDDESCR].[].[WONDER GFREE WHITE 470G]","","WONDER GFREE WHITE 470G","","000")</f>
        <v>WONDER GFREE WHITE 470G</v>
      </c>
      <c r="G35" s="76" t="str">
        <f xml:space="preserve"> _xll.EPMOlapMemberO("[PRDID].[].[179649]","","179649","","000")</f>
        <v>179649</v>
      </c>
      <c r="H35" s="76" t="str">
        <f xml:space="preserve"> _xll.EPMOlapMemberO("[LOCID].[].[6123]","","6123","","000")</f>
        <v>6123</v>
      </c>
      <c r="I35" s="76" t="str">
        <f xml:space="preserve"> _xll.EPMOlapMemberO("[LOCDESCR].[].[QBA-Clayton - Fairbank]","","QBA-Clayton - Fairbank","","000")</f>
        <v>QBA-Clayton - Fairbank</v>
      </c>
      <c r="J35" s="76" t="str">
        <f xml:space="preserve"> _xll.EPMOlapMemberO("[KEY_FIGURES].[].[ZGFAPPROVEDFCSTQTY]","","Approved Forecast","","000")</f>
        <v>Approved Forecast</v>
      </c>
      <c r="K35" s="77">
        <v>0.64433399999999996</v>
      </c>
      <c r="L35" s="77">
        <v>720.35336500000005</v>
      </c>
      <c r="M35" s="77">
        <v>158.55345600000001</v>
      </c>
      <c r="N35" s="77">
        <v>430.10891700000002</v>
      </c>
      <c r="O35" s="77">
        <v>264.49231900000001</v>
      </c>
      <c r="P35" s="77">
        <v>660.32774500000005</v>
      </c>
      <c r="Q35" s="77">
        <v>3.2988999999999997E-2</v>
      </c>
      <c r="R35" s="77">
        <v>0.44413399999999997</v>
      </c>
      <c r="S35" s="77">
        <v>715.58173399999998</v>
      </c>
      <c r="T35" s="77">
        <v>154.51295400000001</v>
      </c>
      <c r="U35" s="77">
        <v>409.66609</v>
      </c>
      <c r="V35" s="77">
        <v>257.50556</v>
      </c>
      <c r="W35" s="77">
        <v>650.19489699999997</v>
      </c>
      <c r="X35" s="77">
        <v>1.0175999999999999E-2</v>
      </c>
      <c r="Y35" s="77">
        <v>0.49116599999999999</v>
      </c>
      <c r="Z35" s="77">
        <v>751.18741899999998</v>
      </c>
      <c r="AA35" s="77">
        <v>159.15284</v>
      </c>
      <c r="AB35" s="77">
        <v>441.558875</v>
      </c>
      <c r="AC35" s="77">
        <v>268.33541700000001</v>
      </c>
      <c r="AD35" s="77">
        <v>720.62205400000005</v>
      </c>
      <c r="AE35" s="77"/>
      <c r="AF35" s="77"/>
      <c r="AG35" s="77"/>
      <c r="AH35" s="77"/>
      <c r="AI35" s="77"/>
      <c r="AJ35" s="77"/>
      <c r="AK35" s="77"/>
      <c r="AL35" s="77">
        <v>1.1178E-2</v>
      </c>
      <c r="AM35" s="77">
        <v>0.45754299999999998</v>
      </c>
      <c r="AN35" s="77">
        <v>749.28384000000005</v>
      </c>
      <c r="AO35" s="77">
        <v>157.38094899999999</v>
      </c>
      <c r="AP35" s="77">
        <v>437.48246499999999</v>
      </c>
      <c r="AQ35" s="77">
        <v>267.87455999999997</v>
      </c>
      <c r="AR35" s="77">
        <v>704.96620700000005</v>
      </c>
      <c r="AS35" s="77">
        <v>1.0841999999999999E-2</v>
      </c>
      <c r="AT35" s="77">
        <v>0.452322</v>
      </c>
      <c r="AU35" s="77">
        <v>720.88977</v>
      </c>
      <c r="AV35" s="77">
        <v>151.16937200000001</v>
      </c>
      <c r="AW35" s="77">
        <v>419.63719700000001</v>
      </c>
      <c r="AX35" s="77">
        <v>258.018529</v>
      </c>
      <c r="AY35" s="77">
        <v>677.380088</v>
      </c>
      <c r="AZ35" s="77">
        <v>1.0959E-2</v>
      </c>
      <c r="BA35" s="77">
        <v>0.45615899999999998</v>
      </c>
      <c r="BB35" s="77">
        <v>748.31503999999995</v>
      </c>
      <c r="BC35" s="77">
        <v>157.485996</v>
      </c>
      <c r="BD35" s="77">
        <v>438.01898599999998</v>
      </c>
      <c r="BE35" s="77">
        <v>267.31185099999999</v>
      </c>
      <c r="BF35" s="77">
        <v>706.55306700000006</v>
      </c>
      <c r="BG35" s="77">
        <v>1.0005E-2</v>
      </c>
      <c r="BH35" s="77">
        <v>0.51573899999999995</v>
      </c>
      <c r="BI35" s="77">
        <v>765.60889999999995</v>
      </c>
      <c r="BJ35" s="77">
        <v>162.700818</v>
      </c>
      <c r="BK35" s="77">
        <v>450.81348200000002</v>
      </c>
      <c r="BL35" s="77">
        <v>273.52865200000002</v>
      </c>
      <c r="BM35" s="77">
        <v>739.59435399999995</v>
      </c>
      <c r="BN35" s="77">
        <v>1.2508999999999999E-2</v>
      </c>
      <c r="BO35" s="77">
        <v>0.50387800000000005</v>
      </c>
      <c r="BP35" s="77">
        <v>772.61859000000004</v>
      </c>
      <c r="BQ35" s="77">
        <v>160.68494999999999</v>
      </c>
      <c r="BR35" s="77">
        <v>443.79439000000002</v>
      </c>
      <c r="BS35" s="77">
        <v>277.96396800000002</v>
      </c>
      <c r="BT35" s="77">
        <v>716.020982</v>
      </c>
      <c r="BU35" s="77">
        <v>1.1641E-2</v>
      </c>
      <c r="BV35" s="77">
        <v>0.51638600000000001</v>
      </c>
      <c r="BW35" s="77">
        <v>795.94355299999995</v>
      </c>
      <c r="BX35" s="77">
        <v>167.45457500000001</v>
      </c>
      <c r="BY35" s="77">
        <v>463.71227699999997</v>
      </c>
      <c r="BZ35" s="77">
        <v>285.16091899999998</v>
      </c>
      <c r="CA35" s="77">
        <v>753.11165200000005</v>
      </c>
      <c r="CB35" s="77">
        <v>1.4208999999999999E-2</v>
      </c>
      <c r="CC35" s="77">
        <v>0.53019899999999998</v>
      </c>
      <c r="CD35" s="77">
        <v>801.33838700000001</v>
      </c>
      <c r="CE35" s="77">
        <v>164.82165000000001</v>
      </c>
      <c r="CF35" s="77">
        <v>453.41455300000001</v>
      </c>
      <c r="CG35" s="77">
        <v>289.72317500000003</v>
      </c>
      <c r="CH35" s="77">
        <v>727.81302700000003</v>
      </c>
      <c r="CI35" s="77">
        <v>1.4014E-2</v>
      </c>
      <c r="CJ35" s="77">
        <v>0.49327799999999999</v>
      </c>
      <c r="CK35" s="77">
        <v>810.31898899999999</v>
      </c>
      <c r="CL35" s="77">
        <v>167.441642</v>
      </c>
      <c r="CM35" s="77">
        <v>463.32045900000003</v>
      </c>
      <c r="CN35" s="77">
        <v>291.65125</v>
      </c>
      <c r="CO35" s="77">
        <v>738.95048099999997</v>
      </c>
      <c r="CP35" s="77">
        <v>1.418E-2</v>
      </c>
      <c r="CQ35" s="77">
        <v>0.48476200000000003</v>
      </c>
      <c r="CR35" s="77">
        <v>813.23729400000002</v>
      </c>
      <c r="CS35" s="77">
        <v>167.93121500000001</v>
      </c>
      <c r="CT35" s="77">
        <v>465.12176699999998</v>
      </c>
      <c r="CU35" s="77">
        <v>292.57827700000001</v>
      </c>
      <c r="CV35" s="77">
        <v>739.84852599999999</v>
      </c>
      <c r="CW35" s="77">
        <v>1.3410999999999999E-2</v>
      </c>
      <c r="CX35" s="77">
        <v>0.52748600000000001</v>
      </c>
      <c r="CY35" s="77">
        <v>795.262922</v>
      </c>
      <c r="CZ35" s="77">
        <v>164.588099</v>
      </c>
      <c r="DA35" s="77">
        <v>453.41896200000002</v>
      </c>
      <c r="DB35" s="77">
        <v>286.88308599999999</v>
      </c>
      <c r="DC35" s="77">
        <v>730.84682299999997</v>
      </c>
      <c r="DD35" s="77">
        <v>1.1872000000000001E-2</v>
      </c>
      <c r="DE35" s="77">
        <v>0.48488300000000001</v>
      </c>
      <c r="DF35" s="77">
        <v>754.13758600000006</v>
      </c>
      <c r="DG35" s="77">
        <v>157.351505</v>
      </c>
      <c r="DH35" s="77">
        <v>435.41946000000002</v>
      </c>
      <c r="DI35" s="77">
        <v>270.78421100000003</v>
      </c>
      <c r="DJ35" s="77">
        <v>702.71751800000004</v>
      </c>
      <c r="DK35" s="77">
        <v>1.2024E-2</v>
      </c>
      <c r="DL35" s="77">
        <v>0.47244900000000001</v>
      </c>
      <c r="DM35" s="77">
        <v>777.05700000000002</v>
      </c>
      <c r="DN35" s="77">
        <v>162.63164599999999</v>
      </c>
      <c r="DO35" s="77">
        <v>451.60684199999997</v>
      </c>
      <c r="DP35" s="77">
        <v>278.23742499999997</v>
      </c>
      <c r="DQ35" s="77">
        <v>725.88843399999996</v>
      </c>
      <c r="DR35" s="77">
        <v>1.1938000000000001E-2</v>
      </c>
      <c r="DS35" s="77">
        <v>0.50970000000000004</v>
      </c>
      <c r="DT35" s="77">
        <v>823.59781199999998</v>
      </c>
      <c r="DU35" s="77">
        <v>170.237944</v>
      </c>
      <c r="DV35" s="77">
        <v>470.44377800000001</v>
      </c>
      <c r="DW35" s="77">
        <v>296.65418099999999</v>
      </c>
      <c r="DX35" s="77">
        <v>752.219292</v>
      </c>
      <c r="DY35" s="77">
        <v>1.3311999999999999E-2</v>
      </c>
      <c r="DZ35" s="77">
        <v>0.49111100000000002</v>
      </c>
      <c r="EA35" s="77">
        <v>769.19735900000001</v>
      </c>
      <c r="EB35" s="77">
        <v>161.905689</v>
      </c>
      <c r="EC35" s="77">
        <v>449.11296800000002</v>
      </c>
      <c r="ED35" s="77">
        <v>275.23485899999997</v>
      </c>
      <c r="EE35" s="77">
        <v>727.87314900000001</v>
      </c>
      <c r="EF35" s="77">
        <v>1.0853E-2</v>
      </c>
      <c r="EG35" s="77">
        <v>0.46870899999999999</v>
      </c>
      <c r="EH35" s="77">
        <v>731.15667900000005</v>
      </c>
      <c r="EI35" s="77">
        <v>153.50494699999999</v>
      </c>
      <c r="EJ35" s="77">
        <v>425.63415300000003</v>
      </c>
      <c r="EK35" s="77">
        <v>261.81496900000002</v>
      </c>
      <c r="EL35" s="77">
        <v>689.22640000000001</v>
      </c>
      <c r="EM35" s="77">
        <v>1.0534999999999999E-2</v>
      </c>
      <c r="EN35" s="77">
        <v>0.47098899999999999</v>
      </c>
      <c r="EO35" s="77">
        <v>741.83624099999997</v>
      </c>
      <c r="EP35" s="77">
        <v>156.50295499999999</v>
      </c>
      <c r="EQ35" s="77">
        <v>434.588618</v>
      </c>
      <c r="ER35" s="77">
        <v>265.10626500000001</v>
      </c>
      <c r="ES35" s="77">
        <v>705.10069999999996</v>
      </c>
      <c r="ET35" s="77">
        <v>1.1084999999999999E-2</v>
      </c>
      <c r="EU35" s="77">
        <v>0.47933300000000001</v>
      </c>
      <c r="EV35" s="77">
        <v>778.79712600000005</v>
      </c>
      <c r="EW35" s="77">
        <v>164.41183799999999</v>
      </c>
      <c r="EX35" s="77">
        <v>457.13271500000002</v>
      </c>
      <c r="EY35" s="77">
        <v>278.07945999999998</v>
      </c>
      <c r="EZ35" s="77">
        <v>739.66734399999996</v>
      </c>
      <c r="FA35" s="77">
        <v>1.1135000000000001E-2</v>
      </c>
      <c r="FB35" s="77">
        <v>0.45449899999999999</v>
      </c>
      <c r="FC35" s="77">
        <v>721.82795999999996</v>
      </c>
      <c r="FD35" s="77">
        <v>150.94463999999999</v>
      </c>
      <c r="FE35" s="77">
        <v>418.65364899999997</v>
      </c>
      <c r="FF35" s="77">
        <v>258.65843999999998</v>
      </c>
      <c r="FG35" s="77">
        <v>674.89072299999998</v>
      </c>
      <c r="FH35" s="77">
        <v>1.1534000000000001E-2</v>
      </c>
      <c r="FI35" s="77">
        <v>0.47355399999999997</v>
      </c>
      <c r="FJ35" s="77">
        <v>812.82349899999997</v>
      </c>
      <c r="FK35" s="77">
        <v>171.849009</v>
      </c>
      <c r="FL35" s="77">
        <v>479.12768899999998</v>
      </c>
      <c r="FM35" s="77">
        <v>289.654335</v>
      </c>
      <c r="FN35" s="77">
        <v>771.73316999999997</v>
      </c>
      <c r="FO35" s="77">
        <v>1.0465E-2</v>
      </c>
      <c r="FP35" s="77">
        <v>0.45117600000000002</v>
      </c>
      <c r="FQ35" s="77">
        <v>753.27083000000005</v>
      </c>
      <c r="FR35" s="77">
        <v>155.70122000000001</v>
      </c>
      <c r="FS35" s="77">
        <v>431.520284</v>
      </c>
      <c r="FT35" s="77">
        <v>270.79486000000003</v>
      </c>
      <c r="FU35" s="77">
        <v>687.37206200000003</v>
      </c>
      <c r="FV35" s="77">
        <v>1.3591000000000001E-2</v>
      </c>
      <c r="FW35" s="77">
        <v>0.462727</v>
      </c>
      <c r="FX35" s="77">
        <v>762.51754900000003</v>
      </c>
      <c r="FY35" s="77">
        <v>160.80127100000001</v>
      </c>
      <c r="FZ35" s="77">
        <v>447.58487600000001</v>
      </c>
      <c r="GA35" s="77">
        <v>272.13573300000002</v>
      </c>
      <c r="GB35" s="77">
        <v>722.17874500000005</v>
      </c>
      <c r="GC35" s="77">
        <v>1.1584000000000001E-2</v>
      </c>
      <c r="GD35" s="77">
        <v>0.46095399999999997</v>
      </c>
      <c r="GE35" s="77">
        <v>724.04967599999998</v>
      </c>
      <c r="GF35" s="77">
        <v>150.76709</v>
      </c>
      <c r="GG35" s="77">
        <v>417.46835599999997</v>
      </c>
      <c r="GH35" s="77">
        <v>259.97403800000001</v>
      </c>
      <c r="GI35" s="77">
        <v>672.033366</v>
      </c>
      <c r="GJ35" s="77">
        <v>1.1566E-2</v>
      </c>
      <c r="GK35" s="77">
        <v>0.45617999999999997</v>
      </c>
      <c r="GL35" s="77">
        <v>736.43209200000001</v>
      </c>
      <c r="GM35" s="77">
        <v>153.758377</v>
      </c>
      <c r="GN35" s="77">
        <v>426.58478000000002</v>
      </c>
      <c r="GO35" s="77">
        <v>263.95085399999999</v>
      </c>
      <c r="GP35" s="77">
        <v>685.84988099999998</v>
      </c>
      <c r="GQ35" s="77">
        <v>1.2130999999999999E-2</v>
      </c>
      <c r="GR35" s="77">
        <v>0.48175099999999998</v>
      </c>
      <c r="GS35" s="77">
        <v>816.15730799999994</v>
      </c>
      <c r="GT35" s="77">
        <v>171.70471800000001</v>
      </c>
      <c r="GU35" s="77">
        <v>477.84299700000003</v>
      </c>
      <c r="GV35" s="77">
        <v>291.52043400000002</v>
      </c>
      <c r="GW35" s="77">
        <v>768.33764599999995</v>
      </c>
      <c r="GX35" s="77">
        <v>1.0864E-2</v>
      </c>
      <c r="GY35" s="77">
        <v>0.45405699999999999</v>
      </c>
      <c r="GZ35" s="77">
        <v>699.70266800000002</v>
      </c>
      <c r="HA35" s="77">
        <v>146.098241</v>
      </c>
      <c r="HB35" s="77">
        <v>404.53738199999998</v>
      </c>
      <c r="HC35" s="77">
        <v>251.055125</v>
      </c>
      <c r="HD35" s="77">
        <v>653.62797599999999</v>
      </c>
      <c r="HE35" s="77">
        <v>1.2517E-2</v>
      </c>
      <c r="HF35" s="77">
        <v>0.54056300000000002</v>
      </c>
      <c r="HG35" s="77">
        <v>822.33091200000001</v>
      </c>
      <c r="HH35" s="77">
        <v>172.28232299999999</v>
      </c>
      <c r="HI35" s="77">
        <v>476.05722700000001</v>
      </c>
      <c r="HJ35" s="77">
        <v>295.30953599999998</v>
      </c>
      <c r="HK35" s="77">
        <v>772.44068800000002</v>
      </c>
      <c r="HL35" s="77">
        <v>1.0827E-2</v>
      </c>
      <c r="HM35" s="77">
        <v>0.4642</v>
      </c>
      <c r="HN35" s="77">
        <v>723.18411900000001</v>
      </c>
      <c r="HO35" s="77">
        <v>151.675195</v>
      </c>
      <c r="HP35" s="77">
        <v>420.49144799999999</v>
      </c>
      <c r="HQ35" s="77">
        <v>259.04122599999999</v>
      </c>
      <c r="HR35" s="77">
        <v>680.53518699999995</v>
      </c>
      <c r="HS35" s="77">
        <v>1.1296E-2</v>
      </c>
      <c r="HT35" s="77">
        <v>0.51155600000000001</v>
      </c>
      <c r="HU35" s="77">
        <v>819.13308099999995</v>
      </c>
      <c r="HV35" s="77">
        <v>170.66775200000001</v>
      </c>
      <c r="HW35" s="77">
        <v>472.31687799999997</v>
      </c>
      <c r="HX35" s="77">
        <v>294.25302299999998</v>
      </c>
      <c r="HY35" s="77">
        <v>759.69623200000001</v>
      </c>
      <c r="HZ35" s="77">
        <v>1.3667E-2</v>
      </c>
      <c r="IA35" s="77">
        <v>0.53426399999999996</v>
      </c>
      <c r="IB35" s="77">
        <v>840.82506799999999</v>
      </c>
      <c r="IC35" s="77">
        <v>177.71399500000001</v>
      </c>
      <c r="ID35" s="77">
        <v>490.95440600000001</v>
      </c>
      <c r="IE35" s="77">
        <v>301.399269</v>
      </c>
      <c r="IF35" s="77">
        <v>804.03504599999997</v>
      </c>
      <c r="IG35" s="77">
        <v>1.0293E-2</v>
      </c>
      <c r="IH35" s="77">
        <v>0.53423900000000002</v>
      </c>
      <c r="II35" s="77">
        <v>780.53345100000001</v>
      </c>
      <c r="IJ35" s="77">
        <v>165.73197999999999</v>
      </c>
      <c r="IK35" s="77">
        <v>458.70129700000001</v>
      </c>
      <c r="IL35" s="77">
        <v>279.12265600000001</v>
      </c>
      <c r="IM35" s="77">
        <v>753.19217000000003</v>
      </c>
      <c r="IN35" s="77">
        <v>1.1299999999999999E-2</v>
      </c>
      <c r="IO35" s="77">
        <v>0.55971199999999999</v>
      </c>
      <c r="IP35" s="77">
        <v>770.49883999999997</v>
      </c>
      <c r="IQ35" s="77">
        <v>161.88584499999999</v>
      </c>
      <c r="IR35" s="77">
        <v>447.08858500000002</v>
      </c>
      <c r="IS35" s="77">
        <v>276.567744</v>
      </c>
      <c r="IT35" s="77">
        <v>729.29965600000003</v>
      </c>
      <c r="IU35" s="77">
        <v>1.0473E-2</v>
      </c>
      <c r="IV35" s="77">
        <v>0.52166800000000002</v>
      </c>
      <c r="IW35" s="77">
        <v>790.72909300000003</v>
      </c>
      <c r="IX35" s="77">
        <v>164.43937099999999</v>
      </c>
      <c r="IY35" s="77">
        <v>453.587289</v>
      </c>
      <c r="IZ35" s="77">
        <v>284.71834000000001</v>
      </c>
      <c r="JA35" s="77">
        <v>733.20967399999995</v>
      </c>
      <c r="JB35" s="77">
        <v>1.3854999999999999E-2</v>
      </c>
      <c r="JC35" s="77">
        <v>0.583596</v>
      </c>
      <c r="JD35" s="77">
        <v>835.50114699999995</v>
      </c>
      <c r="JE35" s="77">
        <v>176.963438</v>
      </c>
      <c r="JF35" s="77">
        <v>488.47872599999999</v>
      </c>
      <c r="JG35" s="77">
        <v>299.49367599999999</v>
      </c>
      <c r="JH35" s="77">
        <v>803.09543099999996</v>
      </c>
      <c r="JI35" s="77">
        <v>1.0522999999999999E-2</v>
      </c>
      <c r="JJ35" s="77">
        <v>0.46461200000000002</v>
      </c>
      <c r="JK35" s="77">
        <v>711.12650799999994</v>
      </c>
      <c r="JL35" s="77">
        <v>149.265671</v>
      </c>
      <c r="JM35" s="77">
        <v>413.55454600000002</v>
      </c>
      <c r="JN35" s="77">
        <v>254.76287600000001</v>
      </c>
      <c r="JO35" s="77">
        <v>670.91379600000005</v>
      </c>
      <c r="JP35" s="77">
        <v>1.0925000000000001E-2</v>
      </c>
      <c r="JQ35" s="77">
        <v>0.43632300000000002</v>
      </c>
      <c r="JR35" s="77">
        <v>701.31254000000001</v>
      </c>
      <c r="JS35" s="77">
        <v>146.48490799999999</v>
      </c>
      <c r="JT35" s="77">
        <v>406.61335600000001</v>
      </c>
      <c r="JU35" s="77">
        <v>251.23141100000001</v>
      </c>
      <c r="JV35" s="77">
        <v>654.07061299999998</v>
      </c>
      <c r="JW35" s="77">
        <v>1.157672</v>
      </c>
      <c r="JX35" s="77">
        <v>2.1495199999999999</v>
      </c>
      <c r="JY35" s="77">
        <v>1285.8721929999999</v>
      </c>
      <c r="JZ35" s="77">
        <v>307.40385199999997</v>
      </c>
      <c r="KA35" s="77">
        <v>747.78633100000002</v>
      </c>
      <c r="KB35" s="77">
        <v>1.3059719999999999</v>
      </c>
      <c r="KC35" s="77">
        <v>1.4034549999999999</v>
      </c>
      <c r="KD35" s="77">
        <v>309.81448999999998</v>
      </c>
      <c r="KE35" s="77">
        <v>309.81441999999998</v>
      </c>
      <c r="KF35" s="77">
        <v>339.05250000000001</v>
      </c>
      <c r="KG35" s="77">
        <v>357.85345599999999</v>
      </c>
      <c r="KH35" s="77">
        <v>339.70612799999998</v>
      </c>
      <c r="KI35" s="77">
        <v>342.37020699999999</v>
      </c>
      <c r="KJ35" s="77">
        <v>342.04127399999999</v>
      </c>
      <c r="KK35" s="77">
        <v>342.70387899999997</v>
      </c>
      <c r="KL35" s="77">
        <v>342.70380799999998</v>
      </c>
      <c r="KM35" s="77">
        <v>332.381259</v>
      </c>
      <c r="KN35" s="77">
        <v>350.97835900000001</v>
      </c>
      <c r="KO35" s="77">
        <v>332.803089</v>
      </c>
      <c r="KP35" s="77">
        <v>335.56805800000001</v>
      </c>
      <c r="KQ35" s="77">
        <v>335.62862200000001</v>
      </c>
      <c r="KR35" s="77">
        <v>314.24035600000002</v>
      </c>
      <c r="KS35" s="77">
        <v>314.24028600000003</v>
      </c>
      <c r="KT35" s="77">
        <v>344.83035799999999</v>
      </c>
      <c r="KU35" s="77">
        <v>364.32154500000001</v>
      </c>
      <c r="KV35" s="77">
        <v>345.55130500000001</v>
      </c>
      <c r="KW35" s="77">
        <v>348.28818100000001</v>
      </c>
      <c r="KX35" s="77">
        <v>347.87283200000002</v>
      </c>
      <c r="KY35" s="77">
        <v>328.382654</v>
      </c>
      <c r="KZ35" s="77">
        <v>328.38258100000002</v>
      </c>
      <c r="LA35" s="77">
        <v>318.57539800000001</v>
      </c>
      <c r="LB35" s="77">
        <v>337.34519699999998</v>
      </c>
      <c r="LC35" s="77">
        <v>318.89899500000001</v>
      </c>
      <c r="LD35" s="77">
        <v>321.74861700000002</v>
      </c>
      <c r="LE35" s="77">
        <v>321.98516799999999</v>
      </c>
      <c r="LF35" s="77">
        <v>305.70880099999999</v>
      </c>
      <c r="LG35" s="77">
        <v>305.70872800000001</v>
      </c>
      <c r="LH35" s="77">
        <v>315.25009899999998</v>
      </c>
      <c r="LI35" s="77">
        <v>333.526614</v>
      </c>
      <c r="LJ35" s="77">
        <v>315.45681999999999</v>
      </c>
      <c r="LK35" s="77">
        <v>318.29413399999999</v>
      </c>
      <c r="LL35" s="77">
        <v>318.71060899999998</v>
      </c>
      <c r="LM35" s="77">
        <v>318.36961600000001</v>
      </c>
      <c r="LN35" s="77">
        <v>318.36954500000002</v>
      </c>
      <c r="LO35" s="77">
        <v>348.08464600000002</v>
      </c>
      <c r="LP35" s="77">
        <v>367.22881899999999</v>
      </c>
      <c r="LQ35" s="77">
        <v>348.90300999999999</v>
      </c>
      <c r="LR35" s="77">
        <v>351.52748000000003</v>
      </c>
      <c r="LS35" s="77">
        <v>350.93013200000001</v>
      </c>
      <c r="LT35" s="77">
        <v>330.49018599999999</v>
      </c>
      <c r="LU35" s="77">
        <v>330.49010900000002</v>
      </c>
      <c r="LV35" s="77">
        <v>321.85236500000002</v>
      </c>
      <c r="LW35" s="77">
        <v>340.13991199999998</v>
      </c>
      <c r="LX35" s="77">
        <v>322.24063699999999</v>
      </c>
      <c r="LY35" s="77">
        <v>324.97490399999998</v>
      </c>
      <c r="LZ35" s="77">
        <v>325.08007199999997</v>
      </c>
      <c r="MA35" s="77">
        <v>314.06991900000003</v>
      </c>
      <c r="MB35" s="77">
        <v>314.06984699999998</v>
      </c>
      <c r="MC35" s="77">
        <v>323.98440399999998</v>
      </c>
      <c r="MD35" s="77">
        <v>341.86078199999997</v>
      </c>
      <c r="ME35" s="77">
        <v>324.585194</v>
      </c>
      <c r="MF35" s="77">
        <v>327.13019000000003</v>
      </c>
      <c r="MG35" s="77">
        <v>326.85299900000001</v>
      </c>
      <c r="MH35" s="77">
        <v>292.17829499999999</v>
      </c>
      <c r="MI35" s="77">
        <v>292.17822899999999</v>
      </c>
      <c r="MJ35" s="77">
        <v>322.12024700000001</v>
      </c>
      <c r="MK35" s="77">
        <v>340.49848800000001</v>
      </c>
      <c r="ML35" s="77">
        <v>322.75804900000003</v>
      </c>
      <c r="MM35" s="77">
        <v>325.36286899999999</v>
      </c>
      <c r="MN35" s="77">
        <v>325.04331200000001</v>
      </c>
      <c r="MO35" s="77">
        <v>346.32769300000001</v>
      </c>
      <c r="MP35" s="77">
        <v>346.32761900000003</v>
      </c>
      <c r="MQ35" s="77">
        <v>332.42788300000001</v>
      </c>
      <c r="MR35" s="77">
        <v>351.05439999999999</v>
      </c>
      <c r="MS35" s="77">
        <v>333.13447200000002</v>
      </c>
      <c r="MT35" s="77">
        <v>335.73974500000003</v>
      </c>
      <c r="MU35" s="77">
        <v>335.31250599999998</v>
      </c>
      <c r="MV35" s="77">
        <v>327.08680800000002</v>
      </c>
      <c r="MW35" s="77">
        <v>327.08673499999998</v>
      </c>
      <c r="MX35" s="77">
        <v>337.43908800000003</v>
      </c>
      <c r="MY35" s="77">
        <v>356.621421</v>
      </c>
      <c r="MZ35" s="77">
        <v>337.88756000000001</v>
      </c>
      <c r="NA35" s="77">
        <v>340.73179900000002</v>
      </c>
      <c r="NB35" s="77">
        <v>340.771321</v>
      </c>
      <c r="NC35" s="77">
        <v>326.09668699999997</v>
      </c>
      <c r="ND35" s="77">
        <v>326.09661599999998</v>
      </c>
      <c r="NE35" s="77">
        <v>351.43704600000001</v>
      </c>
      <c r="NF35" s="77">
        <v>370.65757500000001</v>
      </c>
      <c r="NG35" s="77">
        <v>352.32728100000003</v>
      </c>
      <c r="NH35" s="77">
        <v>354.92258800000002</v>
      </c>
      <c r="NI35" s="77">
        <v>354.20502199999999</v>
      </c>
      <c r="NJ35" s="77">
        <v>325.77301899999998</v>
      </c>
      <c r="NK35" s="77">
        <v>325.772963</v>
      </c>
      <c r="NL35" s="77">
        <v>321.94678699999997</v>
      </c>
      <c r="NM35" s="77">
        <v>339.83637800000002</v>
      </c>
      <c r="NN35" s="77">
        <v>322.51079600000003</v>
      </c>
      <c r="NO35" s="77">
        <v>325.07918799999999</v>
      </c>
      <c r="NP35" s="77">
        <v>324.86563999999998</v>
      </c>
      <c r="NQ35" s="77">
        <v>315.44833199999999</v>
      </c>
      <c r="NR35" s="77">
        <v>315.44825500000002</v>
      </c>
      <c r="NS35" s="77">
        <v>325.28058499999997</v>
      </c>
      <c r="NT35" s="77">
        <v>344.02331400000003</v>
      </c>
      <c r="NU35" s="77">
        <v>325.52514600000001</v>
      </c>
      <c r="NV35" s="77">
        <v>328.41601000000003</v>
      </c>
      <c r="NW35" s="77">
        <v>328.78719100000001</v>
      </c>
      <c r="NX35" s="77">
        <v>323.058088</v>
      </c>
      <c r="NY35" s="77">
        <v>323.05802</v>
      </c>
      <c r="NZ35" s="77">
        <v>351.08455500000002</v>
      </c>
      <c r="OA35" s="77">
        <v>369.59869900000001</v>
      </c>
      <c r="OB35" s="77">
        <v>352.05829899999998</v>
      </c>
      <c r="OC35" s="77">
        <v>354.49110899999999</v>
      </c>
      <c r="OD35" s="77">
        <v>353.60028399999999</v>
      </c>
      <c r="OE35" s="77">
        <v>367.43131</v>
      </c>
      <c r="OF35" s="77">
        <v>367.43123400000002</v>
      </c>
      <c r="OG35" s="77">
        <v>358.02594099999999</v>
      </c>
      <c r="OH35" s="77">
        <v>377.33693399999999</v>
      </c>
      <c r="OI35" s="77">
        <v>359.04556100000002</v>
      </c>
      <c r="OJ35" s="77">
        <v>361.58079900000001</v>
      </c>
      <c r="OK35" s="77">
        <v>360.644882</v>
      </c>
      <c r="OL35" s="77">
        <v>318.94048500000002</v>
      </c>
      <c r="OM35" s="77">
        <v>318.94040899999999</v>
      </c>
      <c r="ON35" s="77">
        <v>329.46162399999997</v>
      </c>
      <c r="OO35" s="77">
        <v>348.86664000000002</v>
      </c>
      <c r="OP35" s="77">
        <v>329.94867299999999</v>
      </c>
      <c r="OQ35" s="77">
        <v>332.80667899999997</v>
      </c>
      <c r="OR35" s="77">
        <v>332.78940499999999</v>
      </c>
      <c r="OS35" s="77">
        <v>306.73279400000001</v>
      </c>
      <c r="OT35" s="77">
        <v>306.73271999999997</v>
      </c>
      <c r="OU35" s="77">
        <v>333.71220099999999</v>
      </c>
      <c r="OV35" s="77">
        <v>352.89883400000002</v>
      </c>
      <c r="OW35" s="77">
        <v>334.41227099999998</v>
      </c>
      <c r="OX35" s="77">
        <v>337.11190800000003</v>
      </c>
      <c r="OY35" s="77">
        <v>336.71959399999997</v>
      </c>
      <c r="OZ35" s="77">
        <v>319.81048299999998</v>
      </c>
      <c r="PA35" s="77">
        <v>319.810407</v>
      </c>
      <c r="PB35" s="77">
        <v>313.96547800000002</v>
      </c>
      <c r="PC35" s="77">
        <v>332.61559199999999</v>
      </c>
      <c r="PD35" s="77">
        <v>314.20885399999997</v>
      </c>
      <c r="PE35" s="77">
        <v>317.08546699999999</v>
      </c>
      <c r="PF35" s="77">
        <v>317.45477099999999</v>
      </c>
      <c r="PG35" s="77">
        <v>330.49846700000001</v>
      </c>
      <c r="PH35" s="77">
        <v>330.49839900000001</v>
      </c>
      <c r="PI35" s="77">
        <v>340.37820599999998</v>
      </c>
      <c r="PJ35" s="77">
        <v>358.07408900000001</v>
      </c>
      <c r="PK35" s="77">
        <v>341.017719</v>
      </c>
      <c r="PL35" s="77">
        <v>343.511145</v>
      </c>
      <c r="PM35" s="77">
        <v>343.15986500000002</v>
      </c>
      <c r="PN35" s="77">
        <v>326.58072600000003</v>
      </c>
      <c r="PO35" s="77">
        <v>326.58065199999999</v>
      </c>
      <c r="PP35" s="77">
        <v>358.00708600000002</v>
      </c>
      <c r="PQ35" s="77">
        <v>379.47095999999999</v>
      </c>
      <c r="PR35" s="77">
        <v>358.395015</v>
      </c>
      <c r="PS35" s="77">
        <v>361.64333499999998</v>
      </c>
      <c r="PT35" s="77">
        <v>361.883195</v>
      </c>
      <c r="PU35" s="77">
        <v>349.360364</v>
      </c>
      <c r="PV35" s="77">
        <v>349.36028599999997</v>
      </c>
      <c r="PW35" s="77">
        <v>339.18722700000001</v>
      </c>
      <c r="PX35" s="77">
        <v>358.84343799999999</v>
      </c>
      <c r="PY35" s="77">
        <v>339.34944899999999</v>
      </c>
      <c r="PZ35" s="77">
        <v>342.43563599999999</v>
      </c>
      <c r="QA35" s="77">
        <v>342.98681800000003</v>
      </c>
      <c r="QB35" s="77">
        <v>335.40640400000001</v>
      </c>
      <c r="QC35" s="77">
        <v>335.40632900000003</v>
      </c>
      <c r="QD35" s="77">
        <v>346.257518</v>
      </c>
      <c r="QE35" s="77">
        <v>369.14518299999997</v>
      </c>
      <c r="QF35" s="77">
        <v>345.76489199999997</v>
      </c>
      <c r="QG35" s="77">
        <v>349.752049</v>
      </c>
      <c r="QH35" s="77">
        <v>351.564279</v>
      </c>
      <c r="QI35" s="77">
        <v>339.60107499999998</v>
      </c>
      <c r="QJ35" s="77">
        <v>339.60098099999999</v>
      </c>
      <c r="QK35" s="77">
        <v>351.19720799999999</v>
      </c>
      <c r="QL35" s="77">
        <v>374.400755</v>
      </c>
      <c r="QM35" s="77">
        <v>351.105388</v>
      </c>
      <c r="QN35" s="77">
        <v>354.91218199999997</v>
      </c>
      <c r="QO35" s="77">
        <v>356.04935699999999</v>
      </c>
      <c r="QP35" s="77">
        <v>340.36883799999998</v>
      </c>
      <c r="QQ35" s="77">
        <v>340.36875700000002</v>
      </c>
      <c r="QR35" s="77">
        <v>352.17579899999998</v>
      </c>
      <c r="QS35" s="77">
        <v>375.70611300000002</v>
      </c>
    </row>
    <row r="36" spans="6:461" x14ac:dyDescent="0.25">
      <c r="F36" s="76" t="str">
        <f xml:space="preserve"> _xll.EPMOlapMemberO("[PRDDESCR].[].[WONDER GFREE WHITE 470G]","","WONDER GFREE WHITE 470G","","000")</f>
        <v>WONDER GFREE WHITE 470G</v>
      </c>
      <c r="G36" s="76" t="str">
        <f xml:space="preserve"> _xll.EPMOlapMemberO("[PRDID].[].[179649]","","179649","","000")</f>
        <v>179649</v>
      </c>
      <c r="H36" s="76" t="str">
        <f xml:space="preserve"> _xll.EPMOlapMemberO("[LOCID].[].[6125]","","6125","","000")</f>
        <v>6125</v>
      </c>
      <c r="I36" s="76" t="str">
        <f xml:space="preserve"> _xll.EPMOlapMemberO("[LOCDESCR].[].[QBA -Keilor Park]","","QBA -Keilor Park","","000")</f>
        <v>QBA -Keilor Park</v>
      </c>
      <c r="J36" s="76" t="str">
        <f xml:space="preserve"> _xll.EPMOlapMemberO("[KEY_FIGURES].[].[ZGFAPPROVEDFCSTQTY]","","Approved Forecast","","000")</f>
        <v>Approved Forecast</v>
      </c>
      <c r="K36" s="77">
        <v>0.21853600000000001</v>
      </c>
      <c r="L36" s="77">
        <v>840.89455399999997</v>
      </c>
      <c r="M36" s="77">
        <v>126.654194</v>
      </c>
      <c r="N36" s="77">
        <v>372.35463399999998</v>
      </c>
      <c r="O36" s="77">
        <v>475.28865300000001</v>
      </c>
      <c r="P36" s="77">
        <v>530.69828500000006</v>
      </c>
      <c r="Q36" s="77">
        <v>0</v>
      </c>
      <c r="R36" s="77">
        <v>0.25167299999999998</v>
      </c>
      <c r="S36" s="77">
        <v>767.73904900000002</v>
      </c>
      <c r="T36" s="77">
        <v>115.88196499999999</v>
      </c>
      <c r="U36" s="77">
        <v>344.133534</v>
      </c>
      <c r="V36" s="77">
        <v>435.97537899999998</v>
      </c>
      <c r="W36" s="77">
        <v>481.11053299999998</v>
      </c>
      <c r="X36" s="77">
        <v>4.3388999999999997E-2</v>
      </c>
      <c r="Y36" s="77">
        <v>0.32198500000000002</v>
      </c>
      <c r="Z36" s="77">
        <v>783.13679200000001</v>
      </c>
      <c r="AA36" s="77">
        <v>119.167722</v>
      </c>
      <c r="AB36" s="77">
        <v>350.33917500000001</v>
      </c>
      <c r="AC36" s="77">
        <v>432.32506599999999</v>
      </c>
      <c r="AD36" s="77">
        <v>498.571168</v>
      </c>
      <c r="AE36" s="77"/>
      <c r="AF36" s="77"/>
      <c r="AG36" s="77"/>
      <c r="AH36" s="77"/>
      <c r="AI36" s="77"/>
      <c r="AJ36" s="77"/>
      <c r="AK36" s="77"/>
      <c r="AL36" s="77">
        <v>4.3715999999999998E-2</v>
      </c>
      <c r="AM36" s="77">
        <v>0.32433600000000001</v>
      </c>
      <c r="AN36" s="77">
        <v>735.00778500000001</v>
      </c>
      <c r="AO36" s="77">
        <v>113.09573899999999</v>
      </c>
      <c r="AP36" s="77">
        <v>328.94665700000002</v>
      </c>
      <c r="AQ36" s="77">
        <v>401.38481400000001</v>
      </c>
      <c r="AR36" s="77">
        <v>462.17572699999999</v>
      </c>
      <c r="AS36" s="77">
        <v>4.2402000000000002E-2</v>
      </c>
      <c r="AT36" s="77">
        <v>0.31252600000000003</v>
      </c>
      <c r="AU36" s="77">
        <v>763.13902099999996</v>
      </c>
      <c r="AV36" s="77">
        <v>116.112464</v>
      </c>
      <c r="AW36" s="77">
        <v>341.535099</v>
      </c>
      <c r="AX36" s="77">
        <v>421.81042600000001</v>
      </c>
      <c r="AY36" s="77">
        <v>486.314573</v>
      </c>
      <c r="AZ36" s="77">
        <v>4.4859999999999997E-2</v>
      </c>
      <c r="BA36" s="77">
        <v>0.30764799999999998</v>
      </c>
      <c r="BB36" s="77">
        <v>853.12937499999998</v>
      </c>
      <c r="BC36" s="77">
        <v>128.797259</v>
      </c>
      <c r="BD36" s="77">
        <v>380.06435599999998</v>
      </c>
      <c r="BE36" s="77">
        <v>486.17003099999999</v>
      </c>
      <c r="BF36" s="77">
        <v>559.82990900000004</v>
      </c>
      <c r="BG36" s="77">
        <v>4.3728000000000003E-2</v>
      </c>
      <c r="BH36" s="77">
        <v>0.30450700000000003</v>
      </c>
      <c r="BI36" s="77">
        <v>766.73853399999996</v>
      </c>
      <c r="BJ36" s="77">
        <v>114.91720100000001</v>
      </c>
      <c r="BK36" s="77">
        <v>344.31854299999998</v>
      </c>
      <c r="BL36" s="77">
        <v>422.32372600000002</v>
      </c>
      <c r="BM36" s="77">
        <v>488.665187</v>
      </c>
      <c r="BN36" s="77">
        <v>3.9627000000000002E-2</v>
      </c>
      <c r="BO36" s="77">
        <v>0.29595700000000003</v>
      </c>
      <c r="BP36" s="77">
        <v>773.22266000000002</v>
      </c>
      <c r="BQ36" s="77">
        <v>114.53332</v>
      </c>
      <c r="BR36" s="77">
        <v>348.18128999999999</v>
      </c>
      <c r="BS36" s="77">
        <v>424.01858600000003</v>
      </c>
      <c r="BT36" s="77">
        <v>492.11136399999998</v>
      </c>
      <c r="BU36" s="77">
        <v>4.5571E-2</v>
      </c>
      <c r="BV36" s="77">
        <v>0.332343</v>
      </c>
      <c r="BW36" s="77">
        <v>852.48667899999998</v>
      </c>
      <c r="BX36" s="77">
        <v>129.577449</v>
      </c>
      <c r="BY36" s="77">
        <v>380.058492</v>
      </c>
      <c r="BZ36" s="77">
        <v>477.87497100000002</v>
      </c>
      <c r="CA36" s="77">
        <v>550.52420199999995</v>
      </c>
      <c r="CB36" s="77">
        <v>4.8658E-2</v>
      </c>
      <c r="CC36" s="77">
        <v>0.373726</v>
      </c>
      <c r="CD36" s="77">
        <v>851.16705899999999</v>
      </c>
      <c r="CE36" s="77">
        <v>130.19475199999999</v>
      </c>
      <c r="CF36" s="77">
        <v>380.49700100000001</v>
      </c>
      <c r="CG36" s="77">
        <v>462.28345400000001</v>
      </c>
      <c r="CH36" s="77">
        <v>533.765401</v>
      </c>
      <c r="CI36" s="77">
        <v>3.8289999999999998E-2</v>
      </c>
      <c r="CJ36" s="77">
        <v>0.281331</v>
      </c>
      <c r="CK36" s="77">
        <v>736.21172100000001</v>
      </c>
      <c r="CL36" s="77">
        <v>109.33030100000001</v>
      </c>
      <c r="CM36" s="77">
        <v>331.55721</v>
      </c>
      <c r="CN36" s="77">
        <v>405.10944799999999</v>
      </c>
      <c r="CO36" s="77">
        <v>469.58832200000001</v>
      </c>
      <c r="CP36" s="77">
        <v>4.7294000000000003E-2</v>
      </c>
      <c r="CQ36" s="77">
        <v>0.35621999999999998</v>
      </c>
      <c r="CR36" s="77">
        <v>871.35598100000004</v>
      </c>
      <c r="CS36" s="77">
        <v>132.00783699999999</v>
      </c>
      <c r="CT36" s="77">
        <v>389.47229099999998</v>
      </c>
      <c r="CU36" s="77">
        <v>479.61979200000002</v>
      </c>
      <c r="CV36" s="77">
        <v>554.13804800000003</v>
      </c>
      <c r="CW36" s="77">
        <v>4.5605E-2</v>
      </c>
      <c r="CX36" s="77">
        <v>0.33796900000000002</v>
      </c>
      <c r="CY36" s="77">
        <v>821.55329300000005</v>
      </c>
      <c r="CZ36" s="77">
        <v>125.144837</v>
      </c>
      <c r="DA36" s="77">
        <v>367.02894900000001</v>
      </c>
      <c r="DB36" s="77">
        <v>454.07335</v>
      </c>
      <c r="DC36" s="77">
        <v>523.60340299999996</v>
      </c>
      <c r="DD36" s="77">
        <v>4.0655999999999998E-2</v>
      </c>
      <c r="DE36" s="77">
        <v>0.31496600000000002</v>
      </c>
      <c r="DF36" s="77">
        <v>750.83212900000001</v>
      </c>
      <c r="DG36" s="77">
        <v>113.87493000000001</v>
      </c>
      <c r="DH36" s="77">
        <v>336.90704299999999</v>
      </c>
      <c r="DI36" s="77">
        <v>409.70352700000001</v>
      </c>
      <c r="DJ36" s="77">
        <v>473.331547</v>
      </c>
      <c r="DK36" s="77">
        <v>4.3527999999999997E-2</v>
      </c>
      <c r="DL36" s="77">
        <v>0.317907</v>
      </c>
      <c r="DM36" s="77">
        <v>835.61154899999997</v>
      </c>
      <c r="DN36" s="77">
        <v>125.863805</v>
      </c>
      <c r="DO36" s="77">
        <v>373.49485900000002</v>
      </c>
      <c r="DP36" s="77">
        <v>467.26291400000002</v>
      </c>
      <c r="DQ36" s="77">
        <v>539.41533600000002</v>
      </c>
      <c r="DR36" s="77">
        <v>4.4361999999999999E-2</v>
      </c>
      <c r="DS36" s="77">
        <v>0.31444800000000001</v>
      </c>
      <c r="DT36" s="77">
        <v>809.96651899999995</v>
      </c>
      <c r="DU36" s="77">
        <v>125.619871</v>
      </c>
      <c r="DV36" s="77">
        <v>361.299644</v>
      </c>
      <c r="DW36" s="77">
        <v>440.77624800000001</v>
      </c>
      <c r="DX36" s="77">
        <v>507.14180800000003</v>
      </c>
      <c r="DY36" s="77">
        <v>4.6260999999999997E-2</v>
      </c>
      <c r="DZ36" s="77">
        <v>0.376137</v>
      </c>
      <c r="EA36" s="77">
        <v>778.30142699999999</v>
      </c>
      <c r="EB36" s="77">
        <v>117.876322</v>
      </c>
      <c r="EC36" s="77">
        <v>348.80096800000001</v>
      </c>
      <c r="ED36" s="77">
        <v>427.27159</v>
      </c>
      <c r="EE36" s="77">
        <v>493.53411499999999</v>
      </c>
      <c r="EF36" s="77">
        <v>4.2548999999999997E-2</v>
      </c>
      <c r="EG36" s="77">
        <v>0.30580600000000002</v>
      </c>
      <c r="EH36" s="77">
        <v>794.13897099999997</v>
      </c>
      <c r="EI36" s="77">
        <v>118.959356</v>
      </c>
      <c r="EJ36" s="77">
        <v>356.094719</v>
      </c>
      <c r="EK36" s="77">
        <v>440.40844099999998</v>
      </c>
      <c r="EL36" s="77">
        <v>509.34479700000003</v>
      </c>
      <c r="EM36" s="77">
        <v>4.2167999999999997E-2</v>
      </c>
      <c r="EN36" s="77">
        <v>0.31352600000000003</v>
      </c>
      <c r="EO36" s="77">
        <v>771.81164699999999</v>
      </c>
      <c r="EP36" s="77">
        <v>116.864288</v>
      </c>
      <c r="EQ36" s="77">
        <v>345.79997300000002</v>
      </c>
      <c r="ER36" s="77">
        <v>425.39742000000001</v>
      </c>
      <c r="ES36" s="77">
        <v>491.14617800000002</v>
      </c>
      <c r="ET36" s="77">
        <v>4.0495000000000003E-2</v>
      </c>
      <c r="EU36" s="77">
        <v>0.30208800000000002</v>
      </c>
      <c r="EV36" s="77">
        <v>804.45996200000002</v>
      </c>
      <c r="EW36" s="77">
        <v>120.763458</v>
      </c>
      <c r="EX36" s="77">
        <v>360.13316099999997</v>
      </c>
      <c r="EY36" s="77">
        <v>449.44658500000003</v>
      </c>
      <c r="EZ36" s="77">
        <v>519.15797999999995</v>
      </c>
      <c r="FA36" s="77">
        <v>4.8384999999999997E-2</v>
      </c>
      <c r="FB36" s="77">
        <v>0.32783299999999999</v>
      </c>
      <c r="FC36" s="77">
        <v>809.55927899999995</v>
      </c>
      <c r="FD36" s="77">
        <v>122.69631800000001</v>
      </c>
      <c r="FE36" s="77">
        <v>361.98440900000003</v>
      </c>
      <c r="FF36" s="77">
        <v>449.12048600000003</v>
      </c>
      <c r="FG36" s="77">
        <v>518.18368099999998</v>
      </c>
      <c r="FH36" s="77">
        <v>4.2944000000000003E-2</v>
      </c>
      <c r="FI36" s="77">
        <v>0.34295999999999999</v>
      </c>
      <c r="FJ36" s="77">
        <v>859.41238699999997</v>
      </c>
      <c r="FK36" s="77">
        <v>130.49631199999999</v>
      </c>
      <c r="FL36" s="77">
        <v>383.72700400000002</v>
      </c>
      <c r="FM36" s="77">
        <v>476.25981999999999</v>
      </c>
      <c r="FN36" s="77">
        <v>549.52220799999998</v>
      </c>
      <c r="FO36" s="77">
        <v>4.5624999999999999E-2</v>
      </c>
      <c r="FP36" s="77">
        <v>0.31686799999999998</v>
      </c>
      <c r="FQ36" s="77">
        <v>833.30111099999999</v>
      </c>
      <c r="FR36" s="77">
        <v>128.57387700000001</v>
      </c>
      <c r="FS36" s="77">
        <v>372.395287</v>
      </c>
      <c r="FT36" s="77">
        <v>448.60391199999998</v>
      </c>
      <c r="FU36" s="77">
        <v>517.44958299999996</v>
      </c>
      <c r="FV36" s="77">
        <v>4.4683E-2</v>
      </c>
      <c r="FW36" s="77">
        <v>0.37284699999999998</v>
      </c>
      <c r="FX36" s="77">
        <v>790.96658000000002</v>
      </c>
      <c r="FY36" s="77">
        <v>119.016493</v>
      </c>
      <c r="FZ36" s="77">
        <v>354.32280700000001</v>
      </c>
      <c r="GA36" s="77">
        <v>439.199026</v>
      </c>
      <c r="GB36" s="77">
        <v>507.38657499999999</v>
      </c>
      <c r="GC36" s="77">
        <v>4.7883000000000002E-2</v>
      </c>
      <c r="GD36" s="77">
        <v>0.32114799999999999</v>
      </c>
      <c r="GE36" s="77">
        <v>793.49034900000004</v>
      </c>
      <c r="GF36" s="77">
        <v>120.54557200000001</v>
      </c>
      <c r="GG36" s="77">
        <v>354.64130699999998</v>
      </c>
      <c r="GH36" s="77">
        <v>441.49833799999999</v>
      </c>
      <c r="GI36" s="77">
        <v>508.90862800000002</v>
      </c>
      <c r="GJ36" s="77">
        <v>4.1216999999999997E-2</v>
      </c>
      <c r="GK36" s="77">
        <v>0.32384400000000002</v>
      </c>
      <c r="GL36" s="77">
        <v>770.20958700000006</v>
      </c>
      <c r="GM36" s="77">
        <v>116.563489</v>
      </c>
      <c r="GN36" s="77">
        <v>345.70931100000001</v>
      </c>
      <c r="GO36" s="77">
        <v>418.84794399999998</v>
      </c>
      <c r="GP36" s="77">
        <v>484.383197</v>
      </c>
      <c r="GQ36" s="77">
        <v>4.0425999999999997E-2</v>
      </c>
      <c r="GR36" s="77">
        <v>0.33339299999999999</v>
      </c>
      <c r="GS36" s="77">
        <v>812.48062500000003</v>
      </c>
      <c r="GT36" s="77">
        <v>124.343907</v>
      </c>
      <c r="GU36" s="77">
        <v>362.67041</v>
      </c>
      <c r="GV36" s="77">
        <v>449.39611000000002</v>
      </c>
      <c r="GW36" s="77">
        <v>517.61683700000003</v>
      </c>
      <c r="GX36" s="77">
        <v>4.5274000000000002E-2</v>
      </c>
      <c r="GY36" s="77">
        <v>0.32470199999999999</v>
      </c>
      <c r="GZ36" s="77">
        <v>755.61243300000001</v>
      </c>
      <c r="HA36" s="77">
        <v>114.030911</v>
      </c>
      <c r="HB36" s="77">
        <v>339.71887199999998</v>
      </c>
      <c r="HC36" s="77">
        <v>408.69155999999998</v>
      </c>
      <c r="HD36" s="77">
        <v>473.17074200000002</v>
      </c>
      <c r="HE36" s="77">
        <v>4.2997E-2</v>
      </c>
      <c r="HF36" s="77">
        <v>0.34241500000000002</v>
      </c>
      <c r="HG36" s="77">
        <v>851.76349700000003</v>
      </c>
      <c r="HH36" s="77">
        <v>128.42601300000001</v>
      </c>
      <c r="HI36" s="77">
        <v>381.36594300000002</v>
      </c>
      <c r="HJ36" s="77">
        <v>467.72158100000001</v>
      </c>
      <c r="HK36" s="77">
        <v>541.02240600000005</v>
      </c>
      <c r="HL36" s="77">
        <v>4.3138000000000003E-2</v>
      </c>
      <c r="HM36" s="77">
        <v>0.31888</v>
      </c>
      <c r="HN36" s="77">
        <v>758.82304099999999</v>
      </c>
      <c r="HO36" s="77">
        <v>114.719275</v>
      </c>
      <c r="HP36" s="77">
        <v>340.70207599999998</v>
      </c>
      <c r="HQ36" s="77">
        <v>413.42749199999997</v>
      </c>
      <c r="HR36" s="77">
        <v>478.07626299999998</v>
      </c>
      <c r="HS36" s="77">
        <v>4.0889000000000002E-2</v>
      </c>
      <c r="HT36" s="77">
        <v>0.31882500000000003</v>
      </c>
      <c r="HU36" s="77">
        <v>835.14441799999997</v>
      </c>
      <c r="HV36" s="77">
        <v>128.69305399999999</v>
      </c>
      <c r="HW36" s="77">
        <v>372.80378400000001</v>
      </c>
      <c r="HX36" s="77">
        <v>454.500407</v>
      </c>
      <c r="HY36" s="77">
        <v>523.758151</v>
      </c>
      <c r="HZ36" s="77">
        <v>4.8286000000000003E-2</v>
      </c>
      <c r="IA36" s="77">
        <v>0.38342599999999999</v>
      </c>
      <c r="IB36" s="77">
        <v>807.51070800000002</v>
      </c>
      <c r="IC36" s="77">
        <v>121.234847</v>
      </c>
      <c r="ID36" s="77">
        <v>362.607642</v>
      </c>
      <c r="IE36" s="77">
        <v>439.90237999999999</v>
      </c>
      <c r="IF36" s="77">
        <v>509.63291299999997</v>
      </c>
      <c r="IG36" s="77">
        <v>3.9767999999999998E-2</v>
      </c>
      <c r="IH36" s="77">
        <v>0.29524899999999998</v>
      </c>
      <c r="II36" s="77">
        <v>779.74037799999996</v>
      </c>
      <c r="IJ36" s="77">
        <v>115.235176</v>
      </c>
      <c r="IK36" s="77">
        <v>351.16916700000002</v>
      </c>
      <c r="IL36" s="77">
        <v>428.03273200000001</v>
      </c>
      <c r="IM36" s="77">
        <v>496.96761800000002</v>
      </c>
      <c r="IN36" s="77">
        <v>4.3567000000000002E-2</v>
      </c>
      <c r="IO36" s="77">
        <v>0.32362600000000002</v>
      </c>
      <c r="IP36" s="77">
        <v>827.62496099999998</v>
      </c>
      <c r="IQ36" s="77">
        <v>123.75255799999999</v>
      </c>
      <c r="IR36" s="77">
        <v>371.27555899999999</v>
      </c>
      <c r="IS36" s="77">
        <v>455.629884</v>
      </c>
      <c r="IT36" s="77">
        <v>527.71858899999995</v>
      </c>
      <c r="IU36" s="77">
        <v>3.9453000000000002E-2</v>
      </c>
      <c r="IV36" s="77">
        <v>0.30061300000000002</v>
      </c>
      <c r="IW36" s="77">
        <v>831.21544500000005</v>
      </c>
      <c r="IX36" s="77">
        <v>127.585714</v>
      </c>
      <c r="IY36" s="77">
        <v>371.40853199999998</v>
      </c>
      <c r="IZ36" s="77">
        <v>452.17046499999998</v>
      </c>
      <c r="JA36" s="77">
        <v>521.53176299999996</v>
      </c>
      <c r="JB36" s="77">
        <v>5.0201000000000003E-2</v>
      </c>
      <c r="JC36" s="77">
        <v>0.39483600000000002</v>
      </c>
      <c r="JD36" s="77">
        <v>812.46710499999995</v>
      </c>
      <c r="JE36" s="77">
        <v>122.03822599999999</v>
      </c>
      <c r="JF36" s="77">
        <v>364.40039000000002</v>
      </c>
      <c r="JG36" s="77">
        <v>446.057635</v>
      </c>
      <c r="JH36" s="77">
        <v>516.25583400000005</v>
      </c>
      <c r="JI36" s="77">
        <v>3.8432000000000001E-2</v>
      </c>
      <c r="JJ36" s="77">
        <v>0.29508400000000001</v>
      </c>
      <c r="JK36" s="77">
        <v>723.410259</v>
      </c>
      <c r="JL36" s="77">
        <v>108.797258</v>
      </c>
      <c r="JM36" s="77">
        <v>325.42082399999998</v>
      </c>
      <c r="JN36" s="77">
        <v>394.81832800000001</v>
      </c>
      <c r="JO36" s="77">
        <v>456.83830899999998</v>
      </c>
      <c r="JP36" s="77">
        <v>4.1096000000000001E-2</v>
      </c>
      <c r="JQ36" s="77">
        <v>0.33070100000000002</v>
      </c>
      <c r="JR36" s="77">
        <v>761.15842699999996</v>
      </c>
      <c r="JS36" s="77">
        <v>115.90900499999999</v>
      </c>
      <c r="JT36" s="77">
        <v>341.51828399999999</v>
      </c>
      <c r="JU36" s="77">
        <v>411.77430800000002</v>
      </c>
      <c r="JV36" s="77">
        <v>475.82238100000001</v>
      </c>
      <c r="JW36" s="77">
        <v>2.095831</v>
      </c>
      <c r="JX36" s="77">
        <v>2.392163</v>
      </c>
      <c r="JY36" s="77">
        <v>1353.992127</v>
      </c>
      <c r="JZ36" s="77">
        <v>218.93697499999999</v>
      </c>
      <c r="KA36" s="77">
        <v>559.25468699999999</v>
      </c>
      <c r="KB36" s="77">
        <v>2.3091710000000001</v>
      </c>
      <c r="KC36" s="77">
        <v>2.2179760000000002</v>
      </c>
      <c r="KD36" s="77">
        <v>277.39590900000002</v>
      </c>
      <c r="KE36" s="77">
        <v>277.39585</v>
      </c>
      <c r="KF36" s="77">
        <v>312.70423699999998</v>
      </c>
      <c r="KG36" s="77">
        <v>403.22013500000003</v>
      </c>
      <c r="KH36" s="77">
        <v>335.33479</v>
      </c>
      <c r="KI36" s="77">
        <v>320.87131099999999</v>
      </c>
      <c r="KJ36" s="77">
        <v>310.78590600000001</v>
      </c>
      <c r="KK36" s="77">
        <v>298.29807</v>
      </c>
      <c r="KL36" s="77">
        <v>298.29800799999998</v>
      </c>
      <c r="KM36" s="77">
        <v>294.45273300000002</v>
      </c>
      <c r="KN36" s="77">
        <v>378.87979799999999</v>
      </c>
      <c r="KO36" s="77">
        <v>315.25148100000001</v>
      </c>
      <c r="KP36" s="77">
        <v>302.47237799999999</v>
      </c>
      <c r="KQ36" s="77">
        <v>292.62151999999998</v>
      </c>
      <c r="KR36" s="77">
        <v>289.71197899999999</v>
      </c>
      <c r="KS36" s="77">
        <v>289.71191800000003</v>
      </c>
      <c r="KT36" s="77">
        <v>328.50868000000003</v>
      </c>
      <c r="KU36" s="77">
        <v>424.479085</v>
      </c>
      <c r="KV36" s="77">
        <v>353.13743199999999</v>
      </c>
      <c r="KW36" s="77">
        <v>336.60561300000001</v>
      </c>
      <c r="KX36" s="77">
        <v>326.47415000000001</v>
      </c>
      <c r="KY36" s="77">
        <v>312.18031000000002</v>
      </c>
      <c r="KZ36" s="77">
        <v>312.18024800000001</v>
      </c>
      <c r="LA36" s="77">
        <v>307.37778100000003</v>
      </c>
      <c r="LB36" s="77">
        <v>395.60676999999998</v>
      </c>
      <c r="LC36" s="77">
        <v>329.30753800000002</v>
      </c>
      <c r="LD36" s="77">
        <v>315.66490199999998</v>
      </c>
      <c r="LE36" s="77">
        <v>305.43795599999999</v>
      </c>
      <c r="LF36" s="77">
        <v>276.23092600000001</v>
      </c>
      <c r="LG36" s="77">
        <v>276.23086699999999</v>
      </c>
      <c r="LH36" s="77">
        <v>292.16367100000002</v>
      </c>
      <c r="LI36" s="77">
        <v>375.25308999999999</v>
      </c>
      <c r="LJ36" s="77">
        <v>312.48881</v>
      </c>
      <c r="LK36" s="77">
        <v>300.37089099999997</v>
      </c>
      <c r="LL36" s="77">
        <v>290.29986100000002</v>
      </c>
      <c r="LM36" s="77">
        <v>294.20854500000002</v>
      </c>
      <c r="LN36" s="77">
        <v>294.208485</v>
      </c>
      <c r="LO36" s="77">
        <v>332.88070499999998</v>
      </c>
      <c r="LP36" s="77">
        <v>430.84511300000003</v>
      </c>
      <c r="LQ36" s="77">
        <v>358.318715</v>
      </c>
      <c r="LR36" s="77">
        <v>340.76422700000001</v>
      </c>
      <c r="LS36" s="77">
        <v>330.84267499999999</v>
      </c>
      <c r="LT36" s="77">
        <v>299.886776</v>
      </c>
      <c r="LU36" s="77">
        <v>299.88671599999998</v>
      </c>
      <c r="LV36" s="77">
        <v>296.769566</v>
      </c>
      <c r="LW36" s="77">
        <v>382.54236200000003</v>
      </c>
      <c r="LX36" s="77">
        <v>318.05103200000002</v>
      </c>
      <c r="LY36" s="77">
        <v>304.59962200000001</v>
      </c>
      <c r="LZ36" s="77">
        <v>294.96961900000002</v>
      </c>
      <c r="MA36" s="77">
        <v>265.94391400000001</v>
      </c>
      <c r="MB36" s="77">
        <v>265.94386100000003</v>
      </c>
      <c r="MC36" s="77">
        <v>280.86013100000002</v>
      </c>
      <c r="MD36" s="77">
        <v>361.99313599999999</v>
      </c>
      <c r="ME36" s="77">
        <v>300.92001599999998</v>
      </c>
      <c r="MF36" s="77">
        <v>288.28586000000001</v>
      </c>
      <c r="MG36" s="77">
        <v>279.17186500000003</v>
      </c>
      <c r="MH36" s="77">
        <v>278.29569800000002</v>
      </c>
      <c r="MI36" s="77">
        <v>278.29563899999999</v>
      </c>
      <c r="MJ36" s="77">
        <v>316.98920900000002</v>
      </c>
      <c r="MK36" s="77">
        <v>409.33959700000003</v>
      </c>
      <c r="ML36" s="77">
        <v>340.56801999999999</v>
      </c>
      <c r="MM36" s="77">
        <v>324.90857199999999</v>
      </c>
      <c r="MN36" s="77">
        <v>315.02473800000001</v>
      </c>
      <c r="MO36" s="77">
        <v>322.55453899999998</v>
      </c>
      <c r="MP36" s="77">
        <v>322.55447900000001</v>
      </c>
      <c r="MQ36" s="77">
        <v>312.70845300000002</v>
      </c>
      <c r="MR36" s="77">
        <v>404.04035900000002</v>
      </c>
      <c r="MS36" s="77">
        <v>336.05372299999999</v>
      </c>
      <c r="MT36" s="77">
        <v>320.43745200000001</v>
      </c>
      <c r="MU36" s="77">
        <v>310.79185699999999</v>
      </c>
      <c r="MV36" s="77">
        <v>289.50689199999999</v>
      </c>
      <c r="MW36" s="77">
        <v>289.50683299999997</v>
      </c>
      <c r="MX36" s="77">
        <v>305.57936100000001</v>
      </c>
      <c r="MY36" s="77">
        <v>394.31287700000001</v>
      </c>
      <c r="MZ36" s="77">
        <v>328.03884399999998</v>
      </c>
      <c r="NA36" s="77">
        <v>313.36019900000002</v>
      </c>
      <c r="NB36" s="77">
        <v>303.692633</v>
      </c>
      <c r="NC36" s="77">
        <v>306.92759699999999</v>
      </c>
      <c r="ND36" s="77">
        <v>306.92754000000002</v>
      </c>
      <c r="NE36" s="77">
        <v>340.95844299999999</v>
      </c>
      <c r="NF36" s="77">
        <v>440.88785899999999</v>
      </c>
      <c r="NG36" s="77">
        <v>366.87265300000001</v>
      </c>
      <c r="NH36" s="77">
        <v>349.17884600000002</v>
      </c>
      <c r="NI36" s="77">
        <v>338.83048700000001</v>
      </c>
      <c r="NJ36" s="77">
        <v>312.34951000000001</v>
      </c>
      <c r="NK36" s="77">
        <v>312.349448</v>
      </c>
      <c r="NL36" s="77">
        <v>314.26006599999999</v>
      </c>
      <c r="NM36" s="77">
        <v>405.03466500000002</v>
      </c>
      <c r="NN36" s="77">
        <v>336.97837500000003</v>
      </c>
      <c r="NO36" s="77">
        <v>322.51643899999999</v>
      </c>
      <c r="NP36" s="77">
        <v>312.30766</v>
      </c>
      <c r="NQ36" s="77">
        <v>279.80640299999999</v>
      </c>
      <c r="NR36" s="77">
        <v>279.80636199999998</v>
      </c>
      <c r="NS36" s="77">
        <v>295.44890800000002</v>
      </c>
      <c r="NT36" s="77">
        <v>381.03050200000001</v>
      </c>
      <c r="NU36" s="77">
        <v>316.69230399999998</v>
      </c>
      <c r="NV36" s="77">
        <v>303.18337300000002</v>
      </c>
      <c r="NW36" s="77">
        <v>293.67602900000003</v>
      </c>
      <c r="NX36" s="77">
        <v>288.62502999999998</v>
      </c>
      <c r="NY36" s="77">
        <v>288.62497000000002</v>
      </c>
      <c r="NZ36" s="77">
        <v>323.64994200000001</v>
      </c>
      <c r="OA36" s="77">
        <v>418.24337000000003</v>
      </c>
      <c r="OB36" s="77">
        <v>347.97589799999997</v>
      </c>
      <c r="OC36" s="77">
        <v>331.58794899999998</v>
      </c>
      <c r="OD36" s="77">
        <v>321.64387499999998</v>
      </c>
      <c r="OE36" s="77">
        <v>299.81692600000002</v>
      </c>
      <c r="OF36" s="77">
        <v>299.81686500000001</v>
      </c>
      <c r="OG36" s="77">
        <v>298.39887599999997</v>
      </c>
      <c r="OH36" s="77">
        <v>384.97241500000001</v>
      </c>
      <c r="OI36" s="77">
        <v>320.02639099999999</v>
      </c>
      <c r="OJ36" s="77">
        <v>306.12077699999998</v>
      </c>
      <c r="OK36" s="77">
        <v>296.59870100000001</v>
      </c>
      <c r="OL36" s="77">
        <v>269.45290599999998</v>
      </c>
      <c r="OM36" s="77">
        <v>269.45284700000002</v>
      </c>
      <c r="ON36" s="77">
        <v>284.830263</v>
      </c>
      <c r="OO36" s="77">
        <v>366.15733999999998</v>
      </c>
      <c r="OP36" s="77">
        <v>305.07362899999998</v>
      </c>
      <c r="OQ36" s="77">
        <v>292.58884</v>
      </c>
      <c r="OR36" s="77">
        <v>282.994102</v>
      </c>
      <c r="OS36" s="77">
        <v>281.434121</v>
      </c>
      <c r="OT36" s="77">
        <v>281.43407100000002</v>
      </c>
      <c r="OU36" s="77">
        <v>315.63964099999998</v>
      </c>
      <c r="OV36" s="77">
        <v>407.924914</v>
      </c>
      <c r="OW36" s="77">
        <v>339.43077399999999</v>
      </c>
      <c r="OX36" s="77">
        <v>323.33698199999998</v>
      </c>
      <c r="OY36" s="77">
        <v>313.680792</v>
      </c>
      <c r="OZ36" s="77">
        <v>319.87676299999998</v>
      </c>
      <c r="PA36" s="77">
        <v>319.87670300000002</v>
      </c>
      <c r="PB36" s="77">
        <v>315.866941</v>
      </c>
      <c r="PC36" s="77">
        <v>408.648821</v>
      </c>
      <c r="PD36" s="77">
        <v>339.76326299999999</v>
      </c>
      <c r="PE36" s="77">
        <v>323.453259</v>
      </c>
      <c r="PF36" s="77">
        <v>313.95461299999999</v>
      </c>
      <c r="PG36" s="77">
        <v>282.63596699999999</v>
      </c>
      <c r="PH36" s="77">
        <v>282.63591100000002</v>
      </c>
      <c r="PI36" s="77">
        <v>298.22552999999999</v>
      </c>
      <c r="PJ36" s="77">
        <v>385.255109</v>
      </c>
      <c r="PK36" s="77">
        <v>320.01043700000002</v>
      </c>
      <c r="PL36" s="77">
        <v>305.77881500000001</v>
      </c>
      <c r="PM36" s="77">
        <v>296.472261</v>
      </c>
      <c r="PN36" s="77">
        <v>284.712019</v>
      </c>
      <c r="PO36" s="77">
        <v>284.71196400000002</v>
      </c>
      <c r="PP36" s="77">
        <v>322.114509</v>
      </c>
      <c r="PQ36" s="77">
        <v>417.517854</v>
      </c>
      <c r="PR36" s="77">
        <v>346.37705799999998</v>
      </c>
      <c r="PS36" s="77">
        <v>329.75187399999999</v>
      </c>
      <c r="PT36" s="77">
        <v>320.29274400000003</v>
      </c>
      <c r="PU36" s="77">
        <v>327.72861499999999</v>
      </c>
      <c r="PV36" s="77">
        <v>327.72855299999998</v>
      </c>
      <c r="PW36" s="77">
        <v>319.80951499999998</v>
      </c>
      <c r="PX36" s="77">
        <v>412.747884</v>
      </c>
      <c r="PY36" s="77">
        <v>343.34328799999997</v>
      </c>
      <c r="PZ36" s="77">
        <v>327.948802</v>
      </c>
      <c r="QA36" s="77">
        <v>317.833822</v>
      </c>
      <c r="QB36" s="77">
        <v>311.28493600000002</v>
      </c>
      <c r="QC36" s="77">
        <v>311.28487200000001</v>
      </c>
      <c r="QD36" s="77">
        <v>329.10886799999997</v>
      </c>
      <c r="QE36" s="77">
        <v>423.36777799999999</v>
      </c>
      <c r="QF36" s="77">
        <v>352.23813000000001</v>
      </c>
      <c r="QG36" s="77">
        <v>338.19266599999997</v>
      </c>
      <c r="QH36" s="77">
        <v>327.048315</v>
      </c>
      <c r="QI36" s="77">
        <v>271.48382800000002</v>
      </c>
      <c r="QJ36" s="77">
        <v>271.48377399999998</v>
      </c>
      <c r="QK36" s="77">
        <v>286.334272</v>
      </c>
      <c r="QL36" s="77">
        <v>370.265151</v>
      </c>
      <c r="QM36" s="77">
        <v>307.29630800000001</v>
      </c>
      <c r="QN36" s="77">
        <v>293.47914300000002</v>
      </c>
      <c r="QO36" s="77">
        <v>284.70332100000002</v>
      </c>
      <c r="QP36" s="77">
        <v>320.72457700000001</v>
      </c>
      <c r="QQ36" s="77">
        <v>320.724514</v>
      </c>
      <c r="QR36" s="77">
        <v>338.650555</v>
      </c>
      <c r="QS36" s="77">
        <v>436.97087900000002</v>
      </c>
    </row>
    <row r="37" spans="6:461" x14ac:dyDescent="0.25">
      <c r="F37" s="76" t="str">
        <f xml:space="preserve"> _xll.EPMOlapMemberO("[PRDDESCR].[].[WONDER GFREE WHITE 470G]","","WONDER GFREE WHITE 470G","","000")</f>
        <v>WONDER GFREE WHITE 470G</v>
      </c>
      <c r="G37" s="76" t="str">
        <f xml:space="preserve"> _xll.EPMOlapMemberO("[PRDID].[].[179649]","","179649","","000")</f>
        <v>179649</v>
      </c>
      <c r="H37" s="76" t="str">
        <f xml:space="preserve"> _xll.EPMOlapMemberO("[LOCID].[].[6130]","","6130","","000")</f>
        <v>6130</v>
      </c>
      <c r="I37" s="76" t="str">
        <f xml:space="preserve"> _xll.EPMOlapMemberO("[LOCDESCR].[].[QBA-Canning Vale]","","QBA-Canning Vale","","000")</f>
        <v>QBA-Canning Vale</v>
      </c>
      <c r="J37" s="76" t="str">
        <f xml:space="preserve"> _xll.EPMOlapMemberO("[KEY_FIGURES].[].[ZGFAPPROVEDFCSTQTY]","","Approved Forecast","","000")</f>
        <v>Approved Forecast</v>
      </c>
      <c r="K37" s="77">
        <v>35.169505000000001</v>
      </c>
      <c r="L37" s="77">
        <v>120.246605</v>
      </c>
      <c r="M37" s="77">
        <v>86.595084</v>
      </c>
      <c r="N37" s="77">
        <v>117.08905</v>
      </c>
      <c r="O37" s="77">
        <v>86.569851</v>
      </c>
      <c r="P37" s="77">
        <v>24.159483999999999</v>
      </c>
      <c r="Q37" s="77">
        <v>177.314876</v>
      </c>
      <c r="R37" s="77">
        <v>38.925657000000001</v>
      </c>
      <c r="S37" s="77">
        <v>111.2013</v>
      </c>
      <c r="T37" s="77">
        <v>87.852771000000004</v>
      </c>
      <c r="U37" s="77">
        <v>95.182579000000004</v>
      </c>
      <c r="V37" s="77">
        <v>84.449960000000004</v>
      </c>
      <c r="W37" s="77">
        <v>25.453675</v>
      </c>
      <c r="X37" s="77">
        <v>157.27280999999999</v>
      </c>
      <c r="Y37" s="77">
        <v>32.022899000000002</v>
      </c>
      <c r="Z37" s="77">
        <v>98.321116000000004</v>
      </c>
      <c r="AA37" s="77">
        <v>78.948508000000004</v>
      </c>
      <c r="AB37" s="77">
        <v>87.428535999999994</v>
      </c>
      <c r="AC37" s="77">
        <v>75.846637999999999</v>
      </c>
      <c r="AD37" s="77">
        <v>25.24727</v>
      </c>
      <c r="AE37" s="77"/>
      <c r="AF37" s="77"/>
      <c r="AG37" s="77"/>
      <c r="AH37" s="77"/>
      <c r="AI37" s="77"/>
      <c r="AJ37" s="77"/>
      <c r="AK37" s="77"/>
      <c r="AL37" s="77">
        <v>203.04418699999999</v>
      </c>
      <c r="AM37" s="77">
        <v>41.342602999999997</v>
      </c>
      <c r="AN37" s="77">
        <v>113.57277000000001</v>
      </c>
      <c r="AO37" s="77">
        <v>91.195081999999999</v>
      </c>
      <c r="AP37" s="77">
        <v>100.99051900000001</v>
      </c>
      <c r="AQ37" s="77">
        <v>87.612030000000004</v>
      </c>
      <c r="AR37" s="77">
        <v>29.163654999999999</v>
      </c>
      <c r="AS37" s="77">
        <v>178.62793199999999</v>
      </c>
      <c r="AT37" s="77">
        <v>36.286909000000001</v>
      </c>
      <c r="AU37" s="77">
        <v>111.67153399999999</v>
      </c>
      <c r="AV37" s="77">
        <v>89.460896000000005</v>
      </c>
      <c r="AW37" s="77">
        <v>99.299925999999999</v>
      </c>
      <c r="AX37" s="77">
        <v>85.945988999999997</v>
      </c>
      <c r="AY37" s="77">
        <v>28.675452</v>
      </c>
      <c r="AZ37" s="77">
        <v>154.964789</v>
      </c>
      <c r="BA37" s="77">
        <v>31.552921000000001</v>
      </c>
      <c r="BB37" s="77">
        <v>110.408137</v>
      </c>
      <c r="BC37" s="77">
        <v>88.653989999999993</v>
      </c>
      <c r="BD37" s="77">
        <v>98.176491999999996</v>
      </c>
      <c r="BE37" s="77">
        <v>85.170777000000001</v>
      </c>
      <c r="BF37" s="77">
        <v>28.351020999999999</v>
      </c>
      <c r="BG37" s="77">
        <v>166.92538099999999</v>
      </c>
      <c r="BH37" s="77">
        <v>33.909629000000002</v>
      </c>
      <c r="BI37" s="77">
        <v>91.567333000000005</v>
      </c>
      <c r="BJ37" s="77">
        <v>73.355266</v>
      </c>
      <c r="BK37" s="77">
        <v>81.422967</v>
      </c>
      <c r="BL37" s="77">
        <v>70.473139000000003</v>
      </c>
      <c r="BM37" s="77">
        <v>23.513009</v>
      </c>
      <c r="BN37" s="77">
        <v>165.77437699999999</v>
      </c>
      <c r="BO37" s="77">
        <v>33.753937000000001</v>
      </c>
      <c r="BP37" s="77">
        <v>103.635981</v>
      </c>
      <c r="BQ37" s="77">
        <v>83.216176000000004</v>
      </c>
      <c r="BR37" s="77">
        <v>92.154587000000006</v>
      </c>
      <c r="BS37" s="77">
        <v>79.946611000000004</v>
      </c>
      <c r="BT37" s="77">
        <v>26.612044000000001</v>
      </c>
      <c r="BU37" s="77">
        <v>192.103679</v>
      </c>
      <c r="BV37" s="77">
        <v>39.024374000000002</v>
      </c>
      <c r="BW37" s="77">
        <v>132.122906</v>
      </c>
      <c r="BX37" s="77">
        <v>105.844643</v>
      </c>
      <c r="BY37" s="77">
        <v>117.485569</v>
      </c>
      <c r="BZ37" s="77">
        <v>101.686024</v>
      </c>
      <c r="CA37" s="77">
        <v>33.927038000000003</v>
      </c>
      <c r="CB37" s="77">
        <v>172.20178200000001</v>
      </c>
      <c r="CC37" s="77">
        <v>35.062665000000003</v>
      </c>
      <c r="CD37" s="77">
        <v>97.854648999999995</v>
      </c>
      <c r="CE37" s="77">
        <v>78.573952000000006</v>
      </c>
      <c r="CF37" s="77">
        <v>87.013738000000004</v>
      </c>
      <c r="CG37" s="77">
        <v>75.486787000000007</v>
      </c>
      <c r="CH37" s="77">
        <v>25.127489000000001</v>
      </c>
      <c r="CI37" s="77">
        <v>155.283502</v>
      </c>
      <c r="CJ37" s="77">
        <v>31.544663</v>
      </c>
      <c r="CK37" s="77">
        <v>97.077472</v>
      </c>
      <c r="CL37" s="77">
        <v>77.769482999999994</v>
      </c>
      <c r="CM37" s="77">
        <v>86.322667999999993</v>
      </c>
      <c r="CN37" s="77">
        <v>74.713932</v>
      </c>
      <c r="CO37" s="77">
        <v>24.927931999999998</v>
      </c>
      <c r="CP37" s="77">
        <v>159.10811100000001</v>
      </c>
      <c r="CQ37" s="77">
        <v>32.396594</v>
      </c>
      <c r="CR37" s="77">
        <v>99.468480999999997</v>
      </c>
      <c r="CS37" s="77">
        <v>79.869804000000002</v>
      </c>
      <c r="CT37" s="77">
        <v>88.448779000000002</v>
      </c>
      <c r="CU37" s="77">
        <v>76.731744000000006</v>
      </c>
      <c r="CV37" s="77">
        <v>25.541903999999999</v>
      </c>
      <c r="CW37" s="77">
        <v>156.123031</v>
      </c>
      <c r="CX37" s="77">
        <v>31.715216000000002</v>
      </c>
      <c r="CY37" s="77">
        <v>97.602329999999995</v>
      </c>
      <c r="CZ37" s="77">
        <v>78.189938999999995</v>
      </c>
      <c r="DA37" s="77">
        <v>86.789283999999995</v>
      </c>
      <c r="DB37" s="77">
        <v>75.117793000000006</v>
      </c>
      <c r="DC37" s="77">
        <v>25.062667000000001</v>
      </c>
      <c r="DD37" s="77">
        <v>160.45728399999999</v>
      </c>
      <c r="DE37" s="77">
        <v>32.671323999999998</v>
      </c>
      <c r="DF37" s="77">
        <v>100.31188299999999</v>
      </c>
      <c r="DG37" s="77">
        <v>80.547094000000001</v>
      </c>
      <c r="DH37" s="77">
        <v>89.198696999999996</v>
      </c>
      <c r="DI37" s="77">
        <v>77.382300999999998</v>
      </c>
      <c r="DJ37" s="77">
        <v>25.758444999999998</v>
      </c>
      <c r="DK37" s="77">
        <v>167.65711400000001</v>
      </c>
      <c r="DL37" s="77">
        <v>34.058244000000002</v>
      </c>
      <c r="DM37" s="77">
        <v>115.49148</v>
      </c>
      <c r="DN37" s="77">
        <v>92.521077000000005</v>
      </c>
      <c r="DO37" s="77">
        <v>102.696658</v>
      </c>
      <c r="DP37" s="77">
        <v>88.885919000000001</v>
      </c>
      <c r="DQ37" s="77">
        <v>29.656351999999998</v>
      </c>
      <c r="DR37" s="77">
        <v>183.34589700000001</v>
      </c>
      <c r="DS37" s="77">
        <v>37.331744999999998</v>
      </c>
      <c r="DT37" s="77">
        <v>104.02301</v>
      </c>
      <c r="DU37" s="77">
        <v>83.526926000000003</v>
      </c>
      <c r="DV37" s="77">
        <v>92.498797999999994</v>
      </c>
      <c r="DW37" s="77">
        <v>80.245166999999995</v>
      </c>
      <c r="DX37" s="77">
        <v>26.711476000000001</v>
      </c>
      <c r="DY37" s="77">
        <v>165.56232800000001</v>
      </c>
      <c r="DZ37" s="77">
        <v>33.632680999999998</v>
      </c>
      <c r="EA37" s="77">
        <v>103.503417</v>
      </c>
      <c r="EB37" s="77">
        <v>82.917368999999994</v>
      </c>
      <c r="EC37" s="77">
        <v>92.036618000000004</v>
      </c>
      <c r="ED37" s="77">
        <v>79.659457000000003</v>
      </c>
      <c r="EE37" s="77">
        <v>26.577995999999999</v>
      </c>
      <c r="EF37" s="77">
        <v>152.88218699999999</v>
      </c>
      <c r="EG37" s="77">
        <v>31.128872999999999</v>
      </c>
      <c r="EH37" s="77">
        <v>95.576216000000002</v>
      </c>
      <c r="EI37" s="77">
        <v>76.744450000000001</v>
      </c>
      <c r="EJ37" s="77">
        <v>84.987826999999996</v>
      </c>
      <c r="EK37" s="77">
        <v>73.729265999999996</v>
      </c>
      <c r="EL37" s="77">
        <v>24.542475</v>
      </c>
      <c r="EM37" s="77">
        <v>164.75544199999999</v>
      </c>
      <c r="EN37" s="77">
        <v>33.468820999999998</v>
      </c>
      <c r="EO37" s="77">
        <v>102.998953</v>
      </c>
      <c r="EP37" s="77">
        <v>82.513212999999993</v>
      </c>
      <c r="EQ37" s="77">
        <v>91.588232000000005</v>
      </c>
      <c r="ER37" s="77">
        <v>79.271371000000002</v>
      </c>
      <c r="ES37" s="77">
        <v>26.448519999999998</v>
      </c>
      <c r="ET37" s="77">
        <v>172.75267199999999</v>
      </c>
      <c r="EU37" s="77">
        <v>35.174784000000002</v>
      </c>
      <c r="EV37" s="77">
        <v>125.249295</v>
      </c>
      <c r="EW37" s="77">
        <v>100.570927</v>
      </c>
      <c r="EX37" s="77">
        <v>111.373463</v>
      </c>
      <c r="EY37" s="77">
        <v>96.619507999999996</v>
      </c>
      <c r="EZ37" s="77">
        <v>32.162019999999998</v>
      </c>
      <c r="FA37" s="77">
        <v>191.55207300000001</v>
      </c>
      <c r="FB37" s="77">
        <v>38.912345000000002</v>
      </c>
      <c r="FC37" s="77">
        <v>103.257882</v>
      </c>
      <c r="FD37" s="77">
        <v>82.720600000000005</v>
      </c>
      <c r="FE37" s="77">
        <v>91.818273000000005</v>
      </c>
      <c r="FF37" s="77">
        <v>79.470467999999997</v>
      </c>
      <c r="FG37" s="77">
        <v>26.514911999999999</v>
      </c>
      <c r="FH37" s="77">
        <v>150.01328100000001</v>
      </c>
      <c r="FI37" s="77">
        <v>30.544730999999999</v>
      </c>
      <c r="FJ37" s="77">
        <v>114.57445800000001</v>
      </c>
      <c r="FK37" s="77">
        <v>91.999398999999997</v>
      </c>
      <c r="FL37" s="77">
        <v>101.881232</v>
      </c>
      <c r="FM37" s="77">
        <v>88.384752000000006</v>
      </c>
      <c r="FN37" s="77">
        <v>29.420867000000001</v>
      </c>
      <c r="FO37" s="77">
        <v>199.730243</v>
      </c>
      <c r="FP37" s="77">
        <v>40.573706000000001</v>
      </c>
      <c r="FQ37" s="77">
        <v>102.204937</v>
      </c>
      <c r="FR37" s="77">
        <v>81.877128999999996</v>
      </c>
      <c r="FS37" s="77">
        <v>90.882080999999999</v>
      </c>
      <c r="FT37" s="77">
        <v>78.660263</v>
      </c>
      <c r="FU37" s="77">
        <v>26.244622</v>
      </c>
      <c r="FV37" s="77">
        <v>192.28848400000001</v>
      </c>
      <c r="FW37" s="77">
        <v>39.152551000000003</v>
      </c>
      <c r="FX37" s="77">
        <v>138.81059500000001</v>
      </c>
      <c r="FY37" s="77">
        <v>111.460206</v>
      </c>
      <c r="FZ37" s="77">
        <v>123.432363</v>
      </c>
      <c r="GA37" s="77">
        <v>107.08093599999999</v>
      </c>
      <c r="GB37" s="77">
        <v>35.644328000000002</v>
      </c>
      <c r="GC37" s="77">
        <v>198.36177900000001</v>
      </c>
      <c r="GD37" s="77">
        <v>40.295712000000002</v>
      </c>
      <c r="GE37" s="77">
        <v>107.392736</v>
      </c>
      <c r="GF37" s="77">
        <v>86.033107999999999</v>
      </c>
      <c r="GG37" s="77">
        <v>95.495143999999996</v>
      </c>
      <c r="GH37" s="77">
        <v>82.652878000000001</v>
      </c>
      <c r="GI37" s="77">
        <v>27.576715</v>
      </c>
      <c r="GJ37" s="77">
        <v>175.325413</v>
      </c>
      <c r="GK37" s="77">
        <v>35.698666000000003</v>
      </c>
      <c r="GL37" s="77">
        <v>109.606926</v>
      </c>
      <c r="GM37" s="77">
        <v>88.010636000000005</v>
      </c>
      <c r="GN37" s="77">
        <v>97.464040999999995</v>
      </c>
      <c r="GO37" s="77">
        <v>84.552710000000005</v>
      </c>
      <c r="GP37" s="77">
        <v>28.145299000000001</v>
      </c>
      <c r="GQ37" s="77">
        <v>161.945526</v>
      </c>
      <c r="GR37" s="77">
        <v>32.897976999999997</v>
      </c>
      <c r="GS37" s="77">
        <v>130.657624</v>
      </c>
      <c r="GT37" s="77">
        <v>104.670788</v>
      </c>
      <c r="GU37" s="77">
        <v>116.182619</v>
      </c>
      <c r="GV37" s="77">
        <v>100.558283</v>
      </c>
      <c r="GW37" s="77">
        <v>33.550775000000002</v>
      </c>
      <c r="GX37" s="77">
        <v>179.67143300000001</v>
      </c>
      <c r="GY37" s="77">
        <v>36.583576000000001</v>
      </c>
      <c r="GZ37" s="77">
        <v>87.036103999999995</v>
      </c>
      <c r="HA37" s="77">
        <v>69.887023999999997</v>
      </c>
      <c r="HB37" s="77">
        <v>77.393728999999993</v>
      </c>
      <c r="HC37" s="77">
        <v>67.141165999999998</v>
      </c>
      <c r="HD37" s="77">
        <v>22.349456</v>
      </c>
      <c r="HE37" s="77">
        <v>166.777512</v>
      </c>
      <c r="HF37" s="77">
        <v>33.879559999999998</v>
      </c>
      <c r="HG37" s="77">
        <v>117.495242</v>
      </c>
      <c r="HH37" s="77">
        <v>94.126322999999999</v>
      </c>
      <c r="HI37" s="77">
        <v>104.478447</v>
      </c>
      <c r="HJ37" s="77">
        <v>90.428087000000005</v>
      </c>
      <c r="HK37" s="77">
        <v>30.170876</v>
      </c>
      <c r="HL37" s="77">
        <v>155.260402</v>
      </c>
      <c r="HM37" s="77">
        <v>31.613160000000001</v>
      </c>
      <c r="HN37" s="77">
        <v>86.131904000000006</v>
      </c>
      <c r="HO37" s="77">
        <v>69.160989000000001</v>
      </c>
      <c r="HP37" s="77">
        <v>76.589716999999993</v>
      </c>
      <c r="HQ37" s="77">
        <v>66.443658999999997</v>
      </c>
      <c r="HR37" s="77">
        <v>22.117277999999999</v>
      </c>
      <c r="HS37" s="77">
        <v>128.86632599999999</v>
      </c>
      <c r="HT37" s="77">
        <v>26.178191999999999</v>
      </c>
      <c r="HU37" s="77">
        <v>89.602520999999996</v>
      </c>
      <c r="HV37" s="77">
        <v>71.781170000000003</v>
      </c>
      <c r="HW37" s="77">
        <v>79.675741000000002</v>
      </c>
      <c r="HX37" s="77">
        <v>68.960893999999996</v>
      </c>
      <c r="HY37" s="77">
        <v>23.00845</v>
      </c>
      <c r="HZ37" s="77">
        <v>266.12933099999998</v>
      </c>
      <c r="IA37" s="77">
        <v>54.187609999999999</v>
      </c>
      <c r="IB37" s="77">
        <v>149.58866699999999</v>
      </c>
      <c r="IC37" s="77">
        <v>120.114608</v>
      </c>
      <c r="ID37" s="77">
        <v>133.01636099999999</v>
      </c>
      <c r="IE37" s="77">
        <v>115.395324</v>
      </c>
      <c r="IF37" s="77">
        <v>38.411960999999998</v>
      </c>
      <c r="IG37" s="77">
        <v>202.98863700000001</v>
      </c>
      <c r="IH37" s="77">
        <v>41.235608999999997</v>
      </c>
      <c r="II37" s="77">
        <v>126.90095700000001</v>
      </c>
      <c r="IJ37" s="77">
        <v>101.661283</v>
      </c>
      <c r="IK37" s="77">
        <v>112.842136</v>
      </c>
      <c r="IL37" s="77">
        <v>97.667032000000006</v>
      </c>
      <c r="IM37" s="77">
        <v>32.586131999999999</v>
      </c>
      <c r="IN37" s="77">
        <v>212.207245</v>
      </c>
      <c r="IO37" s="77">
        <v>43.208317000000001</v>
      </c>
      <c r="IP37" s="77">
        <v>132.66407799999999</v>
      </c>
      <c r="IQ37" s="77">
        <v>106.52475</v>
      </c>
      <c r="IR37" s="77">
        <v>117.96678199999999</v>
      </c>
      <c r="IS37" s="77">
        <v>102.33940699999999</v>
      </c>
      <c r="IT37" s="77">
        <v>34.066011000000003</v>
      </c>
      <c r="IU37" s="77">
        <v>119.155385</v>
      </c>
      <c r="IV37" s="77">
        <v>24.205486000000001</v>
      </c>
      <c r="IW37" s="77">
        <v>82.381270000000001</v>
      </c>
      <c r="IX37" s="77">
        <v>65.996253999999993</v>
      </c>
      <c r="IY37" s="77">
        <v>73.254611999999995</v>
      </c>
      <c r="IZ37" s="77">
        <v>63.403281999999997</v>
      </c>
      <c r="JA37" s="77">
        <v>21.154207</v>
      </c>
      <c r="JB37" s="77">
        <v>301.470236</v>
      </c>
      <c r="JC37" s="77">
        <v>61.383535000000002</v>
      </c>
      <c r="JD37" s="77">
        <v>170.41828000000001</v>
      </c>
      <c r="JE37" s="77">
        <v>136.84007700000001</v>
      </c>
      <c r="JF37" s="77">
        <v>151.53836000000001</v>
      </c>
      <c r="JG37" s="77">
        <v>131.46365599999999</v>
      </c>
      <c r="JH37" s="77">
        <v>43.760669999999998</v>
      </c>
      <c r="JI37" s="77">
        <v>208.682827</v>
      </c>
      <c r="JJ37" s="77">
        <v>42.392349000000003</v>
      </c>
      <c r="JK37" s="77">
        <v>130.46075400000001</v>
      </c>
      <c r="JL37" s="77">
        <v>104.513068</v>
      </c>
      <c r="JM37" s="77">
        <v>116.007552</v>
      </c>
      <c r="JN37" s="77">
        <v>100.406764</v>
      </c>
      <c r="JO37" s="77">
        <v>33.500230999999999</v>
      </c>
      <c r="JP37" s="77">
        <v>183.72963999999999</v>
      </c>
      <c r="JQ37" s="77">
        <v>37.409877000000002</v>
      </c>
      <c r="JR37" s="77">
        <v>114.86094300000001</v>
      </c>
      <c r="JS37" s="77">
        <v>92.229423999999995</v>
      </c>
      <c r="JT37" s="77">
        <v>102.13598399999999</v>
      </c>
      <c r="JU37" s="77">
        <v>88.605754000000005</v>
      </c>
      <c r="JV37" s="77">
        <v>29.494457000000001</v>
      </c>
      <c r="JW37" s="77">
        <v>120.770686</v>
      </c>
      <c r="JX37" s="77">
        <v>27.605815</v>
      </c>
      <c r="JY37" s="77">
        <v>80.806053000000006</v>
      </c>
      <c r="JZ37" s="77">
        <v>64.721230000000006</v>
      </c>
      <c r="KA37" s="77">
        <v>69.065798999999998</v>
      </c>
      <c r="KB37" s="77">
        <v>120.63073199999999</v>
      </c>
      <c r="KC37" s="77">
        <v>120.770578</v>
      </c>
      <c r="KD37" s="77">
        <v>86.192008000000001</v>
      </c>
      <c r="KE37" s="77">
        <v>86.291932000000003</v>
      </c>
      <c r="KF37" s="77">
        <v>101.652604</v>
      </c>
      <c r="KG37" s="77">
        <v>101.770425</v>
      </c>
      <c r="KH37" s="77">
        <v>101.65254899999999</v>
      </c>
      <c r="KI37" s="77">
        <v>101.770381</v>
      </c>
      <c r="KJ37" s="77">
        <v>101.652506</v>
      </c>
      <c r="KK37" s="77">
        <v>110.42304799999999</v>
      </c>
      <c r="KL37" s="77">
        <v>110.29517199999999</v>
      </c>
      <c r="KM37" s="77">
        <v>93.628494000000003</v>
      </c>
      <c r="KN37" s="77">
        <v>93.520049999999998</v>
      </c>
      <c r="KO37" s="77">
        <v>93.628448000000006</v>
      </c>
      <c r="KP37" s="77">
        <v>93.520007000000007</v>
      </c>
      <c r="KQ37" s="77">
        <v>93.628403000000006</v>
      </c>
      <c r="KR37" s="77">
        <v>79.343020999999993</v>
      </c>
      <c r="KS37" s="77">
        <v>79.435011000000003</v>
      </c>
      <c r="KT37" s="77">
        <v>93.540505999999993</v>
      </c>
      <c r="KU37" s="77">
        <v>93.648944</v>
      </c>
      <c r="KV37" s="77">
        <v>93.540469000000002</v>
      </c>
      <c r="KW37" s="77">
        <v>93.648904000000002</v>
      </c>
      <c r="KX37" s="77">
        <v>93.540429000000003</v>
      </c>
      <c r="KY37" s="77">
        <v>103.810044</v>
      </c>
      <c r="KZ37" s="77">
        <v>103.689834</v>
      </c>
      <c r="LA37" s="77">
        <v>88.053779000000006</v>
      </c>
      <c r="LB37" s="77">
        <v>87.951791999999998</v>
      </c>
      <c r="LC37" s="77">
        <v>88.053738999999993</v>
      </c>
      <c r="LD37" s="77">
        <v>87.951753999999994</v>
      </c>
      <c r="LE37" s="77">
        <v>88.053698999999995</v>
      </c>
      <c r="LF37" s="77">
        <v>92.616432000000003</v>
      </c>
      <c r="LG37" s="77">
        <v>92.723799</v>
      </c>
      <c r="LH37" s="77">
        <v>92.616420000000005</v>
      </c>
      <c r="LI37" s="77">
        <v>92.723765999999998</v>
      </c>
      <c r="LJ37" s="77">
        <v>92.616377999999997</v>
      </c>
      <c r="LK37" s="77">
        <v>92.723723000000007</v>
      </c>
      <c r="LL37" s="77">
        <v>92.616336000000004</v>
      </c>
      <c r="LM37" s="77">
        <v>89.055183</v>
      </c>
      <c r="LN37" s="77">
        <v>88.952050999999997</v>
      </c>
      <c r="LO37" s="77">
        <v>103.92774799999999</v>
      </c>
      <c r="LP37" s="77">
        <v>103.807374</v>
      </c>
      <c r="LQ37" s="77">
        <v>103.927708</v>
      </c>
      <c r="LR37" s="77">
        <v>103.807331</v>
      </c>
      <c r="LS37" s="77">
        <v>103.927663</v>
      </c>
      <c r="LT37" s="77">
        <v>107.099576</v>
      </c>
      <c r="LU37" s="77">
        <v>107.22375099999999</v>
      </c>
      <c r="LV37" s="77">
        <v>91.773073999999994</v>
      </c>
      <c r="LW37" s="77">
        <v>91.879442999999995</v>
      </c>
      <c r="LX37" s="77">
        <v>91.773031000000003</v>
      </c>
      <c r="LY37" s="77">
        <v>91.879402999999996</v>
      </c>
      <c r="LZ37" s="77">
        <v>91.772991000000005</v>
      </c>
      <c r="MA37" s="77">
        <v>79.132902999999999</v>
      </c>
      <c r="MB37" s="77">
        <v>79.041263999999998</v>
      </c>
      <c r="MC37" s="77">
        <v>79.132891999999998</v>
      </c>
      <c r="MD37" s="77">
        <v>79.041236999999995</v>
      </c>
      <c r="ME37" s="77">
        <v>79.132856000000004</v>
      </c>
      <c r="MF37" s="77">
        <v>79.041199000000006</v>
      </c>
      <c r="MG37" s="77">
        <v>79.132818</v>
      </c>
      <c r="MH37" s="77">
        <v>90.390431000000007</v>
      </c>
      <c r="MI37" s="77">
        <v>90.495227999999997</v>
      </c>
      <c r="MJ37" s="77">
        <v>108.050839</v>
      </c>
      <c r="MK37" s="77">
        <v>108.176075</v>
      </c>
      <c r="ML37" s="77">
        <v>108.05078399999999</v>
      </c>
      <c r="MM37" s="77">
        <v>108.176025</v>
      </c>
      <c r="MN37" s="77">
        <v>108.05073899999999</v>
      </c>
      <c r="MO37" s="77">
        <v>111.484296</v>
      </c>
      <c r="MP37" s="77">
        <v>111.355189</v>
      </c>
      <c r="MQ37" s="77">
        <v>93.262665999999996</v>
      </c>
      <c r="MR37" s="77">
        <v>93.154657</v>
      </c>
      <c r="MS37" s="77">
        <v>93.262625999999997</v>
      </c>
      <c r="MT37" s="77">
        <v>93.154615000000007</v>
      </c>
      <c r="MU37" s="77">
        <v>93.262590000000003</v>
      </c>
      <c r="MV37" s="77">
        <v>94.847883999999993</v>
      </c>
      <c r="MW37" s="77">
        <v>94.957843999999994</v>
      </c>
      <c r="MX37" s="77">
        <v>94.847870999999998</v>
      </c>
      <c r="MY37" s="77">
        <v>94.957808</v>
      </c>
      <c r="MZ37" s="77">
        <v>94.847824000000003</v>
      </c>
      <c r="NA37" s="77">
        <v>94.957762000000002</v>
      </c>
      <c r="NB37" s="77">
        <v>94.847779000000003</v>
      </c>
      <c r="NC37" s="77">
        <v>87.841412000000005</v>
      </c>
      <c r="ND37" s="77">
        <v>87.739683999999997</v>
      </c>
      <c r="NE37" s="77">
        <v>98.280045000000001</v>
      </c>
      <c r="NF37" s="77">
        <v>98.166202999999996</v>
      </c>
      <c r="NG37" s="77">
        <v>98.279995</v>
      </c>
      <c r="NH37" s="77">
        <v>98.166150999999999</v>
      </c>
      <c r="NI37" s="77">
        <v>98.279947000000007</v>
      </c>
      <c r="NJ37" s="77">
        <v>95.697826000000006</v>
      </c>
      <c r="NK37" s="77">
        <v>95.808772000000005</v>
      </c>
      <c r="NL37" s="77">
        <v>85.533417999999998</v>
      </c>
      <c r="NM37" s="77">
        <v>85.632559000000001</v>
      </c>
      <c r="NN37" s="77">
        <v>85.533376000000004</v>
      </c>
      <c r="NO37" s="77">
        <v>85.632518000000005</v>
      </c>
      <c r="NP37" s="77">
        <v>85.533333999999996</v>
      </c>
      <c r="NQ37" s="77">
        <v>87.432985000000002</v>
      </c>
      <c r="NR37" s="77">
        <v>87.331731000000005</v>
      </c>
      <c r="NS37" s="77">
        <v>87.432970999999995</v>
      </c>
      <c r="NT37" s="77">
        <v>87.331699</v>
      </c>
      <c r="NU37" s="77">
        <v>87.432933000000006</v>
      </c>
      <c r="NV37" s="77">
        <v>87.331660999999997</v>
      </c>
      <c r="NW37" s="77">
        <v>87.432896</v>
      </c>
      <c r="NX37" s="77">
        <v>79.267317000000006</v>
      </c>
      <c r="NY37" s="77">
        <v>79.359207999999995</v>
      </c>
      <c r="NZ37" s="77">
        <v>90.933193000000003</v>
      </c>
      <c r="OA37" s="77">
        <v>91.038600000000002</v>
      </c>
      <c r="OB37" s="77">
        <v>90.933161999999996</v>
      </c>
      <c r="OC37" s="77">
        <v>91.038566000000003</v>
      </c>
      <c r="OD37" s="77">
        <v>90.933126000000001</v>
      </c>
      <c r="OE37" s="77">
        <v>93.665305000000004</v>
      </c>
      <c r="OF37" s="77">
        <v>93.556833999999995</v>
      </c>
      <c r="OG37" s="77">
        <v>81.648887999999999</v>
      </c>
      <c r="OH37" s="77">
        <v>81.554320000000004</v>
      </c>
      <c r="OI37" s="77">
        <v>81.648853000000003</v>
      </c>
      <c r="OJ37" s="77">
        <v>81.554278999999994</v>
      </c>
      <c r="OK37" s="77">
        <v>81.648812000000007</v>
      </c>
      <c r="OL37" s="77">
        <v>91.563418999999996</v>
      </c>
      <c r="OM37" s="77">
        <v>91.669574999999995</v>
      </c>
      <c r="ON37" s="77">
        <v>91.563401999999996</v>
      </c>
      <c r="OO37" s="77">
        <v>91.669544999999999</v>
      </c>
      <c r="OP37" s="77">
        <v>91.563361</v>
      </c>
      <c r="OQ37" s="77">
        <v>91.669500999999997</v>
      </c>
      <c r="OR37" s="77">
        <v>91.563317999999995</v>
      </c>
      <c r="OS37" s="77">
        <v>90.030564999999996</v>
      </c>
      <c r="OT37" s="77">
        <v>89.926300999999995</v>
      </c>
      <c r="OU37" s="77">
        <v>103.213523</v>
      </c>
      <c r="OV37" s="77">
        <v>103.093976</v>
      </c>
      <c r="OW37" s="77">
        <v>103.213477</v>
      </c>
      <c r="OX37" s="77">
        <v>103.093931</v>
      </c>
      <c r="OY37" s="77">
        <v>103.21343</v>
      </c>
      <c r="OZ37" s="77">
        <v>89.540749000000005</v>
      </c>
      <c r="PA37" s="77">
        <v>89.644554999999997</v>
      </c>
      <c r="PB37" s="77">
        <v>78.104089999999999</v>
      </c>
      <c r="PC37" s="77">
        <v>78.194623000000007</v>
      </c>
      <c r="PD37" s="77">
        <v>78.104057999999995</v>
      </c>
      <c r="PE37" s="77">
        <v>78.194590000000005</v>
      </c>
      <c r="PF37" s="77">
        <v>78.104026000000005</v>
      </c>
      <c r="PG37" s="77">
        <v>73.822423000000001</v>
      </c>
      <c r="PH37" s="77">
        <v>73.736924999999999</v>
      </c>
      <c r="PI37" s="77">
        <v>73.822412999999997</v>
      </c>
      <c r="PJ37" s="77">
        <v>73.736903999999996</v>
      </c>
      <c r="PK37" s="77">
        <v>73.822387000000006</v>
      </c>
      <c r="PL37" s="77">
        <v>73.736877000000007</v>
      </c>
      <c r="PM37" s="77">
        <v>73.822361000000001</v>
      </c>
      <c r="PN37" s="77">
        <v>83.552221000000003</v>
      </c>
      <c r="PO37" s="77">
        <v>83.649084000000002</v>
      </c>
      <c r="PP37" s="77">
        <v>99.173765000000003</v>
      </c>
      <c r="PQ37" s="77">
        <v>99.288728000000006</v>
      </c>
      <c r="PR37" s="77">
        <v>99.173725000000005</v>
      </c>
      <c r="PS37" s="77">
        <v>99.288691</v>
      </c>
      <c r="PT37" s="77">
        <v>99.173689999999993</v>
      </c>
      <c r="PU37" s="77">
        <v>114.92525999999999</v>
      </c>
      <c r="PV37" s="77">
        <v>114.79217300000001</v>
      </c>
      <c r="PW37" s="77">
        <v>96.822550000000007</v>
      </c>
      <c r="PX37" s="77">
        <v>96.710404999999994</v>
      </c>
      <c r="PY37" s="77">
        <v>96.822507000000002</v>
      </c>
      <c r="PZ37" s="77">
        <v>96.710359999999994</v>
      </c>
      <c r="QA37" s="77">
        <v>96.822460000000007</v>
      </c>
      <c r="QB37" s="77">
        <v>78.891315000000006</v>
      </c>
      <c r="QC37" s="77">
        <v>78.982777999999996</v>
      </c>
      <c r="QD37" s="77">
        <v>78.891302999999994</v>
      </c>
      <c r="QE37" s="77">
        <v>78.982750999999993</v>
      </c>
      <c r="QF37" s="77">
        <v>78.891268999999994</v>
      </c>
      <c r="QG37" s="77">
        <v>78.982719000000003</v>
      </c>
      <c r="QH37" s="77">
        <v>78.891238000000001</v>
      </c>
      <c r="QI37" s="77">
        <v>78.264743999999993</v>
      </c>
      <c r="QJ37" s="77">
        <v>78.174105999999995</v>
      </c>
      <c r="QK37" s="77">
        <v>78.264731999999995</v>
      </c>
      <c r="QL37" s="77">
        <v>78.174080000000004</v>
      </c>
      <c r="QM37" s="77">
        <v>78.264695000000003</v>
      </c>
      <c r="QN37" s="77">
        <v>78.174042</v>
      </c>
      <c r="QO37" s="77">
        <v>78.264657</v>
      </c>
      <c r="QP37" s="77">
        <v>80.192391000000001</v>
      </c>
      <c r="QQ37" s="77">
        <v>80.285355999999993</v>
      </c>
      <c r="QR37" s="77">
        <v>80.19238</v>
      </c>
      <c r="QS37" s="77">
        <v>80.285329000000004</v>
      </c>
    </row>
    <row r="38" spans="6:461" x14ac:dyDescent="0.25">
      <c r="F38" s="76" t="str">
        <f xml:space="preserve"> _xll.EPMOlapMemberO("[PRDDESCR].[].[WONDER GFREE WHOLEM 500G]","","WONDER GFREE WHOLEM 500G","","000")</f>
        <v>WONDER GFREE WHOLEM 500G</v>
      </c>
      <c r="G38" s="76" t="str">
        <f xml:space="preserve"> _xll.EPMOlapMemberO("[PRDID].[].[179650]","","179650","","000")</f>
        <v>179650</v>
      </c>
      <c r="H38" s="76" t="str">
        <f xml:space="preserve"> _xll.EPMOlapMemberO("[LOCID].[].[6103]","","6103","","000")</f>
        <v>6103</v>
      </c>
      <c r="I38" s="76" t="str">
        <f xml:space="preserve"> _xll.EPMOlapMemberO("[LOCDESCR].[].[QBA-Canberra]","","QBA-Canberra","","000")</f>
        <v>QBA-Canberra</v>
      </c>
      <c r="J38" s="76" t="str">
        <f xml:space="preserve"> _xll.EPMOlapMemberO("[KEY_FIGURES].[].[ZGFAPPROVEDFCSTQTY]","","Approved Forecast","","000")</f>
        <v>Approved Forecast</v>
      </c>
      <c r="K38" s="77">
        <v>51.155752999999997</v>
      </c>
      <c r="L38" s="77">
        <v>52.504795999999999</v>
      </c>
      <c r="M38" s="77">
        <v>49.158102</v>
      </c>
      <c r="N38" s="77">
        <v>61.537022999999998</v>
      </c>
      <c r="O38" s="77">
        <v>71.644492</v>
      </c>
      <c r="P38" s="77">
        <v>48.149743000000001</v>
      </c>
      <c r="Q38" s="77">
        <v>93.033553999999995</v>
      </c>
      <c r="R38" s="77">
        <v>54.738553000000003</v>
      </c>
      <c r="S38" s="77">
        <v>54.276147999999999</v>
      </c>
      <c r="T38" s="77">
        <v>48.16648</v>
      </c>
      <c r="U38" s="77">
        <v>60.631300000000003</v>
      </c>
      <c r="V38" s="77">
        <v>73.746370999999996</v>
      </c>
      <c r="W38" s="77">
        <v>48.145811000000002</v>
      </c>
      <c r="X38" s="77">
        <v>95.325311999999997</v>
      </c>
      <c r="Y38" s="77">
        <v>54.961956999999998</v>
      </c>
      <c r="Z38" s="77">
        <v>59.953549000000002</v>
      </c>
      <c r="AA38" s="77">
        <v>49.754430999999997</v>
      </c>
      <c r="AB38" s="77">
        <v>63.288454999999999</v>
      </c>
      <c r="AC38" s="77">
        <v>76.118474000000006</v>
      </c>
      <c r="AD38" s="77">
        <v>48.587387</v>
      </c>
      <c r="AE38" s="77"/>
      <c r="AF38" s="77"/>
      <c r="AG38" s="77"/>
      <c r="AH38" s="77"/>
      <c r="AI38" s="77"/>
      <c r="AJ38" s="77"/>
      <c r="AK38" s="77"/>
      <c r="AL38" s="77">
        <v>106.723535</v>
      </c>
      <c r="AM38" s="77">
        <v>61.479892</v>
      </c>
      <c r="AN38" s="77">
        <v>64.406122999999994</v>
      </c>
      <c r="AO38" s="77">
        <v>52.892353999999997</v>
      </c>
      <c r="AP38" s="77">
        <v>67.862250000000003</v>
      </c>
      <c r="AQ38" s="77">
        <v>82.163590999999997</v>
      </c>
      <c r="AR38" s="77">
        <v>52.788015999999999</v>
      </c>
      <c r="AS38" s="77">
        <v>98.277477000000005</v>
      </c>
      <c r="AT38" s="77">
        <v>56.698866000000002</v>
      </c>
      <c r="AU38" s="77">
        <v>61.797932000000003</v>
      </c>
      <c r="AV38" s="77">
        <v>51.172519999999999</v>
      </c>
      <c r="AW38" s="77">
        <v>65.181227000000007</v>
      </c>
      <c r="AX38" s="77">
        <v>78.541853000000003</v>
      </c>
      <c r="AY38" s="77">
        <v>50.164689000000003</v>
      </c>
      <c r="AZ38" s="77">
        <v>87.733996000000005</v>
      </c>
      <c r="BA38" s="77">
        <v>50.794133000000002</v>
      </c>
      <c r="BB38" s="77">
        <v>57.426366000000002</v>
      </c>
      <c r="BC38" s="77">
        <v>47.444605000000003</v>
      </c>
      <c r="BD38" s="77">
        <v>61.134988</v>
      </c>
      <c r="BE38" s="77">
        <v>73.085903000000002</v>
      </c>
      <c r="BF38" s="77">
        <v>46.378886999999999</v>
      </c>
      <c r="BG38" s="77">
        <v>106.337255</v>
      </c>
      <c r="BH38" s="77">
        <v>61.060833000000002</v>
      </c>
      <c r="BI38" s="77">
        <v>63.724938000000002</v>
      </c>
      <c r="BJ38" s="77">
        <v>52.937601000000001</v>
      </c>
      <c r="BK38" s="77">
        <v>66.672556999999998</v>
      </c>
      <c r="BL38" s="77">
        <v>80.838538</v>
      </c>
      <c r="BM38" s="77">
        <v>52.034844999999997</v>
      </c>
      <c r="BN38" s="77">
        <v>89.400825999999995</v>
      </c>
      <c r="BO38" s="77">
        <v>51.625433999999998</v>
      </c>
      <c r="BP38" s="77">
        <v>55.916455999999997</v>
      </c>
      <c r="BQ38" s="77">
        <v>46.395249999999997</v>
      </c>
      <c r="BR38" s="77">
        <v>59.607284</v>
      </c>
      <c r="BS38" s="77">
        <v>71.027919999999995</v>
      </c>
      <c r="BT38" s="77">
        <v>44.904206000000002</v>
      </c>
      <c r="BU38" s="77">
        <v>92.027923000000001</v>
      </c>
      <c r="BV38" s="77">
        <v>53.135007999999999</v>
      </c>
      <c r="BW38" s="77">
        <v>60.080818999999998</v>
      </c>
      <c r="BX38" s="77">
        <v>50.153796</v>
      </c>
      <c r="BY38" s="77">
        <v>63.303170999999999</v>
      </c>
      <c r="BZ38" s="77">
        <v>76.070325999999994</v>
      </c>
      <c r="CA38" s="77">
        <v>48.422691999999998</v>
      </c>
      <c r="CB38" s="77">
        <v>97.826240999999996</v>
      </c>
      <c r="CC38" s="77">
        <v>56.460351000000003</v>
      </c>
      <c r="CD38" s="77">
        <v>59.125301</v>
      </c>
      <c r="CE38" s="77">
        <v>48.521630999999999</v>
      </c>
      <c r="CF38" s="77">
        <v>62.978372</v>
      </c>
      <c r="CG38" s="77">
        <v>75.482911999999999</v>
      </c>
      <c r="CH38" s="77">
        <v>48.024769999999997</v>
      </c>
      <c r="CI38" s="77">
        <v>93.84187</v>
      </c>
      <c r="CJ38" s="77">
        <v>54.214575000000004</v>
      </c>
      <c r="CK38" s="77">
        <v>58.742589000000002</v>
      </c>
      <c r="CL38" s="77">
        <v>48.256836</v>
      </c>
      <c r="CM38" s="77">
        <v>62.487507000000001</v>
      </c>
      <c r="CN38" s="77">
        <v>74.951464000000001</v>
      </c>
      <c r="CO38" s="77">
        <v>47.781007000000002</v>
      </c>
      <c r="CP38" s="77">
        <v>92.403419999999997</v>
      </c>
      <c r="CQ38" s="77">
        <v>53.445127999999997</v>
      </c>
      <c r="CR38" s="77">
        <v>57.672018999999999</v>
      </c>
      <c r="CS38" s="77">
        <v>47.510525999999999</v>
      </c>
      <c r="CT38" s="77">
        <v>61.595198000000003</v>
      </c>
      <c r="CU38" s="77">
        <v>73.510473000000005</v>
      </c>
      <c r="CV38" s="77">
        <v>46.496113999999999</v>
      </c>
      <c r="CW38" s="77">
        <v>97.759647000000001</v>
      </c>
      <c r="CX38" s="77">
        <v>56.710037</v>
      </c>
      <c r="CY38" s="77">
        <v>60.761173999999997</v>
      </c>
      <c r="CZ38" s="77">
        <v>49.403185000000001</v>
      </c>
      <c r="DA38" s="77">
        <v>65.160796000000005</v>
      </c>
      <c r="DB38" s="77">
        <v>77.932215999999997</v>
      </c>
      <c r="DC38" s="77">
        <v>49.308791999999997</v>
      </c>
      <c r="DD38" s="77">
        <v>97.854084</v>
      </c>
      <c r="DE38" s="77">
        <v>56.551937000000002</v>
      </c>
      <c r="DF38" s="77">
        <v>61.303448000000003</v>
      </c>
      <c r="DG38" s="77">
        <v>50.617009000000003</v>
      </c>
      <c r="DH38" s="77">
        <v>64.990144000000001</v>
      </c>
      <c r="DI38" s="77">
        <v>78.038983999999999</v>
      </c>
      <c r="DJ38" s="77">
        <v>49.584449999999997</v>
      </c>
      <c r="DK38" s="77">
        <v>87.781852999999998</v>
      </c>
      <c r="DL38" s="77">
        <v>50.688446999999996</v>
      </c>
      <c r="DM38" s="77">
        <v>57.205784999999999</v>
      </c>
      <c r="DN38" s="77">
        <v>47.724390999999997</v>
      </c>
      <c r="DO38" s="77">
        <v>60.549340999999998</v>
      </c>
      <c r="DP38" s="77">
        <v>72.458839999999995</v>
      </c>
      <c r="DQ38" s="77">
        <v>46.019598000000002</v>
      </c>
      <c r="DR38" s="77">
        <v>109.11823699999999</v>
      </c>
      <c r="DS38" s="77">
        <v>62.862295000000003</v>
      </c>
      <c r="DT38" s="77">
        <v>67.577454000000003</v>
      </c>
      <c r="DU38" s="77">
        <v>56.399329000000002</v>
      </c>
      <c r="DV38" s="77">
        <v>71.328117000000006</v>
      </c>
      <c r="DW38" s="77">
        <v>85.621351000000004</v>
      </c>
      <c r="DX38" s="77">
        <v>53.740510999999998</v>
      </c>
      <c r="DY38" s="77">
        <v>98.647640999999993</v>
      </c>
      <c r="DZ38" s="77">
        <v>57.127628000000001</v>
      </c>
      <c r="EA38" s="77">
        <v>60.144317000000001</v>
      </c>
      <c r="EB38" s="77">
        <v>50.131324999999997</v>
      </c>
      <c r="EC38" s="77">
        <v>63.592364000000003</v>
      </c>
      <c r="ED38" s="77">
        <v>76.221780999999993</v>
      </c>
      <c r="EE38" s="77">
        <v>48.291871999999998</v>
      </c>
      <c r="EF38" s="77">
        <v>93.722516999999996</v>
      </c>
      <c r="EG38" s="77">
        <v>54.121853000000002</v>
      </c>
      <c r="EH38" s="77">
        <v>58.720185000000001</v>
      </c>
      <c r="EI38" s="77">
        <v>48.573587000000003</v>
      </c>
      <c r="EJ38" s="77">
        <v>62.350026999999997</v>
      </c>
      <c r="EK38" s="77">
        <v>74.684697999999997</v>
      </c>
      <c r="EL38" s="77">
        <v>47.441268000000001</v>
      </c>
      <c r="EM38" s="77">
        <v>98.300644000000005</v>
      </c>
      <c r="EN38" s="77">
        <v>56.680138999999997</v>
      </c>
      <c r="EO38" s="77">
        <v>61.886980999999999</v>
      </c>
      <c r="EP38" s="77">
        <v>51.611773999999997</v>
      </c>
      <c r="EQ38" s="77">
        <v>65.124476999999999</v>
      </c>
      <c r="ER38" s="77">
        <v>78.393596000000002</v>
      </c>
      <c r="ES38" s="77">
        <v>49.911729999999999</v>
      </c>
      <c r="ET38" s="77">
        <v>98.168206999999995</v>
      </c>
      <c r="EU38" s="77">
        <v>56.810746000000002</v>
      </c>
      <c r="EV38" s="77">
        <v>65.276539</v>
      </c>
      <c r="EW38" s="77">
        <v>54.337744000000001</v>
      </c>
      <c r="EX38" s="77">
        <v>68.545052999999996</v>
      </c>
      <c r="EY38" s="77">
        <v>82.760503</v>
      </c>
      <c r="EZ38" s="77">
        <v>52.716633999999999</v>
      </c>
      <c r="FA38" s="77">
        <v>94.725578999999996</v>
      </c>
      <c r="FB38" s="77">
        <v>54.549722000000003</v>
      </c>
      <c r="FC38" s="77">
        <v>56.086709999999997</v>
      </c>
      <c r="FD38" s="77">
        <v>46.210929</v>
      </c>
      <c r="FE38" s="77">
        <v>59.818644999999997</v>
      </c>
      <c r="FF38" s="77">
        <v>71.469363999999999</v>
      </c>
      <c r="FG38" s="77">
        <v>45.443004999999999</v>
      </c>
      <c r="FH38" s="77">
        <v>98.306340000000006</v>
      </c>
      <c r="FI38" s="77">
        <v>56.736148999999997</v>
      </c>
      <c r="FJ38" s="77">
        <v>67.381253000000001</v>
      </c>
      <c r="FK38" s="77">
        <v>56.091025000000002</v>
      </c>
      <c r="FL38" s="77">
        <v>69.975099999999998</v>
      </c>
      <c r="FM38" s="77">
        <v>85.370613000000006</v>
      </c>
      <c r="FN38" s="77">
        <v>55.255580999999999</v>
      </c>
      <c r="FO38" s="77">
        <v>107.343441</v>
      </c>
      <c r="FP38" s="77">
        <v>61.776017000000003</v>
      </c>
      <c r="FQ38" s="77">
        <v>64.093978000000007</v>
      </c>
      <c r="FR38" s="77">
        <v>52.591284999999999</v>
      </c>
      <c r="FS38" s="77">
        <v>68.225603000000007</v>
      </c>
      <c r="FT38" s="77">
        <v>81.854528999999999</v>
      </c>
      <c r="FU38" s="77">
        <v>51.737724999999998</v>
      </c>
      <c r="FV38" s="77">
        <v>98.765890999999996</v>
      </c>
      <c r="FW38" s="77">
        <v>57.414439999999999</v>
      </c>
      <c r="FX38" s="77">
        <v>62.910558999999999</v>
      </c>
      <c r="FY38" s="77">
        <v>51.585208000000002</v>
      </c>
      <c r="FZ38" s="77">
        <v>66.553314</v>
      </c>
      <c r="GA38" s="77">
        <v>80.325282000000001</v>
      </c>
      <c r="GB38" s="77">
        <v>51.441609</v>
      </c>
      <c r="GC38" s="77">
        <v>99.593655999999996</v>
      </c>
      <c r="GD38" s="77">
        <v>57.266623000000003</v>
      </c>
      <c r="GE38" s="77">
        <v>59.123325000000001</v>
      </c>
      <c r="GF38" s="77">
        <v>49.126376999999998</v>
      </c>
      <c r="GG38" s="77">
        <v>62.483311</v>
      </c>
      <c r="GH38" s="77">
        <v>75.024679000000006</v>
      </c>
      <c r="GI38" s="77">
        <v>47.803472999999997</v>
      </c>
      <c r="GJ38" s="77">
        <v>92.181432999999998</v>
      </c>
      <c r="GK38" s="77">
        <v>53.204774999999998</v>
      </c>
      <c r="GL38" s="77">
        <v>57.780631</v>
      </c>
      <c r="GM38" s="77">
        <v>47.835039999999999</v>
      </c>
      <c r="GN38" s="77">
        <v>61.358767</v>
      </c>
      <c r="GO38" s="77">
        <v>73.458839999999995</v>
      </c>
      <c r="GP38" s="77">
        <v>46.694707000000001</v>
      </c>
      <c r="GQ38" s="77">
        <v>95.849495000000005</v>
      </c>
      <c r="GR38" s="77">
        <v>55.389955999999998</v>
      </c>
      <c r="GS38" s="77">
        <v>66.963823000000005</v>
      </c>
      <c r="GT38" s="77">
        <v>55.847124000000001</v>
      </c>
      <c r="GU38" s="77">
        <v>69.602114999999998</v>
      </c>
      <c r="GV38" s="77">
        <v>84.774445999999998</v>
      </c>
      <c r="GW38" s="77">
        <v>54.720637000000004</v>
      </c>
      <c r="GX38" s="77">
        <v>99.756102999999996</v>
      </c>
      <c r="GY38" s="77">
        <v>57.336154000000001</v>
      </c>
      <c r="GZ38" s="77">
        <v>56.797767999999998</v>
      </c>
      <c r="HA38" s="77">
        <v>46.457172</v>
      </c>
      <c r="HB38" s="77">
        <v>60.554220000000001</v>
      </c>
      <c r="HC38" s="77">
        <v>72.608755000000002</v>
      </c>
      <c r="HD38" s="77">
        <v>46.463028000000001</v>
      </c>
      <c r="HE38" s="77">
        <v>98.450290999999993</v>
      </c>
      <c r="HF38" s="77">
        <v>56.908701999999998</v>
      </c>
      <c r="HG38" s="77">
        <v>64.782624999999996</v>
      </c>
      <c r="HH38" s="77">
        <v>53.591802999999999</v>
      </c>
      <c r="HI38" s="77">
        <v>68.032533999999998</v>
      </c>
      <c r="HJ38" s="77">
        <v>82.360372999999996</v>
      </c>
      <c r="HK38" s="77">
        <v>52.812466000000001</v>
      </c>
      <c r="HL38" s="77">
        <v>94.637495000000001</v>
      </c>
      <c r="HM38" s="77">
        <v>54.588225999999999</v>
      </c>
      <c r="HN38" s="77">
        <v>56.601737</v>
      </c>
      <c r="HO38" s="77">
        <v>46.579666000000003</v>
      </c>
      <c r="HP38" s="77">
        <v>60.48386</v>
      </c>
      <c r="HQ38" s="77">
        <v>72.176554999999993</v>
      </c>
      <c r="HR38" s="77">
        <v>45.747936000000003</v>
      </c>
      <c r="HS38" s="77">
        <v>96.009015000000005</v>
      </c>
      <c r="HT38" s="77">
        <v>55.349200000000003</v>
      </c>
      <c r="HU38" s="77">
        <v>64.423438000000004</v>
      </c>
      <c r="HV38" s="77">
        <v>53.787260000000003</v>
      </c>
      <c r="HW38" s="77">
        <v>67.636138000000003</v>
      </c>
      <c r="HX38" s="77">
        <v>81.564943</v>
      </c>
      <c r="HY38" s="77">
        <v>51.882491000000002</v>
      </c>
      <c r="HZ38" s="77">
        <v>107.61129099999999</v>
      </c>
      <c r="IA38" s="77">
        <v>62.110148000000002</v>
      </c>
      <c r="IB38" s="77">
        <v>65.945126000000002</v>
      </c>
      <c r="IC38" s="77">
        <v>54.131245</v>
      </c>
      <c r="ID38" s="77">
        <v>69.410438999999997</v>
      </c>
      <c r="IE38" s="77">
        <v>84.145143000000004</v>
      </c>
      <c r="IF38" s="77">
        <v>54.066189999999999</v>
      </c>
      <c r="IG38" s="77">
        <v>108.17537299999999</v>
      </c>
      <c r="IH38" s="77">
        <v>62.560811999999999</v>
      </c>
      <c r="II38" s="77">
        <v>67.730140000000006</v>
      </c>
      <c r="IJ38" s="77">
        <v>55.472144999999998</v>
      </c>
      <c r="IK38" s="77">
        <v>71.414545000000004</v>
      </c>
      <c r="IL38" s="77">
        <v>86.527013999999994</v>
      </c>
      <c r="IM38" s="77">
        <v>55.417934000000002</v>
      </c>
      <c r="IN38" s="77">
        <v>101.904625</v>
      </c>
      <c r="IO38" s="77">
        <v>58.920180000000002</v>
      </c>
      <c r="IP38" s="77">
        <v>61.679369000000001</v>
      </c>
      <c r="IQ38" s="77">
        <v>50.445849000000003</v>
      </c>
      <c r="IR38" s="77">
        <v>65.356446000000005</v>
      </c>
      <c r="IS38" s="77">
        <v>78.844545999999994</v>
      </c>
      <c r="IT38" s="77">
        <v>50.572890999999998</v>
      </c>
      <c r="IU38" s="77">
        <v>105.558865</v>
      </c>
      <c r="IV38" s="77">
        <v>60.782992</v>
      </c>
      <c r="IW38" s="77">
        <v>71.253809000000004</v>
      </c>
      <c r="IX38" s="77">
        <v>59.309660999999998</v>
      </c>
      <c r="IY38" s="77">
        <v>74.147255000000001</v>
      </c>
      <c r="IZ38" s="77">
        <v>90.311852000000002</v>
      </c>
      <c r="JA38" s="77">
        <v>57.979247999999998</v>
      </c>
      <c r="JB38" s="77">
        <v>108.850358</v>
      </c>
      <c r="JC38" s="77">
        <v>62.945521999999997</v>
      </c>
      <c r="JD38" s="77">
        <v>64.034854999999993</v>
      </c>
      <c r="JE38" s="77">
        <v>52.691541999999998</v>
      </c>
      <c r="JF38" s="77">
        <v>67.533912000000001</v>
      </c>
      <c r="JG38" s="77">
        <v>81.622729000000007</v>
      </c>
      <c r="JH38" s="77">
        <v>52.285494</v>
      </c>
      <c r="JI38" s="77">
        <v>95.371182000000005</v>
      </c>
      <c r="JJ38" s="77">
        <v>55.087704000000002</v>
      </c>
      <c r="JK38" s="77">
        <v>59.759222000000001</v>
      </c>
      <c r="JL38" s="77">
        <v>49.313873000000001</v>
      </c>
      <c r="JM38" s="77">
        <v>63.413429000000001</v>
      </c>
      <c r="JN38" s="77">
        <v>76.089547999999994</v>
      </c>
      <c r="JO38" s="77">
        <v>48.415304999999996</v>
      </c>
      <c r="JP38" s="77">
        <v>105.66411600000001</v>
      </c>
      <c r="JQ38" s="77">
        <v>61.217871000000002</v>
      </c>
      <c r="JR38" s="77">
        <v>66.023737999999994</v>
      </c>
      <c r="JS38" s="77">
        <v>54.232815000000002</v>
      </c>
      <c r="JT38" s="77">
        <v>70.037548000000001</v>
      </c>
      <c r="JU38" s="77">
        <v>84.267973999999995</v>
      </c>
      <c r="JV38" s="77">
        <v>53.381816999999998</v>
      </c>
      <c r="JW38" s="77">
        <v>78.277141</v>
      </c>
      <c r="JX38" s="77">
        <v>84.653996000000006</v>
      </c>
      <c r="JY38" s="77">
        <v>54.993614000000001</v>
      </c>
      <c r="JZ38" s="77">
        <v>49.744391</v>
      </c>
      <c r="KA38" s="77">
        <v>55.781548000000001</v>
      </c>
      <c r="KB38" s="77">
        <v>78.277071000000007</v>
      </c>
      <c r="KC38" s="77">
        <v>78.277068</v>
      </c>
      <c r="KD38" s="77">
        <v>63.887124</v>
      </c>
      <c r="KE38" s="77">
        <v>63.887107999999998</v>
      </c>
      <c r="KF38" s="77">
        <v>68.012148999999994</v>
      </c>
      <c r="KG38" s="77">
        <v>68.012129000000002</v>
      </c>
      <c r="KH38" s="77">
        <v>68.012119999999996</v>
      </c>
      <c r="KI38" s="77">
        <v>68.012108999999995</v>
      </c>
      <c r="KJ38" s="77">
        <v>68.012092999999993</v>
      </c>
      <c r="KK38" s="77">
        <v>72.231589999999997</v>
      </c>
      <c r="KL38" s="77">
        <v>72.231571000000002</v>
      </c>
      <c r="KM38" s="77">
        <v>67.278811000000005</v>
      </c>
      <c r="KN38" s="77">
        <v>67.278792999999993</v>
      </c>
      <c r="KO38" s="77">
        <v>67.278779999999998</v>
      </c>
      <c r="KP38" s="77">
        <v>67.278768999999997</v>
      </c>
      <c r="KQ38" s="77">
        <v>67.278758999999994</v>
      </c>
      <c r="KR38" s="77">
        <v>66.503908999999993</v>
      </c>
      <c r="KS38" s="77">
        <v>66.503895999999997</v>
      </c>
      <c r="KT38" s="77">
        <v>70.995823999999999</v>
      </c>
      <c r="KU38" s="77">
        <v>70.995807999999997</v>
      </c>
      <c r="KV38" s="77">
        <v>70.995790999999997</v>
      </c>
      <c r="KW38" s="77">
        <v>70.995777000000004</v>
      </c>
      <c r="KX38" s="77">
        <v>70.995761999999999</v>
      </c>
      <c r="KY38" s="77">
        <v>65.205439999999996</v>
      </c>
      <c r="KZ38" s="77">
        <v>65.205421999999999</v>
      </c>
      <c r="LA38" s="77">
        <v>61.123249000000001</v>
      </c>
      <c r="LB38" s="77">
        <v>61.123232000000002</v>
      </c>
      <c r="LC38" s="77">
        <v>61.123221000000001</v>
      </c>
      <c r="LD38" s="77">
        <v>61.123210999999998</v>
      </c>
      <c r="LE38" s="77">
        <v>61.123196</v>
      </c>
      <c r="LF38" s="77">
        <v>63.939186999999997</v>
      </c>
      <c r="LG38" s="77">
        <v>63.939166999999998</v>
      </c>
      <c r="LH38" s="77">
        <v>63.939149</v>
      </c>
      <c r="LI38" s="77">
        <v>63.939132999999998</v>
      </c>
      <c r="LJ38" s="77">
        <v>63.939124</v>
      </c>
      <c r="LK38" s="77">
        <v>63.939112999999999</v>
      </c>
      <c r="LL38" s="77">
        <v>63.939103000000003</v>
      </c>
      <c r="LM38" s="77">
        <v>59.074114000000002</v>
      </c>
      <c r="LN38" s="77">
        <v>59.074103000000001</v>
      </c>
      <c r="LO38" s="77">
        <v>62.817453999999998</v>
      </c>
      <c r="LP38" s="77">
        <v>62.817442</v>
      </c>
      <c r="LQ38" s="77">
        <v>62.817430999999999</v>
      </c>
      <c r="LR38" s="77">
        <v>62.817418000000004</v>
      </c>
      <c r="LS38" s="77">
        <v>62.817404000000003</v>
      </c>
      <c r="LT38" s="77">
        <v>63.471896999999998</v>
      </c>
      <c r="LU38" s="77">
        <v>63.471884000000003</v>
      </c>
      <c r="LV38" s="77">
        <v>59.740088999999998</v>
      </c>
      <c r="LW38" s="77">
        <v>59.740074</v>
      </c>
      <c r="LX38" s="77">
        <v>59.740065000000001</v>
      </c>
      <c r="LY38" s="77">
        <v>59.740053000000003</v>
      </c>
      <c r="LZ38" s="77">
        <v>59.740043</v>
      </c>
      <c r="MA38" s="77">
        <v>62.071764999999999</v>
      </c>
      <c r="MB38" s="77">
        <v>62.071750000000002</v>
      </c>
      <c r="MC38" s="77">
        <v>62.071728</v>
      </c>
      <c r="MD38" s="77">
        <v>62.071708999999998</v>
      </c>
      <c r="ME38" s="77">
        <v>62.071697</v>
      </c>
      <c r="MF38" s="77">
        <v>62.071688999999999</v>
      </c>
      <c r="MG38" s="77">
        <v>62.071677000000001</v>
      </c>
      <c r="MH38" s="77">
        <v>58.807423999999997</v>
      </c>
      <c r="MI38" s="77">
        <v>58.807409999999997</v>
      </c>
      <c r="MJ38" s="77">
        <v>62.784458999999998</v>
      </c>
      <c r="MK38" s="77">
        <v>62.784441000000001</v>
      </c>
      <c r="ML38" s="77">
        <v>62.784430999999998</v>
      </c>
      <c r="MM38" s="77">
        <v>62.784418000000002</v>
      </c>
      <c r="MN38" s="77">
        <v>62.784405999999997</v>
      </c>
      <c r="MO38" s="77">
        <v>71.292783999999997</v>
      </c>
      <c r="MP38" s="77">
        <v>71.292767999999995</v>
      </c>
      <c r="MQ38" s="77">
        <v>65.746140999999994</v>
      </c>
      <c r="MR38" s="77">
        <v>65.746127000000001</v>
      </c>
      <c r="MS38" s="77">
        <v>65.746116000000001</v>
      </c>
      <c r="MT38" s="77">
        <v>65.746105</v>
      </c>
      <c r="MU38" s="77">
        <v>65.746091000000007</v>
      </c>
      <c r="MV38" s="77">
        <v>61.197397000000002</v>
      </c>
      <c r="MW38" s="77">
        <v>61.197380000000003</v>
      </c>
      <c r="MX38" s="77">
        <v>61.197367999999997</v>
      </c>
      <c r="MY38" s="77">
        <v>61.197352000000002</v>
      </c>
      <c r="MZ38" s="77">
        <v>61.197338999999999</v>
      </c>
      <c r="NA38" s="77">
        <v>61.197330000000001</v>
      </c>
      <c r="NB38" s="77">
        <v>61.197319</v>
      </c>
      <c r="NC38" s="77">
        <v>65.136599000000004</v>
      </c>
      <c r="ND38" s="77">
        <v>65.136584999999997</v>
      </c>
      <c r="NE38" s="77">
        <v>68.115714999999994</v>
      </c>
      <c r="NF38" s="77">
        <v>68.115700000000004</v>
      </c>
      <c r="NG38" s="77">
        <v>68.115688000000006</v>
      </c>
      <c r="NH38" s="77">
        <v>68.115673999999999</v>
      </c>
      <c r="NI38" s="77">
        <v>68.115662</v>
      </c>
      <c r="NJ38" s="77">
        <v>62.633246999999997</v>
      </c>
      <c r="NK38" s="77">
        <v>62.633226999999998</v>
      </c>
      <c r="NL38" s="77">
        <v>59.776491</v>
      </c>
      <c r="NM38" s="77">
        <v>59.776476000000002</v>
      </c>
      <c r="NN38" s="77">
        <v>59.776465000000002</v>
      </c>
      <c r="NO38" s="77">
        <v>59.776456000000003</v>
      </c>
      <c r="NP38" s="77">
        <v>59.776446</v>
      </c>
      <c r="NQ38" s="77">
        <v>62.158287999999999</v>
      </c>
      <c r="NR38" s="77">
        <v>62.158270000000002</v>
      </c>
      <c r="NS38" s="77">
        <v>62.158244000000003</v>
      </c>
      <c r="NT38" s="77">
        <v>62.158226999999997</v>
      </c>
      <c r="NU38" s="77">
        <v>62.158216000000003</v>
      </c>
      <c r="NV38" s="77">
        <v>62.158205000000002</v>
      </c>
      <c r="NW38" s="77">
        <v>62.158192999999997</v>
      </c>
      <c r="NX38" s="77">
        <v>63.998538000000003</v>
      </c>
      <c r="NY38" s="77">
        <v>63.998519999999999</v>
      </c>
      <c r="NZ38" s="77">
        <v>67.794138000000004</v>
      </c>
      <c r="OA38" s="77">
        <v>67.794120000000007</v>
      </c>
      <c r="OB38" s="77">
        <v>67.794109000000006</v>
      </c>
      <c r="OC38" s="77">
        <v>67.794098000000005</v>
      </c>
      <c r="OD38" s="77">
        <v>67.794084999999995</v>
      </c>
      <c r="OE38" s="77">
        <v>69.562707000000003</v>
      </c>
      <c r="OF38" s="77">
        <v>69.562687999999994</v>
      </c>
      <c r="OG38" s="77">
        <v>65.826927999999995</v>
      </c>
      <c r="OH38" s="77">
        <v>65.826908000000003</v>
      </c>
      <c r="OI38" s="77">
        <v>65.826897000000002</v>
      </c>
      <c r="OJ38" s="77">
        <v>65.826886000000002</v>
      </c>
      <c r="OK38" s="77">
        <v>65.826874000000004</v>
      </c>
      <c r="OL38" s="77">
        <v>68.804524000000001</v>
      </c>
      <c r="OM38" s="77">
        <v>68.804507000000001</v>
      </c>
      <c r="ON38" s="77">
        <v>68.804494000000005</v>
      </c>
      <c r="OO38" s="77">
        <v>68.804477000000006</v>
      </c>
      <c r="OP38" s="77">
        <v>68.804467000000002</v>
      </c>
      <c r="OQ38" s="77">
        <v>68.804454000000007</v>
      </c>
      <c r="OR38" s="77">
        <v>68.804440999999997</v>
      </c>
      <c r="OS38" s="77">
        <v>65.976381000000003</v>
      </c>
      <c r="OT38" s="77">
        <v>65.976367999999994</v>
      </c>
      <c r="OU38" s="77">
        <v>69.815047000000007</v>
      </c>
      <c r="OV38" s="77">
        <v>69.815032000000002</v>
      </c>
      <c r="OW38" s="77">
        <v>69.815020000000004</v>
      </c>
      <c r="OX38" s="77">
        <v>69.815009000000003</v>
      </c>
      <c r="OY38" s="77">
        <v>69.814993999999999</v>
      </c>
      <c r="OZ38" s="77">
        <v>61.603225999999999</v>
      </c>
      <c r="PA38" s="77">
        <v>61.603211000000002</v>
      </c>
      <c r="PB38" s="77">
        <v>58.584890000000001</v>
      </c>
      <c r="PC38" s="77">
        <v>58.584874999999997</v>
      </c>
      <c r="PD38" s="77">
        <v>58.584865000000001</v>
      </c>
      <c r="PE38" s="77">
        <v>58.584856000000002</v>
      </c>
      <c r="PF38" s="77">
        <v>58.584848999999998</v>
      </c>
      <c r="PG38" s="77">
        <v>67.861953</v>
      </c>
      <c r="PH38" s="77">
        <v>67.861939000000007</v>
      </c>
      <c r="PI38" s="77">
        <v>67.861919</v>
      </c>
      <c r="PJ38" s="77">
        <v>67.861901000000003</v>
      </c>
      <c r="PK38" s="77">
        <v>67.861887999999993</v>
      </c>
      <c r="PL38" s="77">
        <v>67.861877000000007</v>
      </c>
      <c r="PM38" s="77">
        <v>67.861864999999995</v>
      </c>
      <c r="PN38" s="77">
        <v>59.839651000000003</v>
      </c>
      <c r="PO38" s="77">
        <v>59.839630999999997</v>
      </c>
      <c r="PP38" s="77">
        <v>64.204078999999993</v>
      </c>
      <c r="PQ38" s="77">
        <v>64.204063000000005</v>
      </c>
      <c r="PR38" s="77">
        <v>64.204052000000004</v>
      </c>
      <c r="PS38" s="77">
        <v>64.204038999999995</v>
      </c>
      <c r="PT38" s="77">
        <v>64.204025000000001</v>
      </c>
      <c r="PU38" s="77">
        <v>66.176388000000003</v>
      </c>
      <c r="PV38" s="77">
        <v>66.176370000000006</v>
      </c>
      <c r="PW38" s="77">
        <v>61.634990000000002</v>
      </c>
      <c r="PX38" s="77">
        <v>61.634973000000002</v>
      </c>
      <c r="PY38" s="77">
        <v>61.634960999999997</v>
      </c>
      <c r="PZ38" s="77">
        <v>61.634951999999998</v>
      </c>
      <c r="QA38" s="77">
        <v>61.634942000000002</v>
      </c>
      <c r="QB38" s="77">
        <v>63.340598</v>
      </c>
      <c r="QC38" s="77">
        <v>63.340583000000002</v>
      </c>
      <c r="QD38" s="77">
        <v>63.340560000000004</v>
      </c>
      <c r="QE38" s="77">
        <v>63.340547999999998</v>
      </c>
      <c r="QF38" s="77">
        <v>63.340538000000002</v>
      </c>
      <c r="QG38" s="77">
        <v>63.340525999999997</v>
      </c>
      <c r="QH38" s="77">
        <v>63.340519999999998</v>
      </c>
      <c r="QI38" s="77">
        <v>62.896579000000003</v>
      </c>
      <c r="QJ38" s="77">
        <v>62.896563</v>
      </c>
      <c r="QK38" s="77">
        <v>62.896541999999997</v>
      </c>
      <c r="QL38" s="77">
        <v>62.896526999999999</v>
      </c>
      <c r="QM38" s="77">
        <v>62.896515000000001</v>
      </c>
      <c r="QN38" s="77">
        <v>62.896503000000003</v>
      </c>
      <c r="QO38" s="77">
        <v>62.896493</v>
      </c>
      <c r="QP38" s="77">
        <v>61.804729999999999</v>
      </c>
      <c r="QQ38" s="77">
        <v>61.804715999999999</v>
      </c>
      <c r="QR38" s="77">
        <v>61.804696999999997</v>
      </c>
      <c r="QS38" s="77">
        <v>61.804682</v>
      </c>
    </row>
    <row r="39" spans="6:461" x14ac:dyDescent="0.25">
      <c r="F39" s="76" t="str">
        <f xml:space="preserve"> _xll.EPMOlapMemberO("[PRDDESCR].[].[WONDER GFREE WHOLEM 500G]","","WONDER GFREE WHOLEM 500G","","000")</f>
        <v>WONDER GFREE WHOLEM 500G</v>
      </c>
      <c r="G39" s="76" t="str">
        <f xml:space="preserve"> _xll.EPMOlapMemberO("[PRDID].[].[179650]","","179650","","000")</f>
        <v>179650</v>
      </c>
      <c r="H39" s="76" t="str">
        <f xml:space="preserve"> _xll.EPMOlapMemberO("[LOCID].[].[6104]","","6104","","000")</f>
        <v>6104</v>
      </c>
      <c r="I39" s="76" t="str">
        <f xml:space="preserve"> _xll.EPMOlapMemberO("[LOCDESCR].[].[QBA-Moorebank]","","QBA-Moorebank","","000")</f>
        <v>QBA-Moorebank</v>
      </c>
      <c r="J39" s="76" t="str">
        <f xml:space="preserve"> _xll.EPMOlapMemberO("[KEY_FIGURES].[].[ZGFAPPROVEDFCSTQTY]","","Approved Forecast","","000")</f>
        <v>Approved Forecast</v>
      </c>
      <c r="K39" s="77">
        <v>200.03478799999999</v>
      </c>
      <c r="L39" s="77">
        <v>328.89245199999999</v>
      </c>
      <c r="M39" s="77">
        <v>250.65947199999999</v>
      </c>
      <c r="N39" s="77">
        <v>381.11886900000002</v>
      </c>
      <c r="O39" s="77">
        <v>200.201863</v>
      </c>
      <c r="P39" s="77">
        <v>214.907388</v>
      </c>
      <c r="Q39" s="77">
        <v>511.59008299999999</v>
      </c>
      <c r="R39" s="77">
        <v>203.820965</v>
      </c>
      <c r="S39" s="77">
        <v>307.11367899999999</v>
      </c>
      <c r="T39" s="77">
        <v>244.42349300000001</v>
      </c>
      <c r="U39" s="77">
        <v>373.04416600000002</v>
      </c>
      <c r="V39" s="77">
        <v>189.54710800000001</v>
      </c>
      <c r="W39" s="77">
        <v>196.16061199999999</v>
      </c>
      <c r="X39" s="77">
        <v>478.49973799999998</v>
      </c>
      <c r="Y39" s="77">
        <v>203.149002</v>
      </c>
      <c r="Z39" s="77">
        <v>323.881168</v>
      </c>
      <c r="AA39" s="77">
        <v>254.43006099999999</v>
      </c>
      <c r="AB39" s="77">
        <v>365.45565800000003</v>
      </c>
      <c r="AC39" s="77">
        <v>188.29852700000001</v>
      </c>
      <c r="AD39" s="77">
        <v>191.29987800000001</v>
      </c>
      <c r="AE39" s="77"/>
      <c r="AF39" s="77"/>
      <c r="AG39" s="77"/>
      <c r="AH39" s="77"/>
      <c r="AI39" s="77"/>
      <c r="AJ39" s="77"/>
      <c r="AK39" s="77"/>
      <c r="AL39" s="77">
        <v>537.35470399999997</v>
      </c>
      <c r="AM39" s="77">
        <v>227.50160099999999</v>
      </c>
      <c r="AN39" s="77">
        <v>345.59676000000002</v>
      </c>
      <c r="AO39" s="77">
        <v>271.08396599999998</v>
      </c>
      <c r="AP39" s="77">
        <v>390.75623400000001</v>
      </c>
      <c r="AQ39" s="77">
        <v>200.42307700000001</v>
      </c>
      <c r="AR39" s="77">
        <v>203.907601</v>
      </c>
      <c r="AS39" s="77">
        <v>495.30989699999998</v>
      </c>
      <c r="AT39" s="77">
        <v>209.26704699999999</v>
      </c>
      <c r="AU39" s="77">
        <v>335.80772999999999</v>
      </c>
      <c r="AV39" s="77">
        <v>262.144454</v>
      </c>
      <c r="AW39" s="77">
        <v>379.00109200000003</v>
      </c>
      <c r="AX39" s="77">
        <v>194.35541000000001</v>
      </c>
      <c r="AY39" s="77">
        <v>198.13244800000001</v>
      </c>
      <c r="AZ39" s="77">
        <v>498.492638</v>
      </c>
      <c r="BA39" s="77">
        <v>211.81082699999999</v>
      </c>
      <c r="BB39" s="77">
        <v>361.55046399999998</v>
      </c>
      <c r="BC39" s="77">
        <v>282.75280900000001</v>
      </c>
      <c r="BD39" s="77">
        <v>405.60929299999998</v>
      </c>
      <c r="BE39" s="77">
        <v>210.31433999999999</v>
      </c>
      <c r="BF39" s="77">
        <v>213.84650199999999</v>
      </c>
      <c r="BG39" s="77">
        <v>533.05533400000002</v>
      </c>
      <c r="BH39" s="77">
        <v>226.33480700000001</v>
      </c>
      <c r="BI39" s="77">
        <v>341.45895999999999</v>
      </c>
      <c r="BJ39" s="77">
        <v>267.32565199999999</v>
      </c>
      <c r="BK39" s="77">
        <v>384.054554</v>
      </c>
      <c r="BL39" s="77">
        <v>198.45730599999999</v>
      </c>
      <c r="BM39" s="77">
        <v>201.81219200000001</v>
      </c>
      <c r="BN39" s="77">
        <v>470.74436700000001</v>
      </c>
      <c r="BO39" s="77">
        <v>199.820052</v>
      </c>
      <c r="BP39" s="77">
        <v>316.73623300000003</v>
      </c>
      <c r="BQ39" s="77">
        <v>249.61641</v>
      </c>
      <c r="BR39" s="77">
        <v>358.52631600000001</v>
      </c>
      <c r="BS39" s="77">
        <v>184.17049800000001</v>
      </c>
      <c r="BT39" s="77">
        <v>186.95009899999999</v>
      </c>
      <c r="BU39" s="77">
        <v>504.11443400000002</v>
      </c>
      <c r="BV39" s="77">
        <v>214.98676599999999</v>
      </c>
      <c r="BW39" s="77">
        <v>357.33042499999999</v>
      </c>
      <c r="BX39" s="77">
        <v>281.78374200000002</v>
      </c>
      <c r="BY39" s="77">
        <v>402.09020600000002</v>
      </c>
      <c r="BZ39" s="77">
        <v>208.62477699999999</v>
      </c>
      <c r="CA39" s="77">
        <v>211.37456</v>
      </c>
      <c r="CB39" s="77">
        <v>556.73187600000006</v>
      </c>
      <c r="CC39" s="77">
        <v>236.10010700000001</v>
      </c>
      <c r="CD39" s="77">
        <v>357.60336899999999</v>
      </c>
      <c r="CE39" s="77">
        <v>282.67251499999998</v>
      </c>
      <c r="CF39" s="77">
        <v>406.06899800000002</v>
      </c>
      <c r="CG39" s="77">
        <v>207.87539100000001</v>
      </c>
      <c r="CH39" s="77">
        <v>210.883906</v>
      </c>
      <c r="CI39" s="77">
        <v>496.33488</v>
      </c>
      <c r="CJ39" s="77">
        <v>210.84282999999999</v>
      </c>
      <c r="CK39" s="77">
        <v>325.20633900000001</v>
      </c>
      <c r="CL39" s="77">
        <v>260.63205099999999</v>
      </c>
      <c r="CM39" s="77">
        <v>373.106672</v>
      </c>
      <c r="CN39" s="77">
        <v>189.57421600000001</v>
      </c>
      <c r="CO39" s="77">
        <v>191.44243299999999</v>
      </c>
      <c r="CP39" s="77">
        <v>482.87672099999997</v>
      </c>
      <c r="CQ39" s="77">
        <v>205.43177299999999</v>
      </c>
      <c r="CR39" s="77">
        <v>322.40042999999997</v>
      </c>
      <c r="CS39" s="77">
        <v>255.92421899999999</v>
      </c>
      <c r="CT39" s="77">
        <v>366.17430999999999</v>
      </c>
      <c r="CU39" s="77">
        <v>187.96542099999999</v>
      </c>
      <c r="CV39" s="77">
        <v>190.251778</v>
      </c>
      <c r="CW39" s="77">
        <v>500.56501400000002</v>
      </c>
      <c r="CX39" s="77">
        <v>213.06973099999999</v>
      </c>
      <c r="CY39" s="77">
        <v>333.624416</v>
      </c>
      <c r="CZ39" s="77">
        <v>265.31481200000002</v>
      </c>
      <c r="DA39" s="77">
        <v>379.18275399999999</v>
      </c>
      <c r="DB39" s="77">
        <v>194.64922899999999</v>
      </c>
      <c r="DC39" s="77">
        <v>196.86969099999999</v>
      </c>
      <c r="DD39" s="77">
        <v>513.88325399999997</v>
      </c>
      <c r="DE39" s="77">
        <v>218.00106299999999</v>
      </c>
      <c r="DF39" s="77">
        <v>351.34332000000001</v>
      </c>
      <c r="DG39" s="77">
        <v>274.24105600000001</v>
      </c>
      <c r="DH39" s="77">
        <v>394.404383</v>
      </c>
      <c r="DI39" s="77">
        <v>204.037307</v>
      </c>
      <c r="DJ39" s="77">
        <v>207.70706799999999</v>
      </c>
      <c r="DK39" s="77">
        <v>512.27667299999996</v>
      </c>
      <c r="DL39" s="77">
        <v>218.425477</v>
      </c>
      <c r="DM39" s="77">
        <v>368.24887699999999</v>
      </c>
      <c r="DN39" s="77">
        <v>288.46587899999997</v>
      </c>
      <c r="DO39" s="77">
        <v>412.01440500000001</v>
      </c>
      <c r="DP39" s="77">
        <v>214.819537</v>
      </c>
      <c r="DQ39" s="77">
        <v>218.077507</v>
      </c>
      <c r="DR39" s="77">
        <v>521.595731</v>
      </c>
      <c r="DS39" s="77">
        <v>221.74311299999999</v>
      </c>
      <c r="DT39" s="77">
        <v>341.83528699999999</v>
      </c>
      <c r="DU39" s="77">
        <v>275.47284000000002</v>
      </c>
      <c r="DV39" s="77">
        <v>389.60997600000002</v>
      </c>
      <c r="DW39" s="77">
        <v>200.885426</v>
      </c>
      <c r="DX39" s="77">
        <v>201.90111300000001</v>
      </c>
      <c r="DY39" s="77">
        <v>518.39767600000005</v>
      </c>
      <c r="DZ39" s="77">
        <v>221.20763400000001</v>
      </c>
      <c r="EA39" s="77">
        <v>339.25974000000002</v>
      </c>
      <c r="EB39" s="77">
        <v>265.25780600000002</v>
      </c>
      <c r="EC39" s="77">
        <v>382.60653400000001</v>
      </c>
      <c r="ED39" s="77">
        <v>196.658659</v>
      </c>
      <c r="EE39" s="77">
        <v>200.27162300000001</v>
      </c>
      <c r="EF39" s="77">
        <v>467.92400500000002</v>
      </c>
      <c r="EG39" s="77">
        <v>198.85752600000001</v>
      </c>
      <c r="EH39" s="77">
        <v>312.98755699999998</v>
      </c>
      <c r="EI39" s="77">
        <v>247.843671</v>
      </c>
      <c r="EJ39" s="77">
        <v>355.26936599999999</v>
      </c>
      <c r="EK39" s="77">
        <v>182.25499600000001</v>
      </c>
      <c r="EL39" s="77">
        <v>184.67757499999999</v>
      </c>
      <c r="EM39" s="77">
        <v>510.43055800000002</v>
      </c>
      <c r="EN39" s="77">
        <v>216.06357</v>
      </c>
      <c r="EO39" s="77">
        <v>347.88370800000001</v>
      </c>
      <c r="EP39" s="77">
        <v>271.35995800000001</v>
      </c>
      <c r="EQ39" s="77">
        <v>391.36428899999999</v>
      </c>
      <c r="ER39" s="77">
        <v>201.65495000000001</v>
      </c>
      <c r="ES39" s="77">
        <v>205.47690299999999</v>
      </c>
      <c r="ET39" s="77">
        <v>475.01777800000002</v>
      </c>
      <c r="EU39" s="77">
        <v>201.65836999999999</v>
      </c>
      <c r="EV39" s="77">
        <v>345.12396799999999</v>
      </c>
      <c r="EW39" s="77">
        <v>270.231921</v>
      </c>
      <c r="EX39" s="77">
        <v>388.08689099999998</v>
      </c>
      <c r="EY39" s="77">
        <v>200.63227699999999</v>
      </c>
      <c r="EZ39" s="77">
        <v>203.99776</v>
      </c>
      <c r="FA39" s="77">
        <v>499.421109</v>
      </c>
      <c r="FB39" s="77">
        <v>212.13062400000001</v>
      </c>
      <c r="FC39" s="77">
        <v>311.60923000000003</v>
      </c>
      <c r="FD39" s="77">
        <v>247.65333100000001</v>
      </c>
      <c r="FE39" s="77">
        <v>355.14570300000003</v>
      </c>
      <c r="FF39" s="77">
        <v>181.41792699999999</v>
      </c>
      <c r="FG39" s="77">
        <v>183.68085300000001</v>
      </c>
      <c r="FH39" s="77">
        <v>512.90697699999998</v>
      </c>
      <c r="FI39" s="77">
        <v>216.457019</v>
      </c>
      <c r="FJ39" s="77">
        <v>376.38155</v>
      </c>
      <c r="FK39" s="77">
        <v>293.84916099999998</v>
      </c>
      <c r="FL39" s="77">
        <v>424.74721299999999</v>
      </c>
      <c r="FM39" s="77">
        <v>217.823938</v>
      </c>
      <c r="FN39" s="77">
        <v>222.05772099999999</v>
      </c>
      <c r="FO39" s="77">
        <v>532.73434599999996</v>
      </c>
      <c r="FP39" s="77">
        <v>223.97322600000001</v>
      </c>
      <c r="FQ39" s="77">
        <v>333.64418000000001</v>
      </c>
      <c r="FR39" s="77">
        <v>269.54673700000001</v>
      </c>
      <c r="FS39" s="77">
        <v>385.61032399999999</v>
      </c>
      <c r="FT39" s="77">
        <v>194.60760300000001</v>
      </c>
      <c r="FU39" s="77">
        <v>196.086738</v>
      </c>
      <c r="FV39" s="77">
        <v>518.513192</v>
      </c>
      <c r="FW39" s="77">
        <v>221.256461</v>
      </c>
      <c r="FX39" s="77">
        <v>364.11737900000003</v>
      </c>
      <c r="FY39" s="77">
        <v>281.65210500000001</v>
      </c>
      <c r="FZ39" s="77">
        <v>407.38765899999999</v>
      </c>
      <c r="GA39" s="77">
        <v>210.614306</v>
      </c>
      <c r="GB39" s="77">
        <v>215.231797</v>
      </c>
      <c r="GC39" s="77">
        <v>539.29183599999999</v>
      </c>
      <c r="GD39" s="77">
        <v>228.25339700000001</v>
      </c>
      <c r="GE39" s="77">
        <v>341.94628699999998</v>
      </c>
      <c r="GF39" s="77">
        <v>268.03140100000002</v>
      </c>
      <c r="GG39" s="77">
        <v>386.61329899999998</v>
      </c>
      <c r="GH39" s="77">
        <v>198.220079</v>
      </c>
      <c r="GI39" s="77">
        <v>201.73787899999999</v>
      </c>
      <c r="GJ39" s="77">
        <v>509.19253300000003</v>
      </c>
      <c r="GK39" s="77">
        <v>214.76357999999999</v>
      </c>
      <c r="GL39" s="77">
        <v>345.11896999999999</v>
      </c>
      <c r="GM39" s="77">
        <v>268.97069699999997</v>
      </c>
      <c r="GN39" s="77">
        <v>389.70100400000001</v>
      </c>
      <c r="GO39" s="77">
        <v>199.446214</v>
      </c>
      <c r="GP39" s="77">
        <v>203.532409</v>
      </c>
      <c r="GQ39" s="77">
        <v>476.950356</v>
      </c>
      <c r="GR39" s="77">
        <v>202.328115</v>
      </c>
      <c r="GS39" s="77">
        <v>361.62060000000002</v>
      </c>
      <c r="GT39" s="77">
        <v>283.04287599999998</v>
      </c>
      <c r="GU39" s="77">
        <v>406.652286</v>
      </c>
      <c r="GV39" s="77">
        <v>210.14581100000001</v>
      </c>
      <c r="GW39" s="77">
        <v>213.72327200000001</v>
      </c>
      <c r="GX39" s="77">
        <v>512.997525</v>
      </c>
      <c r="GY39" s="77">
        <v>216.752287</v>
      </c>
      <c r="GZ39" s="77">
        <v>307.82817499999999</v>
      </c>
      <c r="HA39" s="77">
        <v>242.35065700000001</v>
      </c>
      <c r="HB39" s="77">
        <v>350.581142</v>
      </c>
      <c r="HC39" s="77">
        <v>178.151443</v>
      </c>
      <c r="HD39" s="77">
        <v>181.247027</v>
      </c>
      <c r="HE39" s="77">
        <v>531.11291300000005</v>
      </c>
      <c r="HF39" s="77">
        <v>224.546581</v>
      </c>
      <c r="HG39" s="77">
        <v>385.867884</v>
      </c>
      <c r="HH39" s="77">
        <v>298.97022700000002</v>
      </c>
      <c r="HI39" s="77">
        <v>431.71564899999998</v>
      </c>
      <c r="HJ39" s="77">
        <v>223.423372</v>
      </c>
      <c r="HK39" s="77">
        <v>228.13219699999999</v>
      </c>
      <c r="HL39" s="77">
        <v>533.799756</v>
      </c>
      <c r="HM39" s="77">
        <v>225.98877400000001</v>
      </c>
      <c r="HN39" s="77">
        <v>338.63314800000001</v>
      </c>
      <c r="HO39" s="77">
        <v>267.68533200000002</v>
      </c>
      <c r="HP39" s="77">
        <v>385.54442299999999</v>
      </c>
      <c r="HQ39" s="77">
        <v>196.52685299999999</v>
      </c>
      <c r="HR39" s="77">
        <v>199.50808799999999</v>
      </c>
      <c r="HS39" s="77">
        <v>540.48310100000003</v>
      </c>
      <c r="HT39" s="77">
        <v>228.138284</v>
      </c>
      <c r="HU39" s="77">
        <v>391.75604299999998</v>
      </c>
      <c r="HV39" s="77">
        <v>310.01610399999998</v>
      </c>
      <c r="HW39" s="77">
        <v>443.434957</v>
      </c>
      <c r="HX39" s="77">
        <v>228.34754599999999</v>
      </c>
      <c r="HY39" s="77">
        <v>231.32249100000001</v>
      </c>
      <c r="HZ39" s="77">
        <v>566.63549399999999</v>
      </c>
      <c r="IA39" s="77">
        <v>241.15307799999999</v>
      </c>
      <c r="IB39" s="77">
        <v>362.49390199999999</v>
      </c>
      <c r="IC39" s="77">
        <v>283.83084400000001</v>
      </c>
      <c r="ID39" s="77">
        <v>412.37469599999997</v>
      </c>
      <c r="IE39" s="77">
        <v>209.09434099999999</v>
      </c>
      <c r="IF39" s="77">
        <v>213.31106700000001</v>
      </c>
      <c r="IG39" s="77">
        <v>541.61907499999995</v>
      </c>
      <c r="IH39" s="77">
        <v>228.252129</v>
      </c>
      <c r="II39" s="77">
        <v>359.73338100000001</v>
      </c>
      <c r="IJ39" s="77">
        <v>283.26257800000002</v>
      </c>
      <c r="IK39" s="77">
        <v>410.05068799999998</v>
      </c>
      <c r="IL39" s="77">
        <v>208.02964600000001</v>
      </c>
      <c r="IM39" s="77">
        <v>211.705803</v>
      </c>
      <c r="IN39" s="77">
        <v>552.21486900000002</v>
      </c>
      <c r="IO39" s="77">
        <v>231.547833</v>
      </c>
      <c r="IP39" s="77">
        <v>360.767473</v>
      </c>
      <c r="IQ39" s="77">
        <v>281.88562200000001</v>
      </c>
      <c r="IR39" s="77">
        <v>409.21992399999999</v>
      </c>
      <c r="IS39" s="77">
        <v>208.20613</v>
      </c>
      <c r="IT39" s="77">
        <v>212.465407</v>
      </c>
      <c r="IU39" s="77">
        <v>537.66354999999999</v>
      </c>
      <c r="IV39" s="77">
        <v>226.00309899999999</v>
      </c>
      <c r="IW39" s="77">
        <v>383.57382000000001</v>
      </c>
      <c r="IX39" s="77">
        <v>306.71106600000002</v>
      </c>
      <c r="IY39" s="77">
        <v>438.89593400000001</v>
      </c>
      <c r="IZ39" s="77">
        <v>223.57767999999999</v>
      </c>
      <c r="JA39" s="77">
        <v>225.916516</v>
      </c>
      <c r="JB39" s="77">
        <v>606.15472499999998</v>
      </c>
      <c r="JC39" s="77">
        <v>257.82770900000003</v>
      </c>
      <c r="JD39" s="77">
        <v>375.01455900000002</v>
      </c>
      <c r="JE39" s="77">
        <v>293.43894299999999</v>
      </c>
      <c r="JF39" s="77">
        <v>425.631641</v>
      </c>
      <c r="JG39" s="77">
        <v>216.54012800000001</v>
      </c>
      <c r="JH39" s="77">
        <v>220.844742</v>
      </c>
      <c r="JI39" s="77">
        <v>543.08144400000003</v>
      </c>
      <c r="JJ39" s="77">
        <v>228.39397199999999</v>
      </c>
      <c r="JK39" s="77">
        <v>367.08290899999997</v>
      </c>
      <c r="JL39" s="77">
        <v>285.68696</v>
      </c>
      <c r="JM39" s="77">
        <v>415.30956300000003</v>
      </c>
      <c r="JN39" s="77">
        <v>211.63858999999999</v>
      </c>
      <c r="JO39" s="77">
        <v>216.26617899999999</v>
      </c>
      <c r="JP39" s="77">
        <v>526.71736099999998</v>
      </c>
      <c r="JQ39" s="77">
        <v>222.10979900000001</v>
      </c>
      <c r="JR39" s="77">
        <v>345.95079600000003</v>
      </c>
      <c r="JS39" s="77">
        <v>274.60785099999998</v>
      </c>
      <c r="JT39" s="77">
        <v>397.05384500000002</v>
      </c>
      <c r="JU39" s="77">
        <v>200.25857099999999</v>
      </c>
      <c r="JV39" s="77">
        <v>203.31269700000001</v>
      </c>
      <c r="JW39" s="77">
        <v>369.33501200000001</v>
      </c>
      <c r="JX39" s="77">
        <v>221.259039</v>
      </c>
      <c r="JY39" s="77">
        <v>293.98078600000002</v>
      </c>
      <c r="JZ39" s="77">
        <v>238.06767199999999</v>
      </c>
      <c r="KA39" s="77">
        <v>333.94188100000002</v>
      </c>
      <c r="KB39" s="77">
        <v>406.13998299999997</v>
      </c>
      <c r="KC39" s="77">
        <v>411.51324099999999</v>
      </c>
      <c r="KD39" s="77">
        <v>291.96068300000002</v>
      </c>
      <c r="KE39" s="77">
        <v>349.88931200000002</v>
      </c>
      <c r="KF39" s="77">
        <v>352.26928900000001</v>
      </c>
      <c r="KG39" s="77">
        <v>361.92117500000001</v>
      </c>
      <c r="KH39" s="77">
        <v>304.27913799999999</v>
      </c>
      <c r="KI39" s="77">
        <v>344.76523200000003</v>
      </c>
      <c r="KJ39" s="77">
        <v>348.59060799999997</v>
      </c>
      <c r="KK39" s="77">
        <v>332.88179000000002</v>
      </c>
      <c r="KL39" s="77">
        <v>395.42510600000003</v>
      </c>
      <c r="KM39" s="77">
        <v>344.958237</v>
      </c>
      <c r="KN39" s="77">
        <v>354.08810299999999</v>
      </c>
      <c r="KO39" s="77">
        <v>297.38464499999998</v>
      </c>
      <c r="KP39" s="77">
        <v>338.08831099999998</v>
      </c>
      <c r="KQ39" s="77">
        <v>342.17253199999999</v>
      </c>
      <c r="KR39" s="77">
        <v>282.45639499999999</v>
      </c>
      <c r="KS39" s="77">
        <v>336.52486399999998</v>
      </c>
      <c r="KT39" s="77">
        <v>342.364349</v>
      </c>
      <c r="KU39" s="77">
        <v>351.13717500000001</v>
      </c>
      <c r="KV39" s="77">
        <v>296.47785499999998</v>
      </c>
      <c r="KW39" s="77">
        <v>334.981629</v>
      </c>
      <c r="KX39" s="77">
        <v>338.0147</v>
      </c>
      <c r="KY39" s="77">
        <v>297.163633</v>
      </c>
      <c r="KZ39" s="77">
        <v>353.30689899999999</v>
      </c>
      <c r="LA39" s="77">
        <v>308.50613499999997</v>
      </c>
      <c r="LB39" s="77">
        <v>316.60350899999997</v>
      </c>
      <c r="LC39" s="77">
        <v>265.80334299999998</v>
      </c>
      <c r="LD39" s="77">
        <v>302.48522700000001</v>
      </c>
      <c r="LE39" s="77">
        <v>306.23817500000001</v>
      </c>
      <c r="LF39" s="77">
        <v>255.73358400000001</v>
      </c>
      <c r="LG39" s="77">
        <v>305.69113399999998</v>
      </c>
      <c r="LH39" s="77">
        <v>286.95204000000001</v>
      </c>
      <c r="LI39" s="77">
        <v>294.24676799999997</v>
      </c>
      <c r="LJ39" s="77">
        <v>247.17882800000001</v>
      </c>
      <c r="LK39" s="77">
        <v>281.50596200000001</v>
      </c>
      <c r="LL39" s="77">
        <v>284.98146000000003</v>
      </c>
      <c r="LM39" s="77">
        <v>274.17748599999999</v>
      </c>
      <c r="LN39" s="77">
        <v>326.08268399999997</v>
      </c>
      <c r="LO39" s="77">
        <v>331.06275799999997</v>
      </c>
      <c r="LP39" s="77">
        <v>339.40666199999998</v>
      </c>
      <c r="LQ39" s="77">
        <v>286.86823500000003</v>
      </c>
      <c r="LR39" s="77">
        <v>323.901884</v>
      </c>
      <c r="LS39" s="77">
        <v>326.67592999999999</v>
      </c>
      <c r="LT39" s="77">
        <v>279.05865</v>
      </c>
      <c r="LU39" s="77">
        <v>330.591523</v>
      </c>
      <c r="LV39" s="77">
        <v>289.63001400000002</v>
      </c>
      <c r="LW39" s="77">
        <v>296.84217599999999</v>
      </c>
      <c r="LX39" s="77">
        <v>249.94660999999999</v>
      </c>
      <c r="LY39" s="77">
        <v>283.96310599999998</v>
      </c>
      <c r="LZ39" s="77">
        <v>287.10444699999999</v>
      </c>
      <c r="MA39" s="77">
        <v>258.43625700000001</v>
      </c>
      <c r="MB39" s="77">
        <v>307.85798199999999</v>
      </c>
      <c r="MC39" s="77">
        <v>289.399745</v>
      </c>
      <c r="MD39" s="77">
        <v>296.93528900000001</v>
      </c>
      <c r="ME39" s="77">
        <v>249.86121499999999</v>
      </c>
      <c r="MF39" s="77">
        <v>283.50631900000002</v>
      </c>
      <c r="MG39" s="77">
        <v>286.64328499999999</v>
      </c>
      <c r="MH39" s="77">
        <v>256.90659099999999</v>
      </c>
      <c r="MI39" s="77">
        <v>307.13727499999999</v>
      </c>
      <c r="MJ39" s="77">
        <v>312.69406900000001</v>
      </c>
      <c r="MK39" s="77">
        <v>320.66522200000003</v>
      </c>
      <c r="ML39" s="77">
        <v>270.30051800000001</v>
      </c>
      <c r="MM39" s="77">
        <v>306.23571900000002</v>
      </c>
      <c r="MN39" s="77">
        <v>309.34604899999999</v>
      </c>
      <c r="MO39" s="77">
        <v>313.95115500000003</v>
      </c>
      <c r="MP39" s="77">
        <v>370.00521600000002</v>
      </c>
      <c r="MQ39" s="77">
        <v>319.10562599999997</v>
      </c>
      <c r="MR39" s="77">
        <v>327.362731</v>
      </c>
      <c r="MS39" s="77">
        <v>276.20158800000002</v>
      </c>
      <c r="MT39" s="77">
        <v>312.25798900000001</v>
      </c>
      <c r="MU39" s="77">
        <v>315.20388600000001</v>
      </c>
      <c r="MV39" s="77">
        <v>274.328036</v>
      </c>
      <c r="MW39" s="77">
        <v>325.59633300000002</v>
      </c>
      <c r="MX39" s="77">
        <v>306.87086900000003</v>
      </c>
      <c r="MY39" s="77">
        <v>314.47645799999998</v>
      </c>
      <c r="MZ39" s="77">
        <v>265.34288800000002</v>
      </c>
      <c r="NA39" s="77">
        <v>300.60493300000002</v>
      </c>
      <c r="NB39" s="77">
        <v>303.55148300000002</v>
      </c>
      <c r="NC39" s="77">
        <v>263.351563</v>
      </c>
      <c r="ND39" s="77">
        <v>313.32203399999997</v>
      </c>
      <c r="NE39" s="77">
        <v>311.26406300000002</v>
      </c>
      <c r="NF39" s="77">
        <v>319.10198000000003</v>
      </c>
      <c r="NG39" s="77">
        <v>269.42544400000003</v>
      </c>
      <c r="NH39" s="77">
        <v>304.69154099999997</v>
      </c>
      <c r="NI39" s="77">
        <v>307.50618100000003</v>
      </c>
      <c r="NJ39" s="77">
        <v>289.41250300000002</v>
      </c>
      <c r="NK39" s="77">
        <v>341.54584499999999</v>
      </c>
      <c r="NL39" s="77">
        <v>305.02648099999999</v>
      </c>
      <c r="NM39" s="77">
        <v>312.30281200000002</v>
      </c>
      <c r="NN39" s="77">
        <v>263.90512200000001</v>
      </c>
      <c r="NO39" s="77">
        <v>298.86072100000001</v>
      </c>
      <c r="NP39" s="77">
        <v>301.60923400000001</v>
      </c>
      <c r="NQ39" s="77">
        <v>269.66374200000001</v>
      </c>
      <c r="NR39" s="77">
        <v>320.37986000000001</v>
      </c>
      <c r="NS39" s="77">
        <v>301.78288099999997</v>
      </c>
      <c r="NT39" s="77">
        <v>309.28999800000003</v>
      </c>
      <c r="NU39" s="77">
        <v>260.80500499999999</v>
      </c>
      <c r="NV39" s="77">
        <v>295.68146999999999</v>
      </c>
      <c r="NW39" s="77">
        <v>298.68562300000002</v>
      </c>
      <c r="NX39" s="77">
        <v>270.532533</v>
      </c>
      <c r="NY39" s="77">
        <v>320.90590900000001</v>
      </c>
      <c r="NZ39" s="77">
        <v>324.22794499999998</v>
      </c>
      <c r="OA39" s="77">
        <v>332.482215</v>
      </c>
      <c r="OB39" s="77">
        <v>281.30998299999999</v>
      </c>
      <c r="OC39" s="77">
        <v>316.97740499999998</v>
      </c>
      <c r="OD39" s="77">
        <v>319.45438000000001</v>
      </c>
      <c r="OE39" s="77">
        <v>301.31483500000002</v>
      </c>
      <c r="OF39" s="77">
        <v>356.22581200000002</v>
      </c>
      <c r="OG39" s="77">
        <v>313.92179499999997</v>
      </c>
      <c r="OH39" s="77">
        <v>322.20559800000001</v>
      </c>
      <c r="OI39" s="77">
        <v>271.51495699999998</v>
      </c>
      <c r="OJ39" s="77">
        <v>307.21015</v>
      </c>
      <c r="OK39" s="77">
        <v>310.290595</v>
      </c>
      <c r="OL39" s="77">
        <v>288.59901200000002</v>
      </c>
      <c r="OM39" s="77">
        <v>343.36940399999997</v>
      </c>
      <c r="ON39" s="77">
        <v>322.89987100000002</v>
      </c>
      <c r="OO39" s="77">
        <v>331.464204</v>
      </c>
      <c r="OP39" s="77">
        <v>279.04417799999999</v>
      </c>
      <c r="OQ39" s="77">
        <v>316.09931699999999</v>
      </c>
      <c r="OR39" s="77">
        <v>319.445989</v>
      </c>
      <c r="OS39" s="77">
        <v>279.65168599999998</v>
      </c>
      <c r="OT39" s="77">
        <v>332.73673400000001</v>
      </c>
      <c r="OU39" s="77">
        <v>334.36969099999999</v>
      </c>
      <c r="OV39" s="77">
        <v>343.315719</v>
      </c>
      <c r="OW39" s="77">
        <v>289.779404</v>
      </c>
      <c r="OX39" s="77">
        <v>326.844043</v>
      </c>
      <c r="OY39" s="77">
        <v>329.73747200000003</v>
      </c>
      <c r="OZ39" s="77">
        <v>301.81550700000003</v>
      </c>
      <c r="PA39" s="77">
        <v>356.57128899999998</v>
      </c>
      <c r="PB39" s="77">
        <v>314.44267400000001</v>
      </c>
      <c r="PC39" s="77">
        <v>322.43456700000002</v>
      </c>
      <c r="PD39" s="77">
        <v>271.95072199999998</v>
      </c>
      <c r="PE39" s="77">
        <v>307.885808</v>
      </c>
      <c r="PF39" s="77">
        <v>310.90830499999998</v>
      </c>
      <c r="PG39" s="77">
        <v>284.49367100000001</v>
      </c>
      <c r="PH39" s="77">
        <v>336.87434500000001</v>
      </c>
      <c r="PI39" s="77">
        <v>317.73640399999999</v>
      </c>
      <c r="PJ39" s="77">
        <v>325.87408599999998</v>
      </c>
      <c r="PK39" s="77">
        <v>275.21849800000001</v>
      </c>
      <c r="PL39" s="77">
        <v>310.85323599999998</v>
      </c>
      <c r="PM39" s="77">
        <v>313.62187699999998</v>
      </c>
      <c r="PN39" s="77">
        <v>265.19909999999999</v>
      </c>
      <c r="PO39" s="77">
        <v>315.17425100000003</v>
      </c>
      <c r="PP39" s="77">
        <v>323.15159</v>
      </c>
      <c r="PQ39" s="77">
        <v>331.39511800000002</v>
      </c>
      <c r="PR39" s="77">
        <v>280.26982199999998</v>
      </c>
      <c r="PS39" s="77">
        <v>315.97373199999998</v>
      </c>
      <c r="PT39" s="77">
        <v>318.522693</v>
      </c>
      <c r="PU39" s="77">
        <v>311.40948300000002</v>
      </c>
      <c r="PV39" s="77">
        <v>366.87467199999998</v>
      </c>
      <c r="PW39" s="77">
        <v>317.79096700000002</v>
      </c>
      <c r="PX39" s="77">
        <v>325.52998300000002</v>
      </c>
      <c r="PY39" s="77">
        <v>274.961097</v>
      </c>
      <c r="PZ39" s="77">
        <v>311.27714300000002</v>
      </c>
      <c r="QA39" s="77">
        <v>314.168026</v>
      </c>
      <c r="QB39" s="77">
        <v>300.06603999999999</v>
      </c>
      <c r="QC39" s="77">
        <v>357.48878200000001</v>
      </c>
      <c r="QD39" s="77">
        <v>336.04220299999997</v>
      </c>
      <c r="QE39" s="77">
        <v>344.78681999999998</v>
      </c>
      <c r="QF39" s="77">
        <v>290.10568799999999</v>
      </c>
      <c r="QG39" s="77">
        <v>329.20921600000003</v>
      </c>
      <c r="QH39" s="77">
        <v>332.86151899999999</v>
      </c>
      <c r="QI39" s="77">
        <v>275.47570899999999</v>
      </c>
      <c r="QJ39" s="77">
        <v>329.70217600000001</v>
      </c>
      <c r="QK39" s="77">
        <v>309.25262199999997</v>
      </c>
      <c r="QL39" s="77">
        <v>317.18711400000001</v>
      </c>
      <c r="QM39" s="77">
        <v>266.22327200000001</v>
      </c>
      <c r="QN39" s="77">
        <v>303.43132700000001</v>
      </c>
      <c r="QO39" s="77">
        <v>307.30913299999997</v>
      </c>
      <c r="QP39" s="77">
        <v>271.12251500000002</v>
      </c>
      <c r="QQ39" s="77">
        <v>322.38505199999997</v>
      </c>
      <c r="QR39" s="77">
        <v>303.49606699999998</v>
      </c>
      <c r="QS39" s="77">
        <v>311.12277</v>
      </c>
    </row>
    <row r="40" spans="6:461" x14ac:dyDescent="0.25">
      <c r="F40" s="76" t="str">
        <f xml:space="preserve"> _xll.EPMOlapMemberO("[PRDDESCR].[].[WONDER GFREE WHOLEM 500G]","","WONDER GFREE WHOLEM 500G","","000")</f>
        <v>WONDER GFREE WHOLEM 500G</v>
      </c>
      <c r="G40" s="76" t="str">
        <f xml:space="preserve"> _xll.EPMOlapMemberO("[PRDID].[].[179650]","","179650","","000")</f>
        <v>179650</v>
      </c>
      <c r="H40" s="76" t="str">
        <f xml:space="preserve"> _xll.EPMOlapMemberO("[LOCID].[].[6105]","","6105","","000")</f>
        <v>6105</v>
      </c>
      <c r="I40" s="76" t="str">
        <f xml:space="preserve"> _xll.EPMOlapMemberO("[LOCDESCR].[].[QBA-Rydalmere]","","QBA-Rydalmere","","000")</f>
        <v>QBA-Rydalmere</v>
      </c>
      <c r="J40" s="76" t="str">
        <f xml:space="preserve"> _xll.EPMOlapMemberO("[KEY_FIGURES].[].[ZGFAPPROVEDFCSTQTY]","","Approved Forecast","","000")</f>
        <v>Approved Forecast</v>
      </c>
      <c r="K40" s="77">
        <v>183.51551599999999</v>
      </c>
      <c r="L40" s="77">
        <v>148.82960600000001</v>
      </c>
      <c r="M40" s="77">
        <v>161.86924500000001</v>
      </c>
      <c r="N40" s="77">
        <v>182.13872900000001</v>
      </c>
      <c r="O40" s="77">
        <v>178.98548099999999</v>
      </c>
      <c r="P40" s="77">
        <v>159.80516299999999</v>
      </c>
      <c r="Q40" s="77">
        <v>287.30695200000002</v>
      </c>
      <c r="R40" s="77">
        <v>191.40566799999999</v>
      </c>
      <c r="S40" s="77">
        <v>147.626913</v>
      </c>
      <c r="T40" s="77">
        <v>156.78813700000001</v>
      </c>
      <c r="U40" s="77">
        <v>170.70834099999999</v>
      </c>
      <c r="V40" s="77">
        <v>182.374628</v>
      </c>
      <c r="W40" s="77">
        <v>149.525869</v>
      </c>
      <c r="X40" s="77">
        <v>284.56229300000001</v>
      </c>
      <c r="Y40" s="77">
        <v>206.53068099999999</v>
      </c>
      <c r="Z40" s="77">
        <v>157.66525799999999</v>
      </c>
      <c r="AA40" s="77">
        <v>160.61782199999999</v>
      </c>
      <c r="AB40" s="77">
        <v>185.71712199999999</v>
      </c>
      <c r="AC40" s="77">
        <v>185.05328399999999</v>
      </c>
      <c r="AD40" s="77">
        <v>154.07476600000001</v>
      </c>
      <c r="AE40" s="77"/>
      <c r="AF40" s="77"/>
      <c r="AG40" s="77"/>
      <c r="AH40" s="77"/>
      <c r="AI40" s="77"/>
      <c r="AJ40" s="77"/>
      <c r="AK40" s="77"/>
      <c r="AL40" s="77">
        <v>304.511166</v>
      </c>
      <c r="AM40" s="77">
        <v>210.605199</v>
      </c>
      <c r="AN40" s="77">
        <v>160.922742</v>
      </c>
      <c r="AO40" s="77">
        <v>161.402333</v>
      </c>
      <c r="AP40" s="77">
        <v>183.36426499999999</v>
      </c>
      <c r="AQ40" s="77">
        <v>190.40385699999999</v>
      </c>
      <c r="AR40" s="77">
        <v>155.32306299999999</v>
      </c>
      <c r="AS40" s="77">
        <v>278.72223700000001</v>
      </c>
      <c r="AT40" s="77">
        <v>203.15152900000001</v>
      </c>
      <c r="AU40" s="77">
        <v>154.62740299999999</v>
      </c>
      <c r="AV40" s="77">
        <v>158.284492</v>
      </c>
      <c r="AW40" s="77">
        <v>181.96397099999999</v>
      </c>
      <c r="AX40" s="77">
        <v>181.53197</v>
      </c>
      <c r="AY40" s="77">
        <v>151.12916300000001</v>
      </c>
      <c r="AZ40" s="77">
        <v>278.29118099999999</v>
      </c>
      <c r="BA40" s="77">
        <v>194.105526</v>
      </c>
      <c r="BB40" s="77">
        <v>160.56283300000001</v>
      </c>
      <c r="BC40" s="77">
        <v>165.28051400000001</v>
      </c>
      <c r="BD40" s="77">
        <v>185.351854</v>
      </c>
      <c r="BE40" s="77">
        <v>188.31743700000001</v>
      </c>
      <c r="BF40" s="77">
        <v>158.410248</v>
      </c>
      <c r="BG40" s="77">
        <v>289.43325800000002</v>
      </c>
      <c r="BH40" s="77">
        <v>200.20648600000001</v>
      </c>
      <c r="BI40" s="77">
        <v>151.64907400000001</v>
      </c>
      <c r="BJ40" s="77">
        <v>152.51838900000001</v>
      </c>
      <c r="BK40" s="77">
        <v>172.69510600000001</v>
      </c>
      <c r="BL40" s="77">
        <v>179.456502</v>
      </c>
      <c r="BM40" s="77">
        <v>146.381978</v>
      </c>
      <c r="BN40" s="77">
        <v>257.98350499999998</v>
      </c>
      <c r="BO40" s="77">
        <v>191.634479</v>
      </c>
      <c r="BP40" s="77">
        <v>142.72107800000001</v>
      </c>
      <c r="BQ40" s="77">
        <v>146.96585400000001</v>
      </c>
      <c r="BR40" s="77">
        <v>169.31360699999999</v>
      </c>
      <c r="BS40" s="77">
        <v>168.56392299999999</v>
      </c>
      <c r="BT40" s="77">
        <v>139.074872</v>
      </c>
      <c r="BU40" s="77">
        <v>270.335081</v>
      </c>
      <c r="BV40" s="77">
        <v>188.67192299999999</v>
      </c>
      <c r="BW40" s="77">
        <v>153.414401</v>
      </c>
      <c r="BX40" s="77">
        <v>158.67389</v>
      </c>
      <c r="BY40" s="77">
        <v>176.94617299999999</v>
      </c>
      <c r="BZ40" s="77">
        <v>179.99532300000001</v>
      </c>
      <c r="CA40" s="77">
        <v>151.37749700000001</v>
      </c>
      <c r="CB40" s="77">
        <v>290.378152</v>
      </c>
      <c r="CC40" s="77">
        <v>204.74548300000001</v>
      </c>
      <c r="CD40" s="77">
        <v>156.03009299999999</v>
      </c>
      <c r="CE40" s="77">
        <v>158.806488</v>
      </c>
      <c r="CF40" s="77">
        <v>177.52104700000001</v>
      </c>
      <c r="CG40" s="77">
        <v>185.14565099999999</v>
      </c>
      <c r="CH40" s="77">
        <v>150.44518199999999</v>
      </c>
      <c r="CI40" s="77">
        <v>254.38242399999999</v>
      </c>
      <c r="CJ40" s="77">
        <v>186.170928</v>
      </c>
      <c r="CK40" s="77">
        <v>140.648695</v>
      </c>
      <c r="CL40" s="77">
        <v>143.58247600000001</v>
      </c>
      <c r="CM40" s="77">
        <v>166.386121</v>
      </c>
      <c r="CN40" s="77">
        <v>165.574409</v>
      </c>
      <c r="CO40" s="77">
        <v>137.23324400000001</v>
      </c>
      <c r="CP40" s="77">
        <v>264.567927</v>
      </c>
      <c r="CQ40" s="77">
        <v>183.43474499999999</v>
      </c>
      <c r="CR40" s="77">
        <v>142.819591</v>
      </c>
      <c r="CS40" s="77">
        <v>147.05394799999999</v>
      </c>
      <c r="CT40" s="77">
        <v>165.892211</v>
      </c>
      <c r="CU40" s="77">
        <v>168.27779899999999</v>
      </c>
      <c r="CV40" s="77">
        <v>140.650173</v>
      </c>
      <c r="CW40" s="77">
        <v>261.51221199999998</v>
      </c>
      <c r="CX40" s="77">
        <v>184.544332</v>
      </c>
      <c r="CY40" s="77">
        <v>146.453025</v>
      </c>
      <c r="CZ40" s="77">
        <v>148.091139</v>
      </c>
      <c r="DA40" s="77">
        <v>166.69563199999999</v>
      </c>
      <c r="DB40" s="77">
        <v>173.500766</v>
      </c>
      <c r="DC40" s="77">
        <v>141.30666299999999</v>
      </c>
      <c r="DD40" s="77">
        <v>258.51155</v>
      </c>
      <c r="DE40" s="77">
        <v>189.38725600000001</v>
      </c>
      <c r="DF40" s="77">
        <v>143.326886</v>
      </c>
      <c r="DG40" s="77">
        <v>147.09819400000001</v>
      </c>
      <c r="DH40" s="77">
        <v>168.94194400000001</v>
      </c>
      <c r="DI40" s="77">
        <v>168.50786099999999</v>
      </c>
      <c r="DJ40" s="77">
        <v>139.992886</v>
      </c>
      <c r="DK40" s="77">
        <v>254.83447899999999</v>
      </c>
      <c r="DL40" s="77">
        <v>178.41893899999999</v>
      </c>
      <c r="DM40" s="77">
        <v>144.25626199999999</v>
      </c>
      <c r="DN40" s="77">
        <v>149.16303099999999</v>
      </c>
      <c r="DO40" s="77">
        <v>166.92489599999999</v>
      </c>
      <c r="DP40" s="77">
        <v>169.644091</v>
      </c>
      <c r="DQ40" s="77">
        <v>142.20748900000001</v>
      </c>
      <c r="DR40" s="77">
        <v>273.69788499999999</v>
      </c>
      <c r="DS40" s="77">
        <v>190.89349100000001</v>
      </c>
      <c r="DT40" s="77">
        <v>148.725684</v>
      </c>
      <c r="DU40" s="77">
        <v>149.30346499999999</v>
      </c>
      <c r="DV40" s="77">
        <v>171.30375699999999</v>
      </c>
      <c r="DW40" s="77">
        <v>178.21873600000001</v>
      </c>
      <c r="DX40" s="77">
        <v>142.31837200000001</v>
      </c>
      <c r="DY40" s="77">
        <v>282.51982700000002</v>
      </c>
      <c r="DZ40" s="77">
        <v>208.712287</v>
      </c>
      <c r="EA40" s="77">
        <v>153.44029900000001</v>
      </c>
      <c r="EB40" s="77">
        <v>156.65401399999999</v>
      </c>
      <c r="EC40" s="77">
        <v>180.021974</v>
      </c>
      <c r="ED40" s="77">
        <v>179.71781899999999</v>
      </c>
      <c r="EE40" s="77">
        <v>150.138824</v>
      </c>
      <c r="EF40" s="77">
        <v>277.198893</v>
      </c>
      <c r="EG40" s="77">
        <v>192.00357600000001</v>
      </c>
      <c r="EH40" s="77">
        <v>151.00729699999999</v>
      </c>
      <c r="EI40" s="77">
        <v>156.79023699999999</v>
      </c>
      <c r="EJ40" s="77">
        <v>173.72433000000001</v>
      </c>
      <c r="EK40" s="77">
        <v>176.980548</v>
      </c>
      <c r="EL40" s="77">
        <v>149.09829400000001</v>
      </c>
      <c r="EM40" s="77">
        <v>283.60207800000001</v>
      </c>
      <c r="EN40" s="77">
        <v>200.05832100000001</v>
      </c>
      <c r="EO40" s="77">
        <v>159.57275799999999</v>
      </c>
      <c r="EP40" s="77">
        <v>162.68446299999999</v>
      </c>
      <c r="EQ40" s="77">
        <v>180.592491</v>
      </c>
      <c r="ER40" s="77">
        <v>188.30159</v>
      </c>
      <c r="ES40" s="77">
        <v>154.45573899999999</v>
      </c>
      <c r="ET40" s="77">
        <v>282.60177599999997</v>
      </c>
      <c r="EU40" s="77">
        <v>204.92260099999999</v>
      </c>
      <c r="EV40" s="77">
        <v>168.696439</v>
      </c>
      <c r="EW40" s="77">
        <v>169.71935199999999</v>
      </c>
      <c r="EX40" s="77">
        <v>198.22834499999999</v>
      </c>
      <c r="EY40" s="77">
        <v>197.27706000000001</v>
      </c>
      <c r="EZ40" s="77">
        <v>165.066731</v>
      </c>
      <c r="FA40" s="77">
        <v>272.00174199999998</v>
      </c>
      <c r="FB40" s="77">
        <v>190.01769100000001</v>
      </c>
      <c r="FC40" s="77">
        <v>137.827876</v>
      </c>
      <c r="FD40" s="77">
        <v>144.50963999999999</v>
      </c>
      <c r="FE40" s="77">
        <v>160.270397</v>
      </c>
      <c r="FF40" s="77">
        <v>163.150916</v>
      </c>
      <c r="FG40" s="77">
        <v>135.62574699999999</v>
      </c>
      <c r="FH40" s="77">
        <v>304.04213199999998</v>
      </c>
      <c r="FI40" s="77">
        <v>212.20807400000001</v>
      </c>
      <c r="FJ40" s="77">
        <v>188.785032</v>
      </c>
      <c r="FK40" s="77">
        <v>187.86579399999999</v>
      </c>
      <c r="FL40" s="77">
        <v>213.84755899999999</v>
      </c>
      <c r="FM40" s="77">
        <v>221.32380000000001</v>
      </c>
      <c r="FN40" s="77">
        <v>183.259522</v>
      </c>
      <c r="FO40" s="77">
        <v>323.90894500000002</v>
      </c>
      <c r="FP40" s="77">
        <v>234.719774</v>
      </c>
      <c r="FQ40" s="77">
        <v>169.79057299999999</v>
      </c>
      <c r="FR40" s="77">
        <v>177.156586</v>
      </c>
      <c r="FS40" s="77">
        <v>202.14004</v>
      </c>
      <c r="FT40" s="77">
        <v>201.45345900000001</v>
      </c>
      <c r="FU40" s="77">
        <v>165.165955</v>
      </c>
      <c r="FV40" s="77">
        <v>280.695223</v>
      </c>
      <c r="FW40" s="77">
        <v>198.61924500000001</v>
      </c>
      <c r="FX40" s="77">
        <v>158.67095399999999</v>
      </c>
      <c r="FY40" s="77">
        <v>163.98824400000001</v>
      </c>
      <c r="FZ40" s="77">
        <v>181.80453499999999</v>
      </c>
      <c r="GA40" s="77">
        <v>185.22930099999999</v>
      </c>
      <c r="GB40" s="77">
        <v>156.866961</v>
      </c>
      <c r="GC40" s="77">
        <v>314.745228</v>
      </c>
      <c r="GD40" s="77">
        <v>217.106461</v>
      </c>
      <c r="GE40" s="77">
        <v>164.53436600000001</v>
      </c>
      <c r="GF40" s="77">
        <v>166.263959</v>
      </c>
      <c r="GG40" s="77">
        <v>186.606177</v>
      </c>
      <c r="GH40" s="77">
        <v>194.09052700000001</v>
      </c>
      <c r="GI40" s="77">
        <v>159.20676399999999</v>
      </c>
      <c r="GJ40" s="77">
        <v>283.15205200000003</v>
      </c>
      <c r="GK40" s="77">
        <v>207.38142099999999</v>
      </c>
      <c r="GL40" s="77">
        <v>156.47056900000001</v>
      </c>
      <c r="GM40" s="77">
        <v>159.39893000000001</v>
      </c>
      <c r="GN40" s="77">
        <v>185.400935</v>
      </c>
      <c r="GO40" s="77">
        <v>184.323443</v>
      </c>
      <c r="GP40" s="77">
        <v>152.596767</v>
      </c>
      <c r="GQ40" s="77">
        <v>264.73966999999999</v>
      </c>
      <c r="GR40" s="77">
        <v>185.60190299999999</v>
      </c>
      <c r="GS40" s="77">
        <v>161.917936</v>
      </c>
      <c r="GT40" s="77">
        <v>165.15302299999999</v>
      </c>
      <c r="GU40" s="77">
        <v>187.40898000000001</v>
      </c>
      <c r="GV40" s="77">
        <v>189.91188199999999</v>
      </c>
      <c r="GW40" s="77">
        <v>159.66243</v>
      </c>
      <c r="GX40" s="77">
        <v>291.85560700000002</v>
      </c>
      <c r="GY40" s="77">
        <v>201.16864799999999</v>
      </c>
      <c r="GZ40" s="77">
        <v>144.81116599999999</v>
      </c>
      <c r="HA40" s="77">
        <v>147.17987199999999</v>
      </c>
      <c r="HB40" s="77">
        <v>164.47800899999999</v>
      </c>
      <c r="HC40" s="77">
        <v>171.413128</v>
      </c>
      <c r="HD40" s="77">
        <v>139.84573599999999</v>
      </c>
      <c r="HE40" s="77">
        <v>303.28286500000002</v>
      </c>
      <c r="HF40" s="77">
        <v>217.97780800000001</v>
      </c>
      <c r="HG40" s="77">
        <v>179.173418</v>
      </c>
      <c r="HH40" s="77">
        <v>181.78583599999999</v>
      </c>
      <c r="HI40" s="77">
        <v>208.504335</v>
      </c>
      <c r="HJ40" s="77">
        <v>208.584532</v>
      </c>
      <c r="HK40" s="77">
        <v>175.843265</v>
      </c>
      <c r="HL40" s="77">
        <v>294.547392</v>
      </c>
      <c r="HM40" s="77">
        <v>205.19912099999999</v>
      </c>
      <c r="HN40" s="77">
        <v>151.54479599999999</v>
      </c>
      <c r="HO40" s="77">
        <v>158.60564400000001</v>
      </c>
      <c r="HP40" s="77">
        <v>175.55755500000001</v>
      </c>
      <c r="HQ40" s="77">
        <v>178.82757699999999</v>
      </c>
      <c r="HR40" s="77">
        <v>149.295143</v>
      </c>
      <c r="HS40" s="77">
        <v>311.49364800000001</v>
      </c>
      <c r="HT40" s="77">
        <v>218.09602100000001</v>
      </c>
      <c r="HU40" s="77">
        <v>187.014422</v>
      </c>
      <c r="HV40" s="77">
        <v>188.86717999999999</v>
      </c>
      <c r="HW40" s="77">
        <v>212.427165</v>
      </c>
      <c r="HX40" s="77">
        <v>220.973174</v>
      </c>
      <c r="HY40" s="77">
        <v>180.75375600000001</v>
      </c>
      <c r="HZ40" s="77">
        <v>322.072405</v>
      </c>
      <c r="IA40" s="77">
        <v>237.07802100000001</v>
      </c>
      <c r="IB40" s="77">
        <v>172.831075</v>
      </c>
      <c r="IC40" s="77">
        <v>178.44728799999999</v>
      </c>
      <c r="ID40" s="77">
        <v>202.25773000000001</v>
      </c>
      <c r="IE40" s="77">
        <v>202.52206899999999</v>
      </c>
      <c r="IF40" s="77">
        <v>169.186926</v>
      </c>
      <c r="IG40" s="77">
        <v>327.91101800000001</v>
      </c>
      <c r="IH40" s="77">
        <v>228.99230399999999</v>
      </c>
      <c r="II40" s="77">
        <v>179.01298399999999</v>
      </c>
      <c r="IJ40" s="77">
        <v>187.5668</v>
      </c>
      <c r="IK40" s="77">
        <v>205.30106799999999</v>
      </c>
      <c r="IL40" s="77">
        <v>209.742728</v>
      </c>
      <c r="IM40" s="77">
        <v>176.86588900000001</v>
      </c>
      <c r="IN40" s="77">
        <v>307.55592200000001</v>
      </c>
      <c r="IO40" s="77">
        <v>217.14587800000001</v>
      </c>
      <c r="IP40" s="77">
        <v>168.218457</v>
      </c>
      <c r="IQ40" s="77">
        <v>172.20800199999999</v>
      </c>
      <c r="IR40" s="77">
        <v>189.836491</v>
      </c>
      <c r="IS40" s="77">
        <v>198.12409</v>
      </c>
      <c r="IT40" s="77">
        <v>163.07661400000001</v>
      </c>
      <c r="IU40" s="77">
        <v>327.10391800000002</v>
      </c>
      <c r="IV40" s="77">
        <v>233.056175</v>
      </c>
      <c r="IW40" s="77">
        <v>194.96032700000001</v>
      </c>
      <c r="IX40" s="77">
        <v>197.798126</v>
      </c>
      <c r="IY40" s="77">
        <v>229.10942900000001</v>
      </c>
      <c r="IZ40" s="77">
        <v>228.34582700000001</v>
      </c>
      <c r="JA40" s="77">
        <v>190.699907</v>
      </c>
      <c r="JB40" s="77">
        <v>346.87692800000002</v>
      </c>
      <c r="JC40" s="77">
        <v>239.84643399999999</v>
      </c>
      <c r="JD40" s="77">
        <v>176.88545999999999</v>
      </c>
      <c r="JE40" s="77">
        <v>183.6711</v>
      </c>
      <c r="JF40" s="77">
        <v>201.921199</v>
      </c>
      <c r="JG40" s="77">
        <v>206.14062899999999</v>
      </c>
      <c r="JH40" s="77">
        <v>175.03948199999999</v>
      </c>
      <c r="JI40" s="77">
        <v>306.92357600000003</v>
      </c>
      <c r="JJ40" s="77">
        <v>215.901545</v>
      </c>
      <c r="JK40" s="77">
        <v>173.14717999999999</v>
      </c>
      <c r="JL40" s="77">
        <v>177.05567600000001</v>
      </c>
      <c r="JM40" s="77">
        <v>195.273945</v>
      </c>
      <c r="JN40" s="77">
        <v>203.70947200000001</v>
      </c>
      <c r="JO40" s="77">
        <v>167.96452300000001</v>
      </c>
      <c r="JP40" s="77">
        <v>287.72730300000001</v>
      </c>
      <c r="JQ40" s="77">
        <v>212.73039199999999</v>
      </c>
      <c r="JR40" s="77">
        <v>159.825481</v>
      </c>
      <c r="JS40" s="77">
        <v>165.13575700000001</v>
      </c>
      <c r="JT40" s="77">
        <v>188.41182499999999</v>
      </c>
      <c r="JU40" s="77">
        <v>188.148855</v>
      </c>
      <c r="JV40" s="77">
        <v>156.06101799999999</v>
      </c>
      <c r="JW40" s="77">
        <v>223.069771</v>
      </c>
      <c r="JX40" s="77">
        <v>270.36230599999999</v>
      </c>
      <c r="JY40" s="77">
        <v>140.97108900000001</v>
      </c>
      <c r="JZ40" s="77">
        <v>160.10924600000001</v>
      </c>
      <c r="KA40" s="77">
        <v>154.2971</v>
      </c>
      <c r="KB40" s="77">
        <v>219.51584299999999</v>
      </c>
      <c r="KC40" s="77">
        <v>223.06958</v>
      </c>
      <c r="KD40" s="77">
        <v>194.336601</v>
      </c>
      <c r="KE40" s="77">
        <v>194.07093900000001</v>
      </c>
      <c r="KF40" s="77">
        <v>212.54461000000001</v>
      </c>
      <c r="KG40" s="77">
        <v>208.86117899999999</v>
      </c>
      <c r="KH40" s="77">
        <v>208.595528</v>
      </c>
      <c r="KI40" s="77">
        <v>212.54449399999999</v>
      </c>
      <c r="KJ40" s="77">
        <v>208.86108100000001</v>
      </c>
      <c r="KK40" s="77">
        <v>224.17605800000001</v>
      </c>
      <c r="KL40" s="77">
        <v>227.95059699999999</v>
      </c>
      <c r="KM40" s="77">
        <v>208.42378099999999</v>
      </c>
      <c r="KN40" s="77">
        <v>208.16985600000001</v>
      </c>
      <c r="KO40" s="77">
        <v>211.94439800000001</v>
      </c>
      <c r="KP40" s="77">
        <v>208.42366699999999</v>
      </c>
      <c r="KQ40" s="77">
        <v>208.16975199999999</v>
      </c>
      <c r="KR40" s="77">
        <v>193.020982</v>
      </c>
      <c r="KS40" s="77">
        <v>189.534313</v>
      </c>
      <c r="KT40" s="77">
        <v>203.65951699999999</v>
      </c>
      <c r="KU40" s="77">
        <v>207.39750699999999</v>
      </c>
      <c r="KV40" s="77">
        <v>203.91086300000001</v>
      </c>
      <c r="KW40" s="77">
        <v>203.659401</v>
      </c>
      <c r="KX40" s="77">
        <v>207.39740399999999</v>
      </c>
      <c r="KY40" s="77">
        <v>198.876938</v>
      </c>
      <c r="KZ40" s="77">
        <v>198.62903399999999</v>
      </c>
      <c r="LA40" s="77">
        <v>188.27925200000001</v>
      </c>
      <c r="LB40" s="77">
        <v>184.84191999999999</v>
      </c>
      <c r="LC40" s="77">
        <v>184.59402600000001</v>
      </c>
      <c r="LD40" s="77">
        <v>188.27914000000001</v>
      </c>
      <c r="LE40" s="77">
        <v>184.84183100000001</v>
      </c>
      <c r="LF40" s="77">
        <v>174.94116199999999</v>
      </c>
      <c r="LG40" s="77">
        <v>178.605119</v>
      </c>
      <c r="LH40" s="77">
        <v>175.18755899999999</v>
      </c>
      <c r="LI40" s="77">
        <v>174.941068</v>
      </c>
      <c r="LJ40" s="77">
        <v>178.60502199999999</v>
      </c>
      <c r="LK40" s="77">
        <v>175.187467</v>
      </c>
      <c r="LL40" s="77">
        <v>174.94099499999999</v>
      </c>
      <c r="LM40" s="77">
        <v>196.58339100000001</v>
      </c>
      <c r="LN40" s="77">
        <v>192.91080600000001</v>
      </c>
      <c r="LO40" s="77">
        <v>206.90339800000001</v>
      </c>
      <c r="LP40" s="77">
        <v>210.84070700000001</v>
      </c>
      <c r="LQ40" s="77">
        <v>207.16814099999999</v>
      </c>
      <c r="LR40" s="77">
        <v>206.903279</v>
      </c>
      <c r="LS40" s="77">
        <v>210.84060400000001</v>
      </c>
      <c r="LT40" s="77">
        <v>184.427761</v>
      </c>
      <c r="LU40" s="77">
        <v>184.19656499999999</v>
      </c>
      <c r="LV40" s="77">
        <v>175.05436700000001</v>
      </c>
      <c r="LW40" s="77">
        <v>171.84913499999999</v>
      </c>
      <c r="LX40" s="77">
        <v>171.617963</v>
      </c>
      <c r="LY40" s="77">
        <v>175.05427</v>
      </c>
      <c r="LZ40" s="77">
        <v>171.84905800000001</v>
      </c>
      <c r="MA40" s="77">
        <v>167.08882700000001</v>
      </c>
      <c r="MB40" s="77">
        <v>170.75781900000001</v>
      </c>
      <c r="MC40" s="77">
        <v>167.335509</v>
      </c>
      <c r="MD40" s="77">
        <v>167.088694</v>
      </c>
      <c r="ME40" s="77">
        <v>170.757698</v>
      </c>
      <c r="MF40" s="77">
        <v>167.335407</v>
      </c>
      <c r="MG40" s="77">
        <v>167.088606</v>
      </c>
      <c r="MH40" s="77">
        <v>162.684484</v>
      </c>
      <c r="MI40" s="77">
        <v>159.493075</v>
      </c>
      <c r="MJ40" s="77">
        <v>171.879152</v>
      </c>
      <c r="MK40" s="77">
        <v>175.30060599999999</v>
      </c>
      <c r="ML40" s="77">
        <v>172.10921200000001</v>
      </c>
      <c r="MM40" s="77">
        <v>171.87905900000001</v>
      </c>
      <c r="MN40" s="77">
        <v>175.30051800000001</v>
      </c>
      <c r="MO40" s="77">
        <v>199.404642</v>
      </c>
      <c r="MP40" s="77">
        <v>199.171513</v>
      </c>
      <c r="MQ40" s="77">
        <v>185.97534999999999</v>
      </c>
      <c r="MR40" s="77">
        <v>182.74285599999999</v>
      </c>
      <c r="MS40" s="77">
        <v>182.509736</v>
      </c>
      <c r="MT40" s="77">
        <v>185.97524799999999</v>
      </c>
      <c r="MU40" s="77">
        <v>182.742763</v>
      </c>
      <c r="MV40" s="77">
        <v>175.996723</v>
      </c>
      <c r="MW40" s="77">
        <v>179.46827500000001</v>
      </c>
      <c r="MX40" s="77">
        <v>176.23016899999999</v>
      </c>
      <c r="MY40" s="77">
        <v>175.99661800000001</v>
      </c>
      <c r="MZ40" s="77">
        <v>179.46817799999999</v>
      </c>
      <c r="NA40" s="77">
        <v>176.23007200000001</v>
      </c>
      <c r="NB40" s="77">
        <v>175.99653799999999</v>
      </c>
      <c r="NC40" s="77">
        <v>167.19033899999999</v>
      </c>
      <c r="ND40" s="77">
        <v>164.061283</v>
      </c>
      <c r="NE40" s="77">
        <v>172.49578600000001</v>
      </c>
      <c r="NF40" s="77">
        <v>175.850369</v>
      </c>
      <c r="NG40" s="77">
        <v>172.72133299999999</v>
      </c>
      <c r="NH40" s="77">
        <v>172.49568400000001</v>
      </c>
      <c r="NI40" s="77">
        <v>175.85027600000001</v>
      </c>
      <c r="NJ40" s="77">
        <v>188.01330799999999</v>
      </c>
      <c r="NK40" s="77">
        <v>187.77431799999999</v>
      </c>
      <c r="NL40" s="77">
        <v>181.23778200000001</v>
      </c>
      <c r="NM40" s="77">
        <v>177.92400000000001</v>
      </c>
      <c r="NN40" s="77">
        <v>177.68500499999999</v>
      </c>
      <c r="NO40" s="77">
        <v>181.237694</v>
      </c>
      <c r="NP40" s="77">
        <v>177.923922</v>
      </c>
      <c r="NQ40" s="77">
        <v>179.97858600000001</v>
      </c>
      <c r="NR40" s="77">
        <v>183.54788400000001</v>
      </c>
      <c r="NS40" s="77">
        <v>180.218559</v>
      </c>
      <c r="NT40" s="77">
        <v>179.97844000000001</v>
      </c>
      <c r="NU40" s="77">
        <v>183.54775599999999</v>
      </c>
      <c r="NV40" s="77">
        <v>180.21845999999999</v>
      </c>
      <c r="NW40" s="77">
        <v>179.97835499999999</v>
      </c>
      <c r="NX40" s="77">
        <v>192.63665800000001</v>
      </c>
      <c r="NY40" s="77">
        <v>189.21747400000001</v>
      </c>
      <c r="NZ40" s="77">
        <v>201.64734300000001</v>
      </c>
      <c r="OA40" s="77">
        <v>205.31296399999999</v>
      </c>
      <c r="OB40" s="77">
        <v>201.89380800000001</v>
      </c>
      <c r="OC40" s="77">
        <v>201.64722</v>
      </c>
      <c r="OD40" s="77">
        <v>205.312859</v>
      </c>
      <c r="OE40" s="77">
        <v>181.77826099999999</v>
      </c>
      <c r="OF40" s="77">
        <v>181.54042000000001</v>
      </c>
      <c r="OG40" s="77">
        <v>174.01302899999999</v>
      </c>
      <c r="OH40" s="77">
        <v>170.71536499999999</v>
      </c>
      <c r="OI40" s="77">
        <v>170.47754399999999</v>
      </c>
      <c r="OJ40" s="77">
        <v>174.01292900000001</v>
      </c>
      <c r="OK40" s="77">
        <v>170.715282</v>
      </c>
      <c r="OL40" s="77">
        <v>190.563301</v>
      </c>
      <c r="OM40" s="77">
        <v>194.31661600000001</v>
      </c>
      <c r="ON40" s="77">
        <v>190.815662</v>
      </c>
      <c r="OO40" s="77">
        <v>190.563174</v>
      </c>
      <c r="OP40" s="77">
        <v>194.316485</v>
      </c>
      <c r="OQ40" s="77">
        <v>190.81555800000001</v>
      </c>
      <c r="OR40" s="77">
        <v>190.56308000000001</v>
      </c>
      <c r="OS40" s="77">
        <v>189.05854600000001</v>
      </c>
      <c r="OT40" s="77">
        <v>185.696145</v>
      </c>
      <c r="OU40" s="77">
        <v>197.396613</v>
      </c>
      <c r="OV40" s="77">
        <v>201.001374</v>
      </c>
      <c r="OW40" s="77">
        <v>197.639002</v>
      </c>
      <c r="OX40" s="77">
        <v>197.396503</v>
      </c>
      <c r="OY40" s="77">
        <v>201.00127699999999</v>
      </c>
      <c r="OZ40" s="77">
        <v>193.316619</v>
      </c>
      <c r="PA40" s="77">
        <v>193.06596400000001</v>
      </c>
      <c r="PB40" s="77">
        <v>185.32327000000001</v>
      </c>
      <c r="PC40" s="77">
        <v>181.848062</v>
      </c>
      <c r="PD40" s="77">
        <v>181.59742900000001</v>
      </c>
      <c r="PE40" s="77">
        <v>185.323161</v>
      </c>
      <c r="PF40" s="77">
        <v>181.84796700000001</v>
      </c>
      <c r="PG40" s="77">
        <v>179.65534</v>
      </c>
      <c r="PH40" s="77">
        <v>183.19743099999999</v>
      </c>
      <c r="PI40" s="77">
        <v>179.89349899999999</v>
      </c>
      <c r="PJ40" s="77">
        <v>179.655214</v>
      </c>
      <c r="PK40" s="77">
        <v>183.197306</v>
      </c>
      <c r="PL40" s="77">
        <v>179.893394</v>
      </c>
      <c r="PM40" s="77">
        <v>179.655123</v>
      </c>
      <c r="PN40" s="77">
        <v>175.79339999999999</v>
      </c>
      <c r="PO40" s="77">
        <v>172.359545</v>
      </c>
      <c r="PP40" s="77">
        <v>185.34558699999999</v>
      </c>
      <c r="PQ40" s="77">
        <v>189.02699200000001</v>
      </c>
      <c r="PR40" s="77">
        <v>185.59312600000001</v>
      </c>
      <c r="PS40" s="77">
        <v>185.34548000000001</v>
      </c>
      <c r="PT40" s="77">
        <v>189.02689799999999</v>
      </c>
      <c r="PU40" s="77">
        <v>190.85412500000001</v>
      </c>
      <c r="PV40" s="77">
        <v>190.613529</v>
      </c>
      <c r="PW40" s="77">
        <v>180.17737700000001</v>
      </c>
      <c r="PX40" s="77">
        <v>176.84152399999999</v>
      </c>
      <c r="PY40" s="77">
        <v>176.60093499999999</v>
      </c>
      <c r="PZ40" s="77">
        <v>180.17726999999999</v>
      </c>
      <c r="QA40" s="77">
        <v>176.84143800000001</v>
      </c>
      <c r="QB40" s="77">
        <v>185.333811</v>
      </c>
      <c r="QC40" s="77">
        <v>189.12222700000001</v>
      </c>
      <c r="QD40" s="77">
        <v>185.588516</v>
      </c>
      <c r="QE40" s="77">
        <v>185.33367999999999</v>
      </c>
      <c r="QF40" s="77">
        <v>189.122107</v>
      </c>
      <c r="QG40" s="77">
        <v>185.588413</v>
      </c>
      <c r="QH40" s="77">
        <v>185.33358999999999</v>
      </c>
      <c r="QI40" s="77">
        <v>172.47918300000001</v>
      </c>
      <c r="QJ40" s="77">
        <v>169.26644200000001</v>
      </c>
      <c r="QK40" s="77">
        <v>169.03472600000001</v>
      </c>
      <c r="QL40" s="77">
        <v>172.47904199999999</v>
      </c>
      <c r="QM40" s="77">
        <v>169.26632599999999</v>
      </c>
      <c r="QN40" s="77">
        <v>169.03462300000001</v>
      </c>
      <c r="QO40" s="77">
        <v>172.47895600000001</v>
      </c>
      <c r="QP40" s="77">
        <v>172.16034500000001</v>
      </c>
      <c r="QQ40" s="77">
        <v>171.91856999999999</v>
      </c>
      <c r="QR40" s="77">
        <v>175.512171</v>
      </c>
      <c r="QS40" s="77">
        <v>172.16021699999999</v>
      </c>
    </row>
    <row r="41" spans="6:461" x14ac:dyDescent="0.25">
      <c r="F41" s="76" t="str">
        <f xml:space="preserve"> _xll.EPMOlapMemberO("[PRDDESCR].[].[WONDER GFREE WHOLEM 500G]","","WONDER GFREE WHOLEM 500G","","000")</f>
        <v>WONDER GFREE WHOLEM 500G</v>
      </c>
      <c r="G41" s="76" t="str">
        <f xml:space="preserve"> _xll.EPMOlapMemberO("[PRDID].[].[179650]","","179650","","000")</f>
        <v>179650</v>
      </c>
      <c r="H41" s="76" t="str">
        <f xml:space="preserve"> _xll.EPMOlapMemberO("[LOCID].[].[6110]","","6110","","000")</f>
        <v>6110</v>
      </c>
      <c r="I41" s="76" t="str">
        <f xml:space="preserve"> _xll.EPMOlapMemberO("[LOCDESCR].[].[QBA-Burleigh Heads]","","QBA-Burleigh Heads","","000")</f>
        <v>QBA-Burleigh Heads</v>
      </c>
      <c r="J41" s="76" t="str">
        <f xml:space="preserve"> _xll.EPMOlapMemberO("[KEY_FIGURES].[].[ZGFAPPROVEDFCSTQTY]","","Approved Forecast","","000")</f>
        <v>Approved Forecast</v>
      </c>
      <c r="K41" s="77">
        <v>660.18301799999995</v>
      </c>
      <c r="L41" s="77">
        <v>306.12320899999997</v>
      </c>
      <c r="M41" s="77">
        <v>492.98112099999997</v>
      </c>
      <c r="N41" s="77">
        <v>316.409784</v>
      </c>
      <c r="O41" s="77">
        <v>489.23767700000002</v>
      </c>
      <c r="P41" s="77">
        <v>358.278819</v>
      </c>
      <c r="Q41" s="77">
        <v>0.15581900000000001</v>
      </c>
      <c r="R41" s="77">
        <v>592.60193300000003</v>
      </c>
      <c r="S41" s="77">
        <v>261.56686500000001</v>
      </c>
      <c r="T41" s="77">
        <v>418.11513200000002</v>
      </c>
      <c r="U41" s="77">
        <v>271.00830300000001</v>
      </c>
      <c r="V41" s="77">
        <v>416.50811399999998</v>
      </c>
      <c r="W41" s="77">
        <v>303.133531</v>
      </c>
      <c r="X41" s="77">
        <v>0.147371</v>
      </c>
      <c r="Y41" s="77">
        <v>580.74983399999996</v>
      </c>
      <c r="Z41" s="77">
        <v>258.638643</v>
      </c>
      <c r="AA41" s="77">
        <v>418.36771800000002</v>
      </c>
      <c r="AB41" s="77">
        <v>272.04949199999999</v>
      </c>
      <c r="AC41" s="77">
        <v>413.59700299999997</v>
      </c>
      <c r="AD41" s="77">
        <v>292.74464699999999</v>
      </c>
      <c r="AE41" s="77"/>
      <c r="AF41" s="77"/>
      <c r="AG41" s="77"/>
      <c r="AH41" s="77"/>
      <c r="AI41" s="77"/>
      <c r="AJ41" s="77"/>
      <c r="AK41" s="77"/>
      <c r="AL41" s="77">
        <v>0.14174500000000001</v>
      </c>
      <c r="AM41" s="77">
        <v>576.71695</v>
      </c>
      <c r="AN41" s="77">
        <v>245.695007</v>
      </c>
      <c r="AO41" s="77">
        <v>397.35199599999999</v>
      </c>
      <c r="AP41" s="77">
        <v>258.43009000000001</v>
      </c>
      <c r="AQ41" s="77">
        <v>392.653097</v>
      </c>
      <c r="AR41" s="77">
        <v>277.159042</v>
      </c>
      <c r="AS41" s="77">
        <v>0.14130999999999999</v>
      </c>
      <c r="AT41" s="77">
        <v>538.178268</v>
      </c>
      <c r="AU41" s="77">
        <v>239.76281299999999</v>
      </c>
      <c r="AV41" s="77">
        <v>386.087377</v>
      </c>
      <c r="AW41" s="77">
        <v>252.71297100000001</v>
      </c>
      <c r="AX41" s="77">
        <v>381.62755299999998</v>
      </c>
      <c r="AY41" s="77">
        <v>268.32147700000002</v>
      </c>
      <c r="AZ41" s="77">
        <v>0.14768700000000001</v>
      </c>
      <c r="BA41" s="77">
        <v>598.98550999999998</v>
      </c>
      <c r="BB41" s="77">
        <v>283.53881000000001</v>
      </c>
      <c r="BC41" s="77">
        <v>460.37846500000001</v>
      </c>
      <c r="BD41" s="77">
        <v>297.55439000000001</v>
      </c>
      <c r="BE41" s="77">
        <v>456.00628399999999</v>
      </c>
      <c r="BF41" s="77">
        <v>328.43884300000002</v>
      </c>
      <c r="BG41" s="77">
        <v>0.149475</v>
      </c>
      <c r="BH41" s="77">
        <v>609.30244600000003</v>
      </c>
      <c r="BI41" s="77">
        <v>258.48903100000001</v>
      </c>
      <c r="BJ41" s="77">
        <v>416.52065299999998</v>
      </c>
      <c r="BK41" s="77">
        <v>272.40905600000002</v>
      </c>
      <c r="BL41" s="77">
        <v>411.94785100000001</v>
      </c>
      <c r="BM41" s="77">
        <v>290.86979700000001</v>
      </c>
      <c r="BN41" s="77">
        <v>0.14063100000000001</v>
      </c>
      <c r="BO41" s="77">
        <v>529.90237500000001</v>
      </c>
      <c r="BP41" s="77">
        <v>235.30094099999999</v>
      </c>
      <c r="BQ41" s="77">
        <v>379.16654799999998</v>
      </c>
      <c r="BR41" s="77">
        <v>247.951438</v>
      </c>
      <c r="BS41" s="77">
        <v>374.54336599999999</v>
      </c>
      <c r="BT41" s="77">
        <v>262.47096399999998</v>
      </c>
      <c r="BU41" s="77">
        <v>0.143095</v>
      </c>
      <c r="BV41" s="77">
        <v>577.60283500000003</v>
      </c>
      <c r="BW41" s="77">
        <v>270.10309999999998</v>
      </c>
      <c r="BX41" s="77">
        <v>437.17069800000002</v>
      </c>
      <c r="BY41" s="77">
        <v>283.85202900000002</v>
      </c>
      <c r="BZ41" s="77">
        <v>433.09986800000001</v>
      </c>
      <c r="CA41" s="77">
        <v>311.096518</v>
      </c>
      <c r="CB41" s="77">
        <v>0.14948</v>
      </c>
      <c r="CC41" s="77">
        <v>583.26425700000004</v>
      </c>
      <c r="CD41" s="77">
        <v>251.00892899999999</v>
      </c>
      <c r="CE41" s="77">
        <v>403.80354399999999</v>
      </c>
      <c r="CF41" s="77">
        <v>264.77784100000002</v>
      </c>
      <c r="CG41" s="77">
        <v>399.12561199999999</v>
      </c>
      <c r="CH41" s="77">
        <v>280.05964999999998</v>
      </c>
      <c r="CI41" s="77">
        <v>0.15337700000000001</v>
      </c>
      <c r="CJ41" s="77">
        <v>577.01213600000005</v>
      </c>
      <c r="CK41" s="77">
        <v>258.37118400000003</v>
      </c>
      <c r="CL41" s="77">
        <v>415.02501599999999</v>
      </c>
      <c r="CM41" s="77">
        <v>272.75389899999999</v>
      </c>
      <c r="CN41" s="77">
        <v>410.42182600000001</v>
      </c>
      <c r="CO41" s="77">
        <v>288.29303800000002</v>
      </c>
      <c r="CP41" s="77">
        <v>0.143841</v>
      </c>
      <c r="CQ41" s="77">
        <v>563.06068200000004</v>
      </c>
      <c r="CR41" s="77">
        <v>252.10599400000001</v>
      </c>
      <c r="CS41" s="77">
        <v>406.06363900000002</v>
      </c>
      <c r="CT41" s="77">
        <v>265.65662600000002</v>
      </c>
      <c r="CU41" s="77">
        <v>401.79851000000002</v>
      </c>
      <c r="CV41" s="77">
        <v>284.52669500000002</v>
      </c>
      <c r="CW41" s="77">
        <v>0.164664</v>
      </c>
      <c r="CX41" s="77">
        <v>635.39768400000003</v>
      </c>
      <c r="CY41" s="77">
        <v>284.37693200000001</v>
      </c>
      <c r="CZ41" s="77">
        <v>458.71765099999999</v>
      </c>
      <c r="DA41" s="77">
        <v>299.68750199999999</v>
      </c>
      <c r="DB41" s="77">
        <v>453.617391</v>
      </c>
      <c r="DC41" s="77">
        <v>320.20778899999999</v>
      </c>
      <c r="DD41" s="77">
        <v>0.15181700000000001</v>
      </c>
      <c r="DE41" s="77">
        <v>591.43216500000005</v>
      </c>
      <c r="DF41" s="77">
        <v>264.98619500000001</v>
      </c>
      <c r="DG41" s="77">
        <v>426.90848</v>
      </c>
      <c r="DH41" s="77">
        <v>279.28155800000002</v>
      </c>
      <c r="DI41" s="77">
        <v>422.38034599999997</v>
      </c>
      <c r="DJ41" s="77">
        <v>298.861288</v>
      </c>
      <c r="DK41" s="77">
        <v>0.14743800000000001</v>
      </c>
      <c r="DL41" s="77">
        <v>561.10578999999996</v>
      </c>
      <c r="DM41" s="77">
        <v>260.96184499999998</v>
      </c>
      <c r="DN41" s="77">
        <v>420.885785</v>
      </c>
      <c r="DO41" s="77">
        <v>274.83964900000001</v>
      </c>
      <c r="DP41" s="77">
        <v>416.48659099999998</v>
      </c>
      <c r="DQ41" s="77">
        <v>295.49136099999998</v>
      </c>
      <c r="DR41" s="77">
        <v>0.138571</v>
      </c>
      <c r="DS41" s="77">
        <v>572.66692599999999</v>
      </c>
      <c r="DT41" s="77">
        <v>257.05717099999998</v>
      </c>
      <c r="DU41" s="77">
        <v>409.09283900000003</v>
      </c>
      <c r="DV41" s="77">
        <v>272.70749599999999</v>
      </c>
      <c r="DW41" s="77">
        <v>404.52322400000003</v>
      </c>
      <c r="DX41" s="77">
        <v>280.26342299999999</v>
      </c>
      <c r="DY41" s="77">
        <v>0.17436399999999999</v>
      </c>
      <c r="DZ41" s="77">
        <v>594.14127800000006</v>
      </c>
      <c r="EA41" s="77">
        <v>255.79909499999999</v>
      </c>
      <c r="EB41" s="77">
        <v>412.06379099999998</v>
      </c>
      <c r="EC41" s="77">
        <v>269.602665</v>
      </c>
      <c r="ED41" s="77">
        <v>407.534806</v>
      </c>
      <c r="EE41" s="77">
        <v>287.63724500000001</v>
      </c>
      <c r="EF41" s="77">
        <v>0.14281099999999999</v>
      </c>
      <c r="EG41" s="77">
        <v>545.477621</v>
      </c>
      <c r="EH41" s="77">
        <v>243.371421</v>
      </c>
      <c r="EI41" s="77">
        <v>391.77189900000002</v>
      </c>
      <c r="EJ41" s="77">
        <v>256.55939599999999</v>
      </c>
      <c r="EK41" s="77">
        <v>387.34021000000001</v>
      </c>
      <c r="EL41" s="77">
        <v>272.63002899999998</v>
      </c>
      <c r="EM41" s="77">
        <v>0.13933899999999999</v>
      </c>
      <c r="EN41" s="77">
        <v>537.065381</v>
      </c>
      <c r="EO41" s="77">
        <v>239.327707</v>
      </c>
      <c r="EP41" s="77">
        <v>385.68416200000001</v>
      </c>
      <c r="EQ41" s="77">
        <v>252.12729100000001</v>
      </c>
      <c r="ER41" s="77">
        <v>381.30974900000001</v>
      </c>
      <c r="ES41" s="77">
        <v>268.78073799999999</v>
      </c>
      <c r="ET41" s="77">
        <v>0.14388999999999999</v>
      </c>
      <c r="EU41" s="77">
        <v>616.74792200000002</v>
      </c>
      <c r="EV41" s="77">
        <v>298.53302600000001</v>
      </c>
      <c r="EW41" s="77">
        <v>485.35022800000002</v>
      </c>
      <c r="EX41" s="77">
        <v>312.91946000000002</v>
      </c>
      <c r="EY41" s="77">
        <v>481.64490499999999</v>
      </c>
      <c r="EZ41" s="77">
        <v>351.727442</v>
      </c>
      <c r="FA41" s="77">
        <v>0.151139</v>
      </c>
      <c r="FB41" s="77">
        <v>628.39764300000002</v>
      </c>
      <c r="FC41" s="77">
        <v>264.06692900000002</v>
      </c>
      <c r="FD41" s="77">
        <v>427.63202899999999</v>
      </c>
      <c r="FE41" s="77">
        <v>277.66028299999999</v>
      </c>
      <c r="FF41" s="77">
        <v>422.599268</v>
      </c>
      <c r="FG41" s="77">
        <v>298.78272299999998</v>
      </c>
      <c r="FH41" s="77">
        <v>0.176624</v>
      </c>
      <c r="FI41" s="77">
        <v>677.77023399999996</v>
      </c>
      <c r="FJ41" s="77">
        <v>319.99892899999998</v>
      </c>
      <c r="FK41" s="77">
        <v>523.04844100000003</v>
      </c>
      <c r="FL41" s="77">
        <v>335.19349299999999</v>
      </c>
      <c r="FM41" s="77">
        <v>516.49399900000003</v>
      </c>
      <c r="FN41" s="77">
        <v>367.42331999999999</v>
      </c>
      <c r="FO41" s="77">
        <v>0.14890600000000001</v>
      </c>
      <c r="FP41" s="77">
        <v>687.09690899999998</v>
      </c>
      <c r="FQ41" s="77">
        <v>295.96644400000002</v>
      </c>
      <c r="FR41" s="77">
        <v>477.71741800000001</v>
      </c>
      <c r="FS41" s="77">
        <v>312.08674500000001</v>
      </c>
      <c r="FT41" s="77">
        <v>471.494123</v>
      </c>
      <c r="FU41" s="77">
        <v>328.625832</v>
      </c>
      <c r="FV41" s="77">
        <v>0.169019</v>
      </c>
      <c r="FW41" s="77">
        <v>646.56037500000002</v>
      </c>
      <c r="FX41" s="77">
        <v>295.27585800000003</v>
      </c>
      <c r="FY41" s="77">
        <v>484.16375399999998</v>
      </c>
      <c r="FZ41" s="77">
        <v>308.20697999999999</v>
      </c>
      <c r="GA41" s="77">
        <v>479.82806599999998</v>
      </c>
      <c r="GB41" s="77">
        <v>351.34024799999997</v>
      </c>
      <c r="GC41" s="77">
        <v>0.14576800000000001</v>
      </c>
      <c r="GD41" s="77">
        <v>629.39806899999996</v>
      </c>
      <c r="GE41" s="77">
        <v>264.84796999999998</v>
      </c>
      <c r="GF41" s="77">
        <v>428.83845600000001</v>
      </c>
      <c r="GG41" s="77">
        <v>278.37355100000002</v>
      </c>
      <c r="GH41" s="77">
        <v>424.31550700000003</v>
      </c>
      <c r="GI41" s="77">
        <v>302.456118</v>
      </c>
      <c r="GJ41" s="77">
        <v>0.151336</v>
      </c>
      <c r="GK41" s="77">
        <v>577.70756600000004</v>
      </c>
      <c r="GL41" s="77">
        <v>258.18337700000001</v>
      </c>
      <c r="GM41" s="77">
        <v>415.69093500000002</v>
      </c>
      <c r="GN41" s="77">
        <v>272.22913899999998</v>
      </c>
      <c r="GO41" s="77">
        <v>411.02623999999997</v>
      </c>
      <c r="GP41" s="77">
        <v>289.40497299999998</v>
      </c>
      <c r="GQ41" s="77">
        <v>0.144345</v>
      </c>
      <c r="GR41" s="77">
        <v>526.68495399999995</v>
      </c>
      <c r="GS41" s="77">
        <v>261.44690100000003</v>
      </c>
      <c r="GT41" s="77">
        <v>421.57460600000002</v>
      </c>
      <c r="GU41" s="77">
        <v>275.30551800000001</v>
      </c>
      <c r="GV41" s="77">
        <v>417.48509799999999</v>
      </c>
      <c r="GW41" s="77">
        <v>297.63023199999998</v>
      </c>
      <c r="GX41" s="77">
        <v>0.146119</v>
      </c>
      <c r="GY41" s="77">
        <v>590.05756599999995</v>
      </c>
      <c r="GZ41" s="77">
        <v>238.26752200000001</v>
      </c>
      <c r="HA41" s="77">
        <v>381.74436300000002</v>
      </c>
      <c r="HB41" s="77">
        <v>251.82059599999999</v>
      </c>
      <c r="HC41" s="77">
        <v>377.27763199999998</v>
      </c>
      <c r="HD41" s="77">
        <v>263.11173000000002</v>
      </c>
      <c r="HE41" s="77">
        <v>0.16820199999999999</v>
      </c>
      <c r="HF41" s="77">
        <v>641.619595</v>
      </c>
      <c r="HG41" s="77">
        <v>304.10116399999998</v>
      </c>
      <c r="HH41" s="77">
        <v>490.29847999999998</v>
      </c>
      <c r="HI41" s="77">
        <v>320.45992899999999</v>
      </c>
      <c r="HJ41" s="77">
        <v>485.63619699999998</v>
      </c>
      <c r="HK41" s="77">
        <v>346.21089599999999</v>
      </c>
      <c r="HL41" s="77">
        <v>0.155055</v>
      </c>
      <c r="HM41" s="77">
        <v>634.36288500000001</v>
      </c>
      <c r="HN41" s="77">
        <v>270.28020099999998</v>
      </c>
      <c r="HO41" s="77">
        <v>436.44955900000002</v>
      </c>
      <c r="HP41" s="77">
        <v>284.59655700000002</v>
      </c>
      <c r="HQ41" s="77">
        <v>431.582808</v>
      </c>
      <c r="HR41" s="77">
        <v>305.16562099999999</v>
      </c>
      <c r="HS41" s="77">
        <v>0.15032499999999999</v>
      </c>
      <c r="HT41" s="77">
        <v>638.43597699999998</v>
      </c>
      <c r="HU41" s="77">
        <v>311.97648700000002</v>
      </c>
      <c r="HV41" s="77">
        <v>501.59058800000003</v>
      </c>
      <c r="HW41" s="77">
        <v>329.23184400000002</v>
      </c>
      <c r="HX41" s="77">
        <v>497.053563</v>
      </c>
      <c r="HY41" s="77">
        <v>354.03347600000001</v>
      </c>
      <c r="HZ41" s="77">
        <v>0.17668800000000001</v>
      </c>
      <c r="IA41" s="77">
        <v>639.13837000000001</v>
      </c>
      <c r="IB41" s="77">
        <v>271.99028499999997</v>
      </c>
      <c r="IC41" s="77">
        <v>441.07886000000002</v>
      </c>
      <c r="ID41" s="77">
        <v>285.80467199999998</v>
      </c>
      <c r="IE41" s="77">
        <v>435.95225699999997</v>
      </c>
      <c r="IF41" s="77">
        <v>309.056962</v>
      </c>
      <c r="IG41" s="77">
        <v>0.15226500000000001</v>
      </c>
      <c r="IH41" s="77">
        <v>629.00655400000005</v>
      </c>
      <c r="II41" s="77">
        <v>277.85252800000001</v>
      </c>
      <c r="IJ41" s="77">
        <v>453.29090200000002</v>
      </c>
      <c r="IK41" s="77">
        <v>291.09910200000002</v>
      </c>
      <c r="IL41" s="77">
        <v>447.82280200000002</v>
      </c>
      <c r="IM41" s="77">
        <v>319.082741</v>
      </c>
      <c r="IN41" s="77">
        <v>0.14935399999999999</v>
      </c>
      <c r="IO41" s="77">
        <v>635.91056200000003</v>
      </c>
      <c r="IP41" s="77">
        <v>275.142718</v>
      </c>
      <c r="IQ41" s="77">
        <v>447.66983699999997</v>
      </c>
      <c r="IR41" s="77">
        <v>288.55102699999998</v>
      </c>
      <c r="IS41" s="77">
        <v>442.72288200000003</v>
      </c>
      <c r="IT41" s="77">
        <v>316.49724600000002</v>
      </c>
      <c r="IU41" s="77">
        <v>0.14257300000000001</v>
      </c>
      <c r="IV41" s="77">
        <v>643.34118599999999</v>
      </c>
      <c r="IW41" s="77">
        <v>313.69437299999998</v>
      </c>
      <c r="IX41" s="77">
        <v>506.80059699999998</v>
      </c>
      <c r="IY41" s="77">
        <v>330.27373799999998</v>
      </c>
      <c r="IZ41" s="77">
        <v>501.89928800000001</v>
      </c>
      <c r="JA41" s="77">
        <v>358.34337399999998</v>
      </c>
      <c r="JB41" s="77">
        <v>0.175985</v>
      </c>
      <c r="JC41" s="77">
        <v>657.90471100000002</v>
      </c>
      <c r="JD41" s="77">
        <v>270.03872699999999</v>
      </c>
      <c r="JE41" s="77">
        <v>440.01434399999999</v>
      </c>
      <c r="JF41" s="77">
        <v>282.985073</v>
      </c>
      <c r="JG41" s="77">
        <v>434.98576800000001</v>
      </c>
      <c r="JH41" s="77">
        <v>310.84056600000002</v>
      </c>
      <c r="JI41" s="77">
        <v>0.15917799999999999</v>
      </c>
      <c r="JJ41" s="77">
        <v>653.96411699999999</v>
      </c>
      <c r="JK41" s="77">
        <v>292.813062</v>
      </c>
      <c r="JL41" s="77">
        <v>474.73296199999999</v>
      </c>
      <c r="JM41" s="77">
        <v>307.68368600000002</v>
      </c>
      <c r="JN41" s="77">
        <v>469.82718499999999</v>
      </c>
      <c r="JO41" s="77">
        <v>335.72139499999997</v>
      </c>
      <c r="JP41" s="77">
        <v>0.160575</v>
      </c>
      <c r="JQ41" s="77">
        <v>582.99554899999998</v>
      </c>
      <c r="JR41" s="77">
        <v>261.12571200000002</v>
      </c>
      <c r="JS41" s="77">
        <v>418.22578299999998</v>
      </c>
      <c r="JT41" s="77">
        <v>276.15679799999998</v>
      </c>
      <c r="JU41" s="77">
        <v>413.38973700000003</v>
      </c>
      <c r="JV41" s="77">
        <v>288.19945999999999</v>
      </c>
      <c r="JW41" s="77">
        <v>0.17824100000000001</v>
      </c>
      <c r="JX41" s="77">
        <v>1005.808436</v>
      </c>
      <c r="JY41" s="77">
        <v>434.39053699999999</v>
      </c>
      <c r="JZ41" s="77">
        <v>746.83813499999997</v>
      </c>
      <c r="KA41" s="77">
        <v>436.08730000000003</v>
      </c>
      <c r="KB41" s="77">
        <v>0.19361500000000001</v>
      </c>
      <c r="KC41" s="77">
        <v>0.22813700000000001</v>
      </c>
      <c r="KD41" s="77">
        <v>296.10516899999999</v>
      </c>
      <c r="KE41" s="77">
        <v>332.882205</v>
      </c>
      <c r="KF41" s="77">
        <v>418.30276900000001</v>
      </c>
      <c r="KG41" s="77">
        <v>371.59931799999998</v>
      </c>
      <c r="KH41" s="77">
        <v>359.437769</v>
      </c>
      <c r="KI41" s="77">
        <v>328.12153000000001</v>
      </c>
      <c r="KJ41" s="77">
        <v>370.76200499999999</v>
      </c>
      <c r="KK41" s="77">
        <v>335.17395699999997</v>
      </c>
      <c r="KL41" s="77">
        <v>374.54512099999999</v>
      </c>
      <c r="KM41" s="77">
        <v>408.79315600000001</v>
      </c>
      <c r="KN41" s="77">
        <v>362.95641899999998</v>
      </c>
      <c r="KO41" s="77">
        <v>350.91324600000002</v>
      </c>
      <c r="KP41" s="77">
        <v>320.193512</v>
      </c>
      <c r="KQ41" s="77">
        <v>362.27339899999998</v>
      </c>
      <c r="KR41" s="77">
        <v>290.382206</v>
      </c>
      <c r="KS41" s="77">
        <v>326.06486799999999</v>
      </c>
      <c r="KT41" s="77">
        <v>410.23308800000001</v>
      </c>
      <c r="KU41" s="77">
        <v>364.48125800000003</v>
      </c>
      <c r="KV41" s="77">
        <v>352.43051200000002</v>
      </c>
      <c r="KW41" s="77">
        <v>322.26468899999998</v>
      </c>
      <c r="KX41" s="77">
        <v>363.82214199999999</v>
      </c>
      <c r="KY41" s="77">
        <v>319.12332600000002</v>
      </c>
      <c r="KZ41" s="77">
        <v>357.47477099999998</v>
      </c>
      <c r="LA41" s="77">
        <v>393.44488000000001</v>
      </c>
      <c r="LB41" s="77">
        <v>348.26953600000002</v>
      </c>
      <c r="LC41" s="77">
        <v>334.85720099999998</v>
      </c>
      <c r="LD41" s="77">
        <v>307.78540299999997</v>
      </c>
      <c r="LE41" s="77">
        <v>349.4941</v>
      </c>
      <c r="LF41" s="77">
        <v>289.83562699999999</v>
      </c>
      <c r="LG41" s="77">
        <v>325.46392700000001</v>
      </c>
      <c r="LH41" s="77">
        <v>382.63012600000002</v>
      </c>
      <c r="LI41" s="77">
        <v>339.00656199999997</v>
      </c>
      <c r="LJ41" s="77">
        <v>326.4067</v>
      </c>
      <c r="LK41" s="77">
        <v>299.61672600000003</v>
      </c>
      <c r="LL41" s="77">
        <v>339.75375600000001</v>
      </c>
      <c r="LM41" s="77">
        <v>288.57814200000001</v>
      </c>
      <c r="LN41" s="77">
        <v>323.729153</v>
      </c>
      <c r="LO41" s="77">
        <v>406.01315899999997</v>
      </c>
      <c r="LP41" s="77">
        <v>360.91252700000001</v>
      </c>
      <c r="LQ41" s="77">
        <v>349.21776899999998</v>
      </c>
      <c r="LR41" s="77">
        <v>319.18031100000002</v>
      </c>
      <c r="LS41" s="77">
        <v>360.033231</v>
      </c>
      <c r="LT41" s="77">
        <v>315.21666199999999</v>
      </c>
      <c r="LU41" s="77">
        <v>352.35969299999999</v>
      </c>
      <c r="LV41" s="77">
        <v>387.143349</v>
      </c>
      <c r="LW41" s="77">
        <v>343.42697399999997</v>
      </c>
      <c r="LX41" s="77">
        <v>331.364307</v>
      </c>
      <c r="LY41" s="77">
        <v>303.38938400000001</v>
      </c>
      <c r="LZ41" s="77">
        <v>343.480662</v>
      </c>
      <c r="MA41" s="77">
        <v>283.33401300000003</v>
      </c>
      <c r="MB41" s="77">
        <v>318.52762000000001</v>
      </c>
      <c r="MC41" s="77">
        <v>374.40264400000001</v>
      </c>
      <c r="MD41" s="77">
        <v>331.74451699999997</v>
      </c>
      <c r="ME41" s="77">
        <v>319.66676200000001</v>
      </c>
      <c r="MF41" s="77">
        <v>292.72449399999999</v>
      </c>
      <c r="MG41" s="77">
        <v>332.18374999999997</v>
      </c>
      <c r="MH41" s="77">
        <v>270.87270999999998</v>
      </c>
      <c r="MI41" s="77">
        <v>304.08018800000002</v>
      </c>
      <c r="MJ41" s="77">
        <v>385.00236799999999</v>
      </c>
      <c r="MK41" s="77">
        <v>342.25170400000002</v>
      </c>
      <c r="ML41" s="77">
        <v>331.20953500000002</v>
      </c>
      <c r="MM41" s="77">
        <v>302.60112500000002</v>
      </c>
      <c r="MN41" s="77">
        <v>341.36656499999998</v>
      </c>
      <c r="MO41" s="77">
        <v>337.91016400000001</v>
      </c>
      <c r="MP41" s="77">
        <v>375.27589599999999</v>
      </c>
      <c r="MQ41" s="77">
        <v>402.32926200000003</v>
      </c>
      <c r="MR41" s="77">
        <v>358.14609000000002</v>
      </c>
      <c r="MS41" s="77">
        <v>347.116446</v>
      </c>
      <c r="MT41" s="77">
        <v>317.14992899999999</v>
      </c>
      <c r="MU41" s="77">
        <v>356.74794000000003</v>
      </c>
      <c r="MV41" s="77">
        <v>301.97714000000002</v>
      </c>
      <c r="MW41" s="77">
        <v>338.60661800000003</v>
      </c>
      <c r="MX41" s="77">
        <v>397.56368800000001</v>
      </c>
      <c r="MY41" s="77">
        <v>352.913498</v>
      </c>
      <c r="MZ41" s="77">
        <v>340.98530599999998</v>
      </c>
      <c r="NA41" s="77">
        <v>311.56043899999997</v>
      </c>
      <c r="NB41" s="77">
        <v>352.48721399999999</v>
      </c>
      <c r="NC41" s="77">
        <v>283.55023899999998</v>
      </c>
      <c r="ND41" s="77">
        <v>318.90398900000002</v>
      </c>
      <c r="NE41" s="77">
        <v>391.78152</v>
      </c>
      <c r="NF41" s="77">
        <v>347.79244299999999</v>
      </c>
      <c r="NG41" s="77">
        <v>336.15683300000001</v>
      </c>
      <c r="NH41" s="77">
        <v>306.808674</v>
      </c>
      <c r="NI41" s="77">
        <v>347.23368900000003</v>
      </c>
      <c r="NJ41" s="77">
        <v>344.39087899999998</v>
      </c>
      <c r="NK41" s="77">
        <v>383.815879</v>
      </c>
      <c r="NL41" s="77">
        <v>426.99643500000002</v>
      </c>
      <c r="NM41" s="77">
        <v>379.68971699999997</v>
      </c>
      <c r="NN41" s="77">
        <v>367.54661900000002</v>
      </c>
      <c r="NO41" s="77">
        <v>335.87182899999999</v>
      </c>
      <c r="NP41" s="77">
        <v>378.612346</v>
      </c>
      <c r="NQ41" s="77">
        <v>284.23466200000001</v>
      </c>
      <c r="NR41" s="77">
        <v>318.29163</v>
      </c>
      <c r="NS41" s="77">
        <v>373.53436199999999</v>
      </c>
      <c r="NT41" s="77">
        <v>331.830015</v>
      </c>
      <c r="NU41" s="77">
        <v>320.88859200000002</v>
      </c>
      <c r="NV41" s="77">
        <v>293.137697</v>
      </c>
      <c r="NW41" s="77">
        <v>331.18139600000001</v>
      </c>
      <c r="NX41" s="77">
        <v>282.27422100000001</v>
      </c>
      <c r="NY41" s="77">
        <v>316.95082600000001</v>
      </c>
      <c r="NZ41" s="77">
        <v>394.16697599999998</v>
      </c>
      <c r="OA41" s="77">
        <v>350.433921</v>
      </c>
      <c r="OB41" s="77">
        <v>339.41643599999998</v>
      </c>
      <c r="OC41" s="77">
        <v>309.327832</v>
      </c>
      <c r="OD41" s="77">
        <v>349.19394599999998</v>
      </c>
      <c r="OE41" s="77">
        <v>302.54806500000001</v>
      </c>
      <c r="OF41" s="77">
        <v>337.15308299999998</v>
      </c>
      <c r="OG41" s="77">
        <v>370.705647</v>
      </c>
      <c r="OH41" s="77">
        <v>329.65400799999998</v>
      </c>
      <c r="OI41" s="77">
        <v>319.18730199999999</v>
      </c>
      <c r="OJ41" s="77">
        <v>291.44387999999998</v>
      </c>
      <c r="OK41" s="77">
        <v>328.63563399999998</v>
      </c>
      <c r="OL41" s="77">
        <v>267.94978300000002</v>
      </c>
      <c r="OM41" s="77">
        <v>301.23511000000002</v>
      </c>
      <c r="ON41" s="77">
        <v>353.781297</v>
      </c>
      <c r="OO41" s="77">
        <v>313.79822200000001</v>
      </c>
      <c r="OP41" s="77">
        <v>303.05212999999998</v>
      </c>
      <c r="OQ41" s="77">
        <v>276.45449600000001</v>
      </c>
      <c r="OR41" s="77">
        <v>313.508533</v>
      </c>
      <c r="OS41" s="77">
        <v>260.89975700000002</v>
      </c>
      <c r="OT41" s="77">
        <v>292.94856700000003</v>
      </c>
      <c r="OU41" s="77">
        <v>364.09736299999997</v>
      </c>
      <c r="OV41" s="77">
        <v>323.54770100000002</v>
      </c>
      <c r="OW41" s="77">
        <v>313.02949799999999</v>
      </c>
      <c r="OX41" s="77">
        <v>285.81450899999999</v>
      </c>
      <c r="OY41" s="77">
        <v>322.76844599999998</v>
      </c>
      <c r="OZ41" s="77">
        <v>312.35685599999999</v>
      </c>
      <c r="PA41" s="77">
        <v>348.82016399999998</v>
      </c>
      <c r="PB41" s="77">
        <v>384.82119499999999</v>
      </c>
      <c r="PC41" s="77">
        <v>341.93158499999998</v>
      </c>
      <c r="PD41" s="77">
        <v>330.88559400000003</v>
      </c>
      <c r="PE41" s="77">
        <v>301.82083799999998</v>
      </c>
      <c r="PF41" s="77">
        <v>341.01372700000002</v>
      </c>
      <c r="PG41" s="77">
        <v>281.62357400000002</v>
      </c>
      <c r="PH41" s="77">
        <v>315.70701200000002</v>
      </c>
      <c r="PI41" s="77">
        <v>370.65616299999999</v>
      </c>
      <c r="PJ41" s="77">
        <v>329.04445600000003</v>
      </c>
      <c r="PK41" s="77">
        <v>317.891752</v>
      </c>
      <c r="PL41" s="77">
        <v>290.580804</v>
      </c>
      <c r="PM41" s="77">
        <v>328.69059900000002</v>
      </c>
      <c r="PN41" s="77">
        <v>255.827776</v>
      </c>
      <c r="PO41" s="77">
        <v>287.82140600000002</v>
      </c>
      <c r="PP41" s="77">
        <v>362.13017000000002</v>
      </c>
      <c r="PQ41" s="77">
        <v>321.66478499999999</v>
      </c>
      <c r="PR41" s="77">
        <v>311.12749400000001</v>
      </c>
      <c r="PS41" s="77">
        <v>283.877679</v>
      </c>
      <c r="PT41" s="77">
        <v>320.943243</v>
      </c>
      <c r="PU41" s="77">
        <v>307.80805400000003</v>
      </c>
      <c r="PV41" s="77">
        <v>342.90559999999999</v>
      </c>
      <c r="PW41" s="77">
        <v>371.14329700000002</v>
      </c>
      <c r="PX41" s="77">
        <v>329.948373</v>
      </c>
      <c r="PY41" s="77">
        <v>319.348704</v>
      </c>
      <c r="PZ41" s="77">
        <v>291.66206</v>
      </c>
      <c r="QA41" s="77">
        <v>329.04654199999999</v>
      </c>
      <c r="QB41" s="77">
        <v>272.83333099999999</v>
      </c>
      <c r="QC41" s="77">
        <v>306.35726799999998</v>
      </c>
      <c r="QD41" s="77">
        <v>359.877028</v>
      </c>
      <c r="QE41" s="77">
        <v>319.168497</v>
      </c>
      <c r="QF41" s="77">
        <v>307.96365800000001</v>
      </c>
      <c r="QG41" s="77">
        <v>281.67723599999999</v>
      </c>
      <c r="QH41" s="77">
        <v>319.18999600000001</v>
      </c>
      <c r="QI41" s="77">
        <v>280.79971</v>
      </c>
      <c r="QJ41" s="77">
        <v>314.79827</v>
      </c>
      <c r="QK41" s="77">
        <v>369.70531499999998</v>
      </c>
      <c r="QL41" s="77">
        <v>328.06355100000002</v>
      </c>
      <c r="QM41" s="77">
        <v>316.65931999999998</v>
      </c>
      <c r="QN41" s="77">
        <v>289.88560200000001</v>
      </c>
      <c r="QO41" s="77">
        <v>328.00724200000002</v>
      </c>
      <c r="QP41" s="77">
        <v>274.93930999999998</v>
      </c>
      <c r="QQ41" s="77">
        <v>307.76155499999999</v>
      </c>
      <c r="QR41" s="77">
        <v>361.18748599999998</v>
      </c>
      <c r="QS41" s="77">
        <v>320.85720099999998</v>
      </c>
    </row>
    <row r="42" spans="6:461" x14ac:dyDescent="0.25">
      <c r="F42" s="76" t="str">
        <f xml:space="preserve"> _xll.EPMOlapMemberO("[PRDDESCR].[].[WONDER GFREE WHOLEM 500G]","","WONDER GFREE WHOLEM 500G","","000")</f>
        <v>WONDER GFREE WHOLEM 500G</v>
      </c>
      <c r="G42" s="76" t="str">
        <f xml:space="preserve"> _xll.EPMOlapMemberO("[PRDID].[].[179650]","","179650","","000")</f>
        <v>179650</v>
      </c>
      <c r="H42" s="76" t="str">
        <f xml:space="preserve"> _xll.EPMOlapMemberO("[LOCID].[].[6120]","","6120","","000")</f>
        <v>6120</v>
      </c>
      <c r="I42" s="76" t="str">
        <f xml:space="preserve"> _xll.EPMOlapMemberO("[LOCDESCR].[].[QBA-Hobart]","","QBA-Hobart","","000")</f>
        <v>QBA-Hobart</v>
      </c>
      <c r="J42" s="76" t="str">
        <f xml:space="preserve"> _xll.EPMOlapMemberO("[KEY_FIGURES].[].[ZGFAPPROVEDFCSTQTY]","","Approved Forecast","","000")</f>
        <v>Approved Forecast</v>
      </c>
      <c r="K42" s="77">
        <v>0</v>
      </c>
      <c r="L42" s="77">
        <v>56.432943000000002</v>
      </c>
      <c r="M42" s="77">
        <v>0</v>
      </c>
      <c r="N42" s="77">
        <v>50.672773999999997</v>
      </c>
      <c r="O42" s="77">
        <v>0</v>
      </c>
      <c r="P42" s="77">
        <v>0</v>
      </c>
      <c r="Q42" s="77">
        <v>55.851807000000001</v>
      </c>
      <c r="R42" s="77">
        <v>0</v>
      </c>
      <c r="S42" s="77">
        <v>53.206691999999997</v>
      </c>
      <c r="T42" s="77">
        <v>0</v>
      </c>
      <c r="U42" s="77">
        <v>49.504292</v>
      </c>
      <c r="V42" s="77">
        <v>0</v>
      </c>
      <c r="W42" s="77">
        <v>0</v>
      </c>
      <c r="X42" s="77">
        <v>52.062496000000003</v>
      </c>
      <c r="Y42" s="77">
        <v>0</v>
      </c>
      <c r="Z42" s="77">
        <v>47.130760000000002</v>
      </c>
      <c r="AA42" s="77">
        <v>0</v>
      </c>
      <c r="AB42" s="77">
        <v>42.487785000000002</v>
      </c>
      <c r="AC42" s="77">
        <v>0</v>
      </c>
      <c r="AD42" s="77">
        <v>0</v>
      </c>
      <c r="AE42" s="77"/>
      <c r="AF42" s="77"/>
      <c r="AG42" s="77"/>
      <c r="AH42" s="77"/>
      <c r="AI42" s="77"/>
      <c r="AJ42" s="77"/>
      <c r="AK42" s="77"/>
      <c r="AL42" s="77">
        <v>62.517567999999997</v>
      </c>
      <c r="AM42" s="77">
        <v>0</v>
      </c>
      <c r="AN42" s="77">
        <v>56.595466999999999</v>
      </c>
      <c r="AO42" s="77">
        <v>0</v>
      </c>
      <c r="AP42" s="77">
        <v>51.020079000000003</v>
      </c>
      <c r="AQ42" s="77">
        <v>0</v>
      </c>
      <c r="AR42" s="77">
        <v>0</v>
      </c>
      <c r="AS42" s="77">
        <v>52.143585999999999</v>
      </c>
      <c r="AT42" s="77">
        <v>0</v>
      </c>
      <c r="AU42" s="77">
        <v>48.911909000000001</v>
      </c>
      <c r="AV42" s="77">
        <v>0</v>
      </c>
      <c r="AW42" s="77">
        <v>45.647036999999997</v>
      </c>
      <c r="AX42" s="77">
        <v>0</v>
      </c>
      <c r="AY42" s="77">
        <v>0</v>
      </c>
      <c r="AZ42" s="77">
        <v>52.732567000000003</v>
      </c>
      <c r="BA42" s="77">
        <v>0</v>
      </c>
      <c r="BB42" s="77">
        <v>47.737355999999998</v>
      </c>
      <c r="BC42" s="77">
        <v>0</v>
      </c>
      <c r="BD42" s="77">
        <v>43.034621999999999</v>
      </c>
      <c r="BE42" s="77">
        <v>0</v>
      </c>
      <c r="BF42" s="77">
        <v>0</v>
      </c>
      <c r="BG42" s="77">
        <v>53.62968</v>
      </c>
      <c r="BH42" s="77">
        <v>0</v>
      </c>
      <c r="BI42" s="77">
        <v>50.305889000000001</v>
      </c>
      <c r="BJ42" s="77">
        <v>0</v>
      </c>
      <c r="BK42" s="77">
        <v>46.947974000000002</v>
      </c>
      <c r="BL42" s="77">
        <v>0</v>
      </c>
      <c r="BM42" s="77">
        <v>0</v>
      </c>
      <c r="BN42" s="77">
        <v>60.297567000000001</v>
      </c>
      <c r="BO42" s="77">
        <v>0</v>
      </c>
      <c r="BP42" s="77">
        <v>54.585743999999998</v>
      </c>
      <c r="BQ42" s="77">
        <v>0</v>
      </c>
      <c r="BR42" s="77">
        <v>49.208362999999999</v>
      </c>
      <c r="BS42" s="77">
        <v>0</v>
      </c>
      <c r="BT42" s="77">
        <v>0</v>
      </c>
      <c r="BU42" s="77">
        <v>50.875759000000002</v>
      </c>
      <c r="BV42" s="77">
        <v>0</v>
      </c>
      <c r="BW42" s="77">
        <v>47.722645</v>
      </c>
      <c r="BX42" s="77">
        <v>0</v>
      </c>
      <c r="BY42" s="77">
        <v>44.537162000000002</v>
      </c>
      <c r="BZ42" s="77">
        <v>0</v>
      </c>
      <c r="CA42" s="77">
        <v>0</v>
      </c>
      <c r="CB42" s="77">
        <v>58.073901999999997</v>
      </c>
      <c r="CC42" s="77">
        <v>0</v>
      </c>
      <c r="CD42" s="77">
        <v>52.572727</v>
      </c>
      <c r="CE42" s="77">
        <v>0</v>
      </c>
      <c r="CF42" s="77">
        <v>47.393645999999997</v>
      </c>
      <c r="CG42" s="77">
        <v>0</v>
      </c>
      <c r="CH42" s="77">
        <v>0</v>
      </c>
      <c r="CI42" s="77">
        <v>45.366005999999999</v>
      </c>
      <c r="CJ42" s="77">
        <v>0</v>
      </c>
      <c r="CK42" s="77">
        <v>42.554366000000002</v>
      </c>
      <c r="CL42" s="77">
        <v>0</v>
      </c>
      <c r="CM42" s="77">
        <v>39.713863000000003</v>
      </c>
      <c r="CN42" s="77">
        <v>0</v>
      </c>
      <c r="CO42" s="77">
        <v>0</v>
      </c>
      <c r="CP42" s="77">
        <v>60.966465999999997</v>
      </c>
      <c r="CQ42" s="77">
        <v>0</v>
      </c>
      <c r="CR42" s="77">
        <v>55.191285999999998</v>
      </c>
      <c r="CS42" s="77">
        <v>0</v>
      </c>
      <c r="CT42" s="77">
        <v>49.754249000000002</v>
      </c>
      <c r="CU42" s="77">
        <v>0</v>
      </c>
      <c r="CV42" s="77">
        <v>0</v>
      </c>
      <c r="CW42" s="77">
        <v>53.421835999999999</v>
      </c>
      <c r="CX42" s="77">
        <v>0</v>
      </c>
      <c r="CY42" s="77">
        <v>50.110934999999998</v>
      </c>
      <c r="CZ42" s="77">
        <v>0</v>
      </c>
      <c r="DA42" s="77">
        <v>46.765982000000001</v>
      </c>
      <c r="DB42" s="77">
        <v>0</v>
      </c>
      <c r="DC42" s="77">
        <v>0</v>
      </c>
      <c r="DD42" s="77">
        <v>62.525691000000002</v>
      </c>
      <c r="DE42" s="77">
        <v>0</v>
      </c>
      <c r="DF42" s="77">
        <v>56.602800999999999</v>
      </c>
      <c r="DG42" s="77">
        <v>0</v>
      </c>
      <c r="DH42" s="77">
        <v>51.026679999999999</v>
      </c>
      <c r="DI42" s="77">
        <v>0</v>
      </c>
      <c r="DJ42" s="77">
        <v>0</v>
      </c>
      <c r="DK42" s="77">
        <v>50.666179</v>
      </c>
      <c r="DL42" s="77">
        <v>0</v>
      </c>
      <c r="DM42" s="77">
        <v>47.526060000000001</v>
      </c>
      <c r="DN42" s="77">
        <v>0</v>
      </c>
      <c r="DO42" s="77">
        <v>44.353727999999997</v>
      </c>
      <c r="DP42" s="77">
        <v>0</v>
      </c>
      <c r="DQ42" s="77">
        <v>0</v>
      </c>
      <c r="DR42" s="77">
        <v>52.736598000000001</v>
      </c>
      <c r="DS42" s="77">
        <v>0</v>
      </c>
      <c r="DT42" s="77">
        <v>56.729467999999997</v>
      </c>
      <c r="DU42" s="77">
        <v>0</v>
      </c>
      <c r="DV42" s="77">
        <v>51.140881999999998</v>
      </c>
      <c r="DW42" s="77">
        <v>0</v>
      </c>
      <c r="DX42" s="77">
        <v>0</v>
      </c>
      <c r="DY42" s="77">
        <v>59.451379000000003</v>
      </c>
      <c r="DZ42" s="77">
        <v>0</v>
      </c>
      <c r="EA42" s="77">
        <v>46.930897999999999</v>
      </c>
      <c r="EB42" s="77">
        <v>0</v>
      </c>
      <c r="EC42" s="77">
        <v>43.798215999999996</v>
      </c>
      <c r="ED42" s="77">
        <v>0</v>
      </c>
      <c r="EE42" s="77">
        <v>0</v>
      </c>
      <c r="EF42" s="77">
        <v>61.191015</v>
      </c>
      <c r="EG42" s="77">
        <v>0</v>
      </c>
      <c r="EH42" s="77">
        <v>55.394564000000003</v>
      </c>
      <c r="EI42" s="77">
        <v>0</v>
      </c>
      <c r="EJ42" s="77">
        <v>49.937466999999998</v>
      </c>
      <c r="EK42" s="77">
        <v>0</v>
      </c>
      <c r="EL42" s="77">
        <v>0</v>
      </c>
      <c r="EM42" s="77">
        <v>50.032207</v>
      </c>
      <c r="EN42" s="77">
        <v>0</v>
      </c>
      <c r="EO42" s="77">
        <v>46.931339999999999</v>
      </c>
      <c r="EP42" s="77">
        <v>0</v>
      </c>
      <c r="EQ42" s="77">
        <v>43.798718000000001</v>
      </c>
      <c r="ER42" s="77">
        <v>0</v>
      </c>
      <c r="ES42" s="77">
        <v>0</v>
      </c>
      <c r="ET42" s="77">
        <v>51.182332000000002</v>
      </c>
      <c r="EU42" s="77">
        <v>0</v>
      </c>
      <c r="EV42" s="77">
        <v>46.334004999999998</v>
      </c>
      <c r="EW42" s="77">
        <v>0</v>
      </c>
      <c r="EX42" s="77">
        <v>41.769475999999997</v>
      </c>
      <c r="EY42" s="77">
        <v>0</v>
      </c>
      <c r="EZ42" s="77">
        <v>0</v>
      </c>
      <c r="FA42" s="77">
        <v>53.002336999999997</v>
      </c>
      <c r="FB42" s="77">
        <v>0</v>
      </c>
      <c r="FC42" s="77">
        <v>49.717461999999998</v>
      </c>
      <c r="FD42" s="77">
        <v>0</v>
      </c>
      <c r="FE42" s="77">
        <v>46.398766999999999</v>
      </c>
      <c r="FF42" s="77">
        <v>0</v>
      </c>
      <c r="FG42" s="77">
        <v>0</v>
      </c>
      <c r="FH42" s="77">
        <v>59.415232000000003</v>
      </c>
      <c r="FI42" s="77">
        <v>0</v>
      </c>
      <c r="FJ42" s="77">
        <v>53.787014999999997</v>
      </c>
      <c r="FK42" s="77">
        <v>0</v>
      </c>
      <c r="FL42" s="77">
        <v>48.488332</v>
      </c>
      <c r="FM42" s="77">
        <v>0</v>
      </c>
      <c r="FN42" s="77">
        <v>0</v>
      </c>
      <c r="FO42" s="77">
        <v>48.550828000000003</v>
      </c>
      <c r="FP42" s="77">
        <v>0</v>
      </c>
      <c r="FQ42" s="77">
        <v>56.349612999999998</v>
      </c>
      <c r="FR42" s="77">
        <v>0</v>
      </c>
      <c r="FS42" s="77">
        <v>52.588251999999997</v>
      </c>
      <c r="FT42" s="77">
        <v>0</v>
      </c>
      <c r="FU42" s="77">
        <v>0</v>
      </c>
      <c r="FV42" s="77">
        <v>60.030983999999997</v>
      </c>
      <c r="FW42" s="77">
        <v>0</v>
      </c>
      <c r="FX42" s="77">
        <v>43.921196000000002</v>
      </c>
      <c r="FY42" s="77">
        <v>0</v>
      </c>
      <c r="FZ42" s="77">
        <v>39.594444000000003</v>
      </c>
      <c r="GA42" s="77">
        <v>0</v>
      </c>
      <c r="GB42" s="77">
        <v>0</v>
      </c>
      <c r="GC42" s="77">
        <v>50.037421999999999</v>
      </c>
      <c r="GD42" s="77">
        <v>0</v>
      </c>
      <c r="GE42" s="77">
        <v>46.936259</v>
      </c>
      <c r="GF42" s="77">
        <v>0</v>
      </c>
      <c r="GG42" s="77">
        <v>43.803263999999999</v>
      </c>
      <c r="GH42" s="77">
        <v>0</v>
      </c>
      <c r="GI42" s="77">
        <v>0</v>
      </c>
      <c r="GJ42" s="77">
        <v>72.328812999999997</v>
      </c>
      <c r="GK42" s="77">
        <v>0</v>
      </c>
      <c r="GL42" s="77">
        <v>65.477315000000004</v>
      </c>
      <c r="GM42" s="77">
        <v>0</v>
      </c>
      <c r="GN42" s="77">
        <v>59.026960000000003</v>
      </c>
      <c r="GO42" s="77">
        <v>0</v>
      </c>
      <c r="GP42" s="77">
        <v>0</v>
      </c>
      <c r="GQ42" s="77">
        <v>46.009205000000001</v>
      </c>
      <c r="GR42" s="77">
        <v>0</v>
      </c>
      <c r="GS42" s="77">
        <v>43.157691999999997</v>
      </c>
      <c r="GT42" s="77">
        <v>0</v>
      </c>
      <c r="GU42" s="77">
        <v>40.276921999999999</v>
      </c>
      <c r="GV42" s="77">
        <v>0</v>
      </c>
      <c r="GW42" s="77">
        <v>0</v>
      </c>
      <c r="GX42" s="77">
        <v>49.631905000000003</v>
      </c>
      <c r="GY42" s="77">
        <v>0</v>
      </c>
      <c r="GZ42" s="77">
        <v>44.930402999999998</v>
      </c>
      <c r="HA42" s="77">
        <v>0</v>
      </c>
      <c r="HB42" s="77">
        <v>40.504201000000002</v>
      </c>
      <c r="HC42" s="77">
        <v>0</v>
      </c>
      <c r="HD42" s="77">
        <v>0</v>
      </c>
      <c r="HE42" s="77">
        <v>47.919072999999997</v>
      </c>
      <c r="HF42" s="77">
        <v>0</v>
      </c>
      <c r="HG42" s="77">
        <v>44.949205999999997</v>
      </c>
      <c r="HH42" s="77">
        <v>0</v>
      </c>
      <c r="HI42" s="77">
        <v>41.948836999999997</v>
      </c>
      <c r="HJ42" s="77">
        <v>0</v>
      </c>
      <c r="HK42" s="77">
        <v>0</v>
      </c>
      <c r="HL42" s="77">
        <v>58.753647000000001</v>
      </c>
      <c r="HM42" s="77">
        <v>0</v>
      </c>
      <c r="HN42" s="77">
        <v>53.188074999999998</v>
      </c>
      <c r="HO42" s="77">
        <v>0</v>
      </c>
      <c r="HP42" s="77">
        <v>47.948376000000003</v>
      </c>
      <c r="HQ42" s="77">
        <v>0</v>
      </c>
      <c r="HR42" s="77">
        <v>0</v>
      </c>
      <c r="HS42" s="77">
        <v>47.708556999999999</v>
      </c>
      <c r="HT42" s="77">
        <v>0</v>
      </c>
      <c r="HU42" s="77">
        <v>52.233646999999998</v>
      </c>
      <c r="HV42" s="77">
        <v>0</v>
      </c>
      <c r="HW42" s="77">
        <v>48.747062</v>
      </c>
      <c r="HX42" s="77">
        <v>0</v>
      </c>
      <c r="HY42" s="77">
        <v>0</v>
      </c>
      <c r="HZ42" s="77">
        <v>60.269159000000002</v>
      </c>
      <c r="IA42" s="77">
        <v>0</v>
      </c>
      <c r="IB42" s="77">
        <v>46.744866999999999</v>
      </c>
      <c r="IC42" s="77">
        <v>0</v>
      </c>
      <c r="ID42" s="77">
        <v>42.139907999999998</v>
      </c>
      <c r="IE42" s="77">
        <v>0</v>
      </c>
      <c r="IF42" s="77">
        <v>0</v>
      </c>
      <c r="IG42" s="77">
        <v>52.463042000000002</v>
      </c>
      <c r="IH42" s="77">
        <v>0</v>
      </c>
      <c r="II42" s="77">
        <v>49.211550000000003</v>
      </c>
      <c r="IJ42" s="77">
        <v>0</v>
      </c>
      <c r="IK42" s="77">
        <v>45.926665999999997</v>
      </c>
      <c r="IL42" s="77">
        <v>0</v>
      </c>
      <c r="IM42" s="77">
        <v>0</v>
      </c>
      <c r="IN42" s="77">
        <v>61.283923999999999</v>
      </c>
      <c r="IO42" s="77">
        <v>0</v>
      </c>
      <c r="IP42" s="77">
        <v>55.478667999999999</v>
      </c>
      <c r="IQ42" s="77">
        <v>0</v>
      </c>
      <c r="IR42" s="77">
        <v>50.013316000000003</v>
      </c>
      <c r="IS42" s="77">
        <v>0</v>
      </c>
      <c r="IT42" s="77">
        <v>0</v>
      </c>
      <c r="IU42" s="77">
        <v>44.564031</v>
      </c>
      <c r="IV42" s="77">
        <v>0</v>
      </c>
      <c r="IW42" s="77">
        <v>51.105587</v>
      </c>
      <c r="IX42" s="77">
        <v>0</v>
      </c>
      <c r="IY42" s="77">
        <v>47.694268999999998</v>
      </c>
      <c r="IZ42" s="77">
        <v>0</v>
      </c>
      <c r="JA42" s="77">
        <v>0</v>
      </c>
      <c r="JB42" s="77">
        <v>68.947006999999999</v>
      </c>
      <c r="JC42" s="77">
        <v>0</v>
      </c>
      <c r="JD42" s="77">
        <v>51.053390999999998</v>
      </c>
      <c r="JE42" s="77">
        <v>0</v>
      </c>
      <c r="JF42" s="77">
        <v>46.023991000000002</v>
      </c>
      <c r="JG42" s="77">
        <v>0</v>
      </c>
      <c r="JH42" s="77">
        <v>0</v>
      </c>
      <c r="JI42" s="77">
        <v>53.600290000000001</v>
      </c>
      <c r="JJ42" s="77">
        <v>0</v>
      </c>
      <c r="JK42" s="77">
        <v>50.278325000000002</v>
      </c>
      <c r="JL42" s="77">
        <v>0</v>
      </c>
      <c r="JM42" s="77">
        <v>46.922227999999997</v>
      </c>
      <c r="JN42" s="77">
        <v>0</v>
      </c>
      <c r="JO42" s="77">
        <v>0</v>
      </c>
      <c r="JP42" s="77">
        <v>60.061982999999998</v>
      </c>
      <c r="JQ42" s="77">
        <v>0</v>
      </c>
      <c r="JR42" s="77">
        <v>54.372470999999997</v>
      </c>
      <c r="JS42" s="77">
        <v>0</v>
      </c>
      <c r="JT42" s="77">
        <v>49.016098999999997</v>
      </c>
      <c r="JU42" s="77">
        <v>0</v>
      </c>
      <c r="JV42" s="77">
        <v>0</v>
      </c>
      <c r="JW42" s="77">
        <v>36.443221999999999</v>
      </c>
      <c r="JX42" s="77">
        <v>0</v>
      </c>
      <c r="JY42" s="77">
        <v>46.872013000000003</v>
      </c>
      <c r="JZ42" s="77">
        <v>0</v>
      </c>
      <c r="KA42" s="77">
        <v>38.578775</v>
      </c>
      <c r="KB42" s="77">
        <v>29.082581000000001</v>
      </c>
      <c r="KC42" s="77">
        <v>29.082578999999999</v>
      </c>
      <c r="KD42" s="77">
        <v>27.428819000000001</v>
      </c>
      <c r="KE42" s="77">
        <v>20.823934999999999</v>
      </c>
      <c r="KF42" s="77">
        <v>28.338249000000001</v>
      </c>
      <c r="KG42" s="77">
        <v>20.799178000000001</v>
      </c>
      <c r="KH42" s="77">
        <v>20.764597999999999</v>
      </c>
      <c r="KI42" s="77">
        <v>20.868392</v>
      </c>
      <c r="KJ42" s="77">
        <v>20.868387999999999</v>
      </c>
      <c r="KK42" s="77">
        <v>24.431581000000001</v>
      </c>
      <c r="KL42" s="77">
        <v>19.446166000000002</v>
      </c>
      <c r="KM42" s="77">
        <v>26.154809</v>
      </c>
      <c r="KN42" s="77">
        <v>19.469256000000001</v>
      </c>
      <c r="KO42" s="77">
        <v>19.839922999999999</v>
      </c>
      <c r="KP42" s="77">
        <v>19.496976</v>
      </c>
      <c r="KQ42" s="77">
        <v>19.496974000000002</v>
      </c>
      <c r="KR42" s="77">
        <v>26.395595</v>
      </c>
      <c r="KS42" s="77">
        <v>20.039498999999999</v>
      </c>
      <c r="KT42" s="77">
        <v>27.270761</v>
      </c>
      <c r="KU42" s="77">
        <v>20.015671999999999</v>
      </c>
      <c r="KV42" s="77">
        <v>19.982406000000001</v>
      </c>
      <c r="KW42" s="77">
        <v>20.082295999999999</v>
      </c>
      <c r="KX42" s="77">
        <v>20.082294000000001</v>
      </c>
      <c r="KY42" s="77">
        <v>23.895159</v>
      </c>
      <c r="KZ42" s="77">
        <v>19.019203999999998</v>
      </c>
      <c r="LA42" s="77">
        <v>25.580556000000001</v>
      </c>
      <c r="LB42" s="77">
        <v>19.041789999999999</v>
      </c>
      <c r="LC42" s="77">
        <v>19.404322000000001</v>
      </c>
      <c r="LD42" s="77">
        <v>19.068902999999999</v>
      </c>
      <c r="LE42" s="77">
        <v>19.068901</v>
      </c>
      <c r="LF42" s="77">
        <v>24.611796999999999</v>
      </c>
      <c r="LG42" s="77">
        <v>18.685248999999999</v>
      </c>
      <c r="LH42" s="77">
        <v>25.427820000000001</v>
      </c>
      <c r="LI42" s="77">
        <v>18.663034</v>
      </c>
      <c r="LJ42" s="77">
        <v>18.632007999999999</v>
      </c>
      <c r="LK42" s="77">
        <v>18.725135999999999</v>
      </c>
      <c r="LL42" s="77">
        <v>18.725134000000001</v>
      </c>
      <c r="LM42" s="77">
        <v>23.179881000000002</v>
      </c>
      <c r="LN42" s="77">
        <v>18.449881000000001</v>
      </c>
      <c r="LO42" s="77">
        <v>24.814824000000002</v>
      </c>
      <c r="LP42" s="77">
        <v>18.471791</v>
      </c>
      <c r="LQ42" s="77">
        <v>18.823464999999999</v>
      </c>
      <c r="LR42" s="77">
        <v>18.498092</v>
      </c>
      <c r="LS42" s="77">
        <v>18.498090000000001</v>
      </c>
      <c r="LT42" s="77">
        <v>23.954564000000001</v>
      </c>
      <c r="LU42" s="77">
        <v>18.186274000000001</v>
      </c>
      <c r="LV42" s="77">
        <v>24.748799999999999</v>
      </c>
      <c r="LW42" s="77">
        <v>18.164653000000001</v>
      </c>
      <c r="LX42" s="77">
        <v>18.134460000000001</v>
      </c>
      <c r="LY42" s="77">
        <v>18.225106</v>
      </c>
      <c r="LZ42" s="77">
        <v>18.225104000000002</v>
      </c>
      <c r="MA42" s="77">
        <v>21.479807999999998</v>
      </c>
      <c r="MB42" s="77">
        <v>17.096719</v>
      </c>
      <c r="MC42" s="77">
        <v>22.994844000000001</v>
      </c>
      <c r="MD42" s="77">
        <v>17.117031000000001</v>
      </c>
      <c r="ME42" s="77">
        <v>17.442903999999999</v>
      </c>
      <c r="MF42" s="77">
        <v>17.141400000000001</v>
      </c>
      <c r="MG42" s="77">
        <v>17.141397999999999</v>
      </c>
      <c r="MH42" s="77">
        <v>22.734013999999998</v>
      </c>
      <c r="MI42" s="77">
        <v>17.259641999999999</v>
      </c>
      <c r="MJ42" s="77">
        <v>23.487788999999999</v>
      </c>
      <c r="MK42" s="77">
        <v>17.239118999999999</v>
      </c>
      <c r="ML42" s="77">
        <v>17.210467999999999</v>
      </c>
      <c r="MM42" s="77">
        <v>17.296486000000002</v>
      </c>
      <c r="MN42" s="77">
        <v>17.296484</v>
      </c>
      <c r="MO42" s="77">
        <v>22.464120999999999</v>
      </c>
      <c r="MP42" s="77">
        <v>17.880178000000001</v>
      </c>
      <c r="MQ42" s="77">
        <v>24.048573000000001</v>
      </c>
      <c r="MR42" s="77">
        <v>17.901399000000001</v>
      </c>
      <c r="MS42" s="77">
        <v>18.242218999999999</v>
      </c>
      <c r="MT42" s="77">
        <v>17.926894999999998</v>
      </c>
      <c r="MU42" s="77">
        <v>17.926893</v>
      </c>
      <c r="MV42" s="77">
        <v>24.224972999999999</v>
      </c>
      <c r="MW42" s="77">
        <v>18.391576000000001</v>
      </c>
      <c r="MX42" s="77">
        <v>25.028172999999999</v>
      </c>
      <c r="MY42" s="77">
        <v>18.369706999999998</v>
      </c>
      <c r="MZ42" s="77">
        <v>18.339172000000001</v>
      </c>
      <c r="NA42" s="77">
        <v>18.430835999999999</v>
      </c>
      <c r="NB42" s="77">
        <v>18.430834000000001</v>
      </c>
      <c r="NC42" s="77">
        <v>21.468995</v>
      </c>
      <c r="ND42" s="77">
        <v>17.088118000000001</v>
      </c>
      <c r="NE42" s="77">
        <v>22.983263999999998</v>
      </c>
      <c r="NF42" s="77">
        <v>17.108407</v>
      </c>
      <c r="NG42" s="77">
        <v>17.434123</v>
      </c>
      <c r="NH42" s="77">
        <v>17.132762</v>
      </c>
      <c r="NI42" s="77">
        <v>17.132760000000001</v>
      </c>
      <c r="NJ42" s="77">
        <v>26.384212999999999</v>
      </c>
      <c r="NK42" s="77">
        <v>20.030866</v>
      </c>
      <c r="NL42" s="77">
        <v>27.259008000000001</v>
      </c>
      <c r="NM42" s="77">
        <v>20.007045999999999</v>
      </c>
      <c r="NN42" s="77">
        <v>19.973792</v>
      </c>
      <c r="NO42" s="77">
        <v>20.073633000000001</v>
      </c>
      <c r="NP42" s="77">
        <v>20.073630999999999</v>
      </c>
      <c r="NQ42" s="77">
        <v>23.705752</v>
      </c>
      <c r="NR42" s="77">
        <v>18.868442000000002</v>
      </c>
      <c r="NS42" s="77">
        <v>25.377780999999999</v>
      </c>
      <c r="NT42" s="77">
        <v>18.890854000000001</v>
      </c>
      <c r="NU42" s="77">
        <v>19.250502000000001</v>
      </c>
      <c r="NV42" s="77">
        <v>18.917745</v>
      </c>
      <c r="NW42" s="77">
        <v>18.917743000000002</v>
      </c>
      <c r="NX42" s="77">
        <v>21.972079999999998</v>
      </c>
      <c r="NY42" s="77">
        <v>16.681180000000001</v>
      </c>
      <c r="NZ42" s="77">
        <v>22.700589000000001</v>
      </c>
      <c r="OA42" s="77">
        <v>16.661352000000001</v>
      </c>
      <c r="OB42" s="77">
        <v>16.633658</v>
      </c>
      <c r="OC42" s="77">
        <v>16.716797</v>
      </c>
      <c r="OD42" s="77">
        <v>16.716794</v>
      </c>
      <c r="OE42" s="77">
        <v>20.038740000000001</v>
      </c>
      <c r="OF42" s="77">
        <v>15.949719</v>
      </c>
      <c r="OG42" s="77">
        <v>21.452134999999998</v>
      </c>
      <c r="OH42" s="77">
        <v>15.968662</v>
      </c>
      <c r="OI42" s="77">
        <v>16.272676000000001</v>
      </c>
      <c r="OJ42" s="77">
        <v>15.991391</v>
      </c>
      <c r="OK42" s="77">
        <v>15.991388000000001</v>
      </c>
      <c r="OL42" s="77">
        <v>26.384474000000001</v>
      </c>
      <c r="OM42" s="77">
        <v>20.03106</v>
      </c>
      <c r="ON42" s="77">
        <v>27.259278999999999</v>
      </c>
      <c r="OO42" s="77">
        <v>20.007242000000002</v>
      </c>
      <c r="OP42" s="77">
        <v>19.973987999999999</v>
      </c>
      <c r="OQ42" s="77">
        <v>20.073830000000001</v>
      </c>
      <c r="OR42" s="77">
        <v>20.073827000000001</v>
      </c>
      <c r="OS42" s="77">
        <v>22.006316000000002</v>
      </c>
      <c r="OT42" s="77">
        <v>17.515785999999999</v>
      </c>
      <c r="OU42" s="77">
        <v>23.558487</v>
      </c>
      <c r="OV42" s="77">
        <v>17.536594999999998</v>
      </c>
      <c r="OW42" s="77">
        <v>17.870455</v>
      </c>
      <c r="OX42" s="77">
        <v>17.56155</v>
      </c>
      <c r="OY42" s="77">
        <v>17.561547999999998</v>
      </c>
      <c r="OZ42" s="77">
        <v>22.254887</v>
      </c>
      <c r="PA42" s="77">
        <v>16.895879999999998</v>
      </c>
      <c r="PB42" s="77">
        <v>22.992757000000001</v>
      </c>
      <c r="PC42" s="77">
        <v>16.875785</v>
      </c>
      <c r="PD42" s="77">
        <v>16.847740000000002</v>
      </c>
      <c r="PE42" s="77">
        <v>16.931950000000001</v>
      </c>
      <c r="PF42" s="77">
        <v>16.931947999999998</v>
      </c>
      <c r="PG42" s="77">
        <v>22.633490999999999</v>
      </c>
      <c r="PH42" s="77">
        <v>18.014983000000001</v>
      </c>
      <c r="PI42" s="77">
        <v>24.229894999999999</v>
      </c>
      <c r="PJ42" s="77">
        <v>18.036379</v>
      </c>
      <c r="PK42" s="77">
        <v>18.379766</v>
      </c>
      <c r="PL42" s="77">
        <v>18.062059999999999</v>
      </c>
      <c r="PM42" s="77">
        <v>18.062058</v>
      </c>
      <c r="PN42" s="77">
        <v>25.447562000000001</v>
      </c>
      <c r="PO42" s="77">
        <v>19.319762999999998</v>
      </c>
      <c r="PP42" s="77">
        <v>26.291298000000001</v>
      </c>
      <c r="PQ42" s="77">
        <v>19.296785</v>
      </c>
      <c r="PR42" s="77">
        <v>19.264710999999998</v>
      </c>
      <c r="PS42" s="77">
        <v>19.361008000000002</v>
      </c>
      <c r="PT42" s="77">
        <v>19.361006</v>
      </c>
      <c r="PU42" s="77">
        <v>21.471245</v>
      </c>
      <c r="PV42" s="77">
        <v>17.089908999999999</v>
      </c>
      <c r="PW42" s="77">
        <v>22.985676999999999</v>
      </c>
      <c r="PX42" s="77">
        <v>17.110201</v>
      </c>
      <c r="PY42" s="77">
        <v>17.435953000000001</v>
      </c>
      <c r="PZ42" s="77">
        <v>17.134556</v>
      </c>
      <c r="QA42" s="77">
        <v>17.134554000000001</v>
      </c>
      <c r="QB42" s="77">
        <v>24.509101000000001</v>
      </c>
      <c r="QC42" s="77">
        <v>18.607275999999999</v>
      </c>
      <c r="QD42" s="77">
        <v>25.321724</v>
      </c>
      <c r="QE42" s="77">
        <v>18.585162</v>
      </c>
      <c r="QF42" s="77">
        <v>18.554264</v>
      </c>
      <c r="QG42" s="77">
        <v>18.647006999999999</v>
      </c>
      <c r="QH42" s="77">
        <v>18.647005</v>
      </c>
      <c r="QI42" s="77">
        <v>19.145945000000001</v>
      </c>
      <c r="QJ42" s="77">
        <v>15.239098</v>
      </c>
      <c r="QK42" s="77">
        <v>20.496364</v>
      </c>
      <c r="QL42" s="77">
        <v>15.25719</v>
      </c>
      <c r="QM42" s="77">
        <v>15.547666</v>
      </c>
      <c r="QN42" s="77">
        <v>15.27891</v>
      </c>
      <c r="QO42" s="77">
        <v>15.278907</v>
      </c>
      <c r="QP42" s="77">
        <v>25.729856999999999</v>
      </c>
      <c r="QQ42" s="77">
        <v>19.534074</v>
      </c>
      <c r="QR42" s="77">
        <v>26.582953</v>
      </c>
      <c r="QS42" s="77">
        <v>19.510856</v>
      </c>
    </row>
    <row r="43" spans="6:461" x14ac:dyDescent="0.25">
      <c r="F43" s="76" t="str">
        <f xml:space="preserve"> _xll.EPMOlapMemberO("[PRDDESCR].[].[WONDER GFREE WHOLEM 500G]","","WONDER GFREE WHOLEM 500G","","000")</f>
        <v>WONDER GFREE WHOLEM 500G</v>
      </c>
      <c r="G43" s="76" t="str">
        <f xml:space="preserve"> _xll.EPMOlapMemberO("[PRDID].[].[179650]","","179650","","000")</f>
        <v>179650</v>
      </c>
      <c r="H43" s="76" t="str">
        <f xml:space="preserve"> _xll.EPMOlapMemberO("[LOCID].[].[6123]","","6123","","000")</f>
        <v>6123</v>
      </c>
      <c r="I43" s="76" t="str">
        <f xml:space="preserve"> _xll.EPMOlapMemberO("[LOCDESCR].[].[QBA-Clayton - Fairbank]","","QBA-Clayton - Fairbank","","000")</f>
        <v>QBA-Clayton - Fairbank</v>
      </c>
      <c r="J43" s="76" t="str">
        <f xml:space="preserve"> _xll.EPMOlapMemberO("[KEY_FIGURES].[].[ZGFAPPROVEDFCSTQTY]","","Approved Forecast","","000")</f>
        <v>Approved Forecast</v>
      </c>
      <c r="K43" s="77">
        <v>0.35949999999999999</v>
      </c>
      <c r="L43" s="77">
        <v>630.93248200000005</v>
      </c>
      <c r="M43" s="77">
        <v>161.62540999999999</v>
      </c>
      <c r="N43" s="77">
        <v>381.94737900000001</v>
      </c>
      <c r="O43" s="77">
        <v>243.105692</v>
      </c>
      <c r="P43" s="77">
        <v>563.56102599999997</v>
      </c>
      <c r="Q43" s="77">
        <v>4.4039000000000002E-2</v>
      </c>
      <c r="R43" s="77">
        <v>0.43344199999999999</v>
      </c>
      <c r="S43" s="77">
        <v>627.36101799999994</v>
      </c>
      <c r="T43" s="77">
        <v>158.75564299999999</v>
      </c>
      <c r="U43" s="77">
        <v>353.82844599999999</v>
      </c>
      <c r="V43" s="77">
        <v>234.14055400000001</v>
      </c>
      <c r="W43" s="77">
        <v>550.75118299999997</v>
      </c>
      <c r="X43" s="77">
        <v>1.0336E-2</v>
      </c>
      <c r="Y43" s="77">
        <v>0.46858100000000003</v>
      </c>
      <c r="Z43" s="77">
        <v>607.61810400000002</v>
      </c>
      <c r="AA43" s="77">
        <v>150.65916100000001</v>
      </c>
      <c r="AB43" s="77">
        <v>362.62819300000001</v>
      </c>
      <c r="AC43" s="77">
        <v>226.64943400000001</v>
      </c>
      <c r="AD43" s="77">
        <v>581.11304099999995</v>
      </c>
      <c r="AE43" s="77"/>
      <c r="AF43" s="77"/>
      <c r="AG43" s="77"/>
      <c r="AH43" s="77"/>
      <c r="AI43" s="77"/>
      <c r="AJ43" s="77"/>
      <c r="AK43" s="77"/>
      <c r="AL43" s="77">
        <v>1.1527000000000001E-2</v>
      </c>
      <c r="AM43" s="77">
        <v>0.51352100000000001</v>
      </c>
      <c r="AN43" s="77">
        <v>661.17777000000001</v>
      </c>
      <c r="AO43" s="77">
        <v>163.11418800000001</v>
      </c>
      <c r="AP43" s="77">
        <v>392.950874</v>
      </c>
      <c r="AQ43" s="77">
        <v>246.804498</v>
      </c>
      <c r="AR43" s="77">
        <v>629.29924000000005</v>
      </c>
      <c r="AS43" s="77">
        <v>1.1093E-2</v>
      </c>
      <c r="AT43" s="77">
        <v>0.50872099999999998</v>
      </c>
      <c r="AU43" s="77">
        <v>660.96293300000002</v>
      </c>
      <c r="AV43" s="77">
        <v>165.83493999999999</v>
      </c>
      <c r="AW43" s="77">
        <v>387.86022200000002</v>
      </c>
      <c r="AX43" s="77">
        <v>248.01525599999999</v>
      </c>
      <c r="AY43" s="77">
        <v>638.97841200000005</v>
      </c>
      <c r="AZ43" s="77">
        <v>1.1453E-2</v>
      </c>
      <c r="BA43" s="77">
        <v>0.50603200000000004</v>
      </c>
      <c r="BB43" s="77">
        <v>705.99505599999998</v>
      </c>
      <c r="BC43" s="77">
        <v>175.45200399999999</v>
      </c>
      <c r="BD43" s="77">
        <v>426.12402500000002</v>
      </c>
      <c r="BE43" s="77">
        <v>260.73176100000001</v>
      </c>
      <c r="BF43" s="77">
        <v>678.81037400000002</v>
      </c>
      <c r="BG43" s="77">
        <v>1.0319999999999999E-2</v>
      </c>
      <c r="BH43" s="77">
        <v>0.53945500000000002</v>
      </c>
      <c r="BI43" s="77">
        <v>654.83745999999996</v>
      </c>
      <c r="BJ43" s="77">
        <v>165.84626499999999</v>
      </c>
      <c r="BK43" s="77">
        <v>386.39262500000001</v>
      </c>
      <c r="BL43" s="77">
        <v>246.43467000000001</v>
      </c>
      <c r="BM43" s="77">
        <v>643.55715999999995</v>
      </c>
      <c r="BN43" s="77">
        <v>1.2401000000000001E-2</v>
      </c>
      <c r="BO43" s="77">
        <v>0.53106200000000003</v>
      </c>
      <c r="BP43" s="77">
        <v>688.55399799999998</v>
      </c>
      <c r="BQ43" s="77">
        <v>168.90015600000001</v>
      </c>
      <c r="BR43" s="77">
        <v>407.32489500000003</v>
      </c>
      <c r="BS43" s="77">
        <v>257.15181699999999</v>
      </c>
      <c r="BT43" s="77">
        <v>650.35655599999996</v>
      </c>
      <c r="BU43" s="77">
        <v>1.2061000000000001E-2</v>
      </c>
      <c r="BV43" s="77">
        <v>0.54043799999999997</v>
      </c>
      <c r="BW43" s="77">
        <v>713.74547900000005</v>
      </c>
      <c r="BX43" s="77">
        <v>178.63829899999999</v>
      </c>
      <c r="BY43" s="77">
        <v>418.71218599999997</v>
      </c>
      <c r="BZ43" s="77">
        <v>267.33806299999998</v>
      </c>
      <c r="CA43" s="77">
        <v>688.42519600000003</v>
      </c>
      <c r="CB43" s="77">
        <v>1.4101000000000001E-2</v>
      </c>
      <c r="CC43" s="77">
        <v>0.53271900000000005</v>
      </c>
      <c r="CD43" s="77">
        <v>700.80085499999996</v>
      </c>
      <c r="CE43" s="77">
        <v>168.75565399999999</v>
      </c>
      <c r="CF43" s="77">
        <v>407.19977</v>
      </c>
      <c r="CG43" s="77">
        <v>262.85207700000001</v>
      </c>
      <c r="CH43" s="77">
        <v>643.75192400000003</v>
      </c>
      <c r="CI43" s="77">
        <v>1.3951E-2</v>
      </c>
      <c r="CJ43" s="77">
        <v>0.48577399999999998</v>
      </c>
      <c r="CK43" s="77">
        <v>690.92777599999999</v>
      </c>
      <c r="CL43" s="77">
        <v>168.00553600000001</v>
      </c>
      <c r="CM43" s="77">
        <v>395.61940600000003</v>
      </c>
      <c r="CN43" s="77">
        <v>259.55100700000003</v>
      </c>
      <c r="CO43" s="77">
        <v>636.21418000000006</v>
      </c>
      <c r="CP43" s="77">
        <v>1.3989E-2</v>
      </c>
      <c r="CQ43" s="77">
        <v>0.489867</v>
      </c>
      <c r="CR43" s="77">
        <v>694.89100699999995</v>
      </c>
      <c r="CS43" s="77">
        <v>167.10121100000001</v>
      </c>
      <c r="CT43" s="77">
        <v>405.59727500000002</v>
      </c>
      <c r="CU43" s="77">
        <v>259.08967000000001</v>
      </c>
      <c r="CV43" s="77">
        <v>635.25235399999997</v>
      </c>
      <c r="CW43" s="77">
        <v>1.3768000000000001E-2</v>
      </c>
      <c r="CX43" s="77">
        <v>0.52320500000000003</v>
      </c>
      <c r="CY43" s="77">
        <v>728.36877800000002</v>
      </c>
      <c r="CZ43" s="77">
        <v>179.008926</v>
      </c>
      <c r="DA43" s="77">
        <v>421.19746700000002</v>
      </c>
      <c r="DB43" s="77">
        <v>273.025372</v>
      </c>
      <c r="DC43" s="77">
        <v>682.88190899999995</v>
      </c>
      <c r="DD43" s="77">
        <v>1.2272999999999999E-2</v>
      </c>
      <c r="DE43" s="77">
        <v>0.49158600000000002</v>
      </c>
      <c r="DF43" s="77">
        <v>659.97591499999999</v>
      </c>
      <c r="DG43" s="77">
        <v>161.114563</v>
      </c>
      <c r="DH43" s="77">
        <v>389.24802599999998</v>
      </c>
      <c r="DI43" s="77">
        <v>246.272908</v>
      </c>
      <c r="DJ43" s="77">
        <v>617.42719999999997</v>
      </c>
      <c r="DK43" s="77">
        <v>1.2289E-2</v>
      </c>
      <c r="DL43" s="77">
        <v>0.467613</v>
      </c>
      <c r="DM43" s="77">
        <v>689.94217400000002</v>
      </c>
      <c r="DN43" s="77">
        <v>171.32400899999999</v>
      </c>
      <c r="DO43" s="77">
        <v>403.40169900000001</v>
      </c>
      <c r="DP43" s="77">
        <v>257.08809400000001</v>
      </c>
      <c r="DQ43" s="77">
        <v>654.20863799999995</v>
      </c>
      <c r="DR43" s="77">
        <v>1.2158E-2</v>
      </c>
      <c r="DS43" s="77">
        <v>0.52466599999999997</v>
      </c>
      <c r="DT43" s="77">
        <v>730.95476699999995</v>
      </c>
      <c r="DU43" s="77">
        <v>176.23672099999999</v>
      </c>
      <c r="DV43" s="77">
        <v>427.47911199999999</v>
      </c>
      <c r="DW43" s="77">
        <v>272.59420999999998</v>
      </c>
      <c r="DX43" s="77">
        <v>672.30283899999995</v>
      </c>
      <c r="DY43" s="77">
        <v>1.3145E-2</v>
      </c>
      <c r="DZ43" s="77">
        <v>0.48583799999999999</v>
      </c>
      <c r="EA43" s="77">
        <v>626.59249499999999</v>
      </c>
      <c r="EB43" s="77">
        <v>156.18591900000001</v>
      </c>
      <c r="EC43" s="77">
        <v>365.050298</v>
      </c>
      <c r="ED43" s="77">
        <v>235.808663</v>
      </c>
      <c r="EE43" s="77">
        <v>599.19553199999996</v>
      </c>
      <c r="EF43" s="77">
        <v>1.1365E-2</v>
      </c>
      <c r="EG43" s="77">
        <v>0.48660500000000001</v>
      </c>
      <c r="EH43" s="77">
        <v>656.64343499999995</v>
      </c>
      <c r="EI43" s="77">
        <v>162.04056399999999</v>
      </c>
      <c r="EJ43" s="77">
        <v>391.83303000000001</v>
      </c>
      <c r="EK43" s="77">
        <v>244.085148</v>
      </c>
      <c r="EL43" s="77">
        <v>624.15398900000002</v>
      </c>
      <c r="EM43" s="77">
        <v>1.1403E-2</v>
      </c>
      <c r="EN43" s="77">
        <v>0.49033700000000002</v>
      </c>
      <c r="EO43" s="77">
        <v>650.22948299999996</v>
      </c>
      <c r="EP43" s="77">
        <v>162.109275</v>
      </c>
      <c r="EQ43" s="77">
        <v>379.53741500000001</v>
      </c>
      <c r="ER43" s="77">
        <v>244.10269700000001</v>
      </c>
      <c r="ES43" s="77">
        <v>621.972307</v>
      </c>
      <c r="ET43" s="77">
        <v>1.1346999999999999E-2</v>
      </c>
      <c r="EU43" s="77">
        <v>0.47461700000000001</v>
      </c>
      <c r="EV43" s="77">
        <v>665.64615600000002</v>
      </c>
      <c r="EW43" s="77">
        <v>164.457729</v>
      </c>
      <c r="EX43" s="77">
        <v>399.02049699999998</v>
      </c>
      <c r="EY43" s="77">
        <v>246.44902300000001</v>
      </c>
      <c r="EZ43" s="77">
        <v>633.31259899999998</v>
      </c>
      <c r="FA43" s="77">
        <v>1.1235E-2</v>
      </c>
      <c r="FB43" s="77">
        <v>0.48496899999999998</v>
      </c>
      <c r="FC43" s="77">
        <v>648.58417399999996</v>
      </c>
      <c r="FD43" s="77">
        <v>162.00571099999999</v>
      </c>
      <c r="FE43" s="77">
        <v>379.367705</v>
      </c>
      <c r="FF43" s="77">
        <v>243.21729999999999</v>
      </c>
      <c r="FG43" s="77">
        <v>621.83707500000003</v>
      </c>
      <c r="FH43" s="77">
        <v>1.1480000000000001E-2</v>
      </c>
      <c r="FI43" s="77">
        <v>0.60553500000000005</v>
      </c>
      <c r="FJ43" s="77">
        <v>744.94659999999999</v>
      </c>
      <c r="FK43" s="77">
        <v>186.661641</v>
      </c>
      <c r="FL43" s="77">
        <v>449.32216899999997</v>
      </c>
      <c r="FM43" s="77">
        <v>277.286608</v>
      </c>
      <c r="FN43" s="77">
        <v>729.03131299999995</v>
      </c>
      <c r="FO43" s="77">
        <v>1.0800000000000001E-2</v>
      </c>
      <c r="FP43" s="77">
        <v>0.55783400000000005</v>
      </c>
      <c r="FQ43" s="77">
        <v>689.09846500000003</v>
      </c>
      <c r="FR43" s="77">
        <v>168.88982999999999</v>
      </c>
      <c r="FS43" s="77">
        <v>394.90578799999997</v>
      </c>
      <c r="FT43" s="77">
        <v>261.14044000000001</v>
      </c>
      <c r="FU43" s="77">
        <v>646.19915700000001</v>
      </c>
      <c r="FV43" s="77">
        <v>1.3925999999999999E-2</v>
      </c>
      <c r="FW43" s="77">
        <v>0.46564499999999998</v>
      </c>
      <c r="FX43" s="77">
        <v>644.46842400000003</v>
      </c>
      <c r="FY43" s="77">
        <v>158.79253399999999</v>
      </c>
      <c r="FZ43" s="77">
        <v>384.74888800000002</v>
      </c>
      <c r="GA43" s="77">
        <v>239.115171</v>
      </c>
      <c r="GB43" s="77">
        <v>610.24062100000003</v>
      </c>
      <c r="GC43" s="77">
        <v>1.1861E-2</v>
      </c>
      <c r="GD43" s="77">
        <v>0.46695500000000001</v>
      </c>
      <c r="GE43" s="77">
        <v>637.77090999999996</v>
      </c>
      <c r="GF43" s="77">
        <v>157.56582</v>
      </c>
      <c r="GG43" s="77">
        <v>369.46724999999998</v>
      </c>
      <c r="GH43" s="77">
        <v>239.57457700000001</v>
      </c>
      <c r="GI43" s="77">
        <v>600.89147000000003</v>
      </c>
      <c r="GJ43" s="77">
        <v>1.1481999999999999E-2</v>
      </c>
      <c r="GK43" s="77">
        <v>0.45351599999999997</v>
      </c>
      <c r="GL43" s="77">
        <v>611.17558699999995</v>
      </c>
      <c r="GM43" s="77">
        <v>149.17732799999999</v>
      </c>
      <c r="GN43" s="77">
        <v>359.93474700000002</v>
      </c>
      <c r="GO43" s="77">
        <v>228.32600500000001</v>
      </c>
      <c r="GP43" s="77">
        <v>570.24435800000003</v>
      </c>
      <c r="GQ43" s="77">
        <v>1.2204E-2</v>
      </c>
      <c r="GR43" s="77">
        <v>0.51488</v>
      </c>
      <c r="GS43" s="77">
        <v>721.65442599999994</v>
      </c>
      <c r="GT43" s="77">
        <v>180.517392</v>
      </c>
      <c r="GU43" s="77">
        <v>424.26769899999999</v>
      </c>
      <c r="GV43" s="77">
        <v>269.12812300000002</v>
      </c>
      <c r="GW43" s="77">
        <v>693.90623900000003</v>
      </c>
      <c r="GX43" s="77">
        <v>1.1464999999999999E-2</v>
      </c>
      <c r="GY43" s="77">
        <v>0.490867</v>
      </c>
      <c r="GZ43" s="77">
        <v>625.56387600000005</v>
      </c>
      <c r="HA43" s="77">
        <v>153.37752</v>
      </c>
      <c r="HB43" s="77">
        <v>368.61666700000001</v>
      </c>
      <c r="HC43" s="77">
        <v>234.43850699999999</v>
      </c>
      <c r="HD43" s="77">
        <v>589.16334700000004</v>
      </c>
      <c r="HE43" s="77">
        <v>1.2165E-2</v>
      </c>
      <c r="HF43" s="77">
        <v>0.50540200000000002</v>
      </c>
      <c r="HG43" s="77">
        <v>657.85406399999999</v>
      </c>
      <c r="HH43" s="77">
        <v>162.619844</v>
      </c>
      <c r="HI43" s="77">
        <v>380.71816999999999</v>
      </c>
      <c r="HJ43" s="77">
        <v>247.828045</v>
      </c>
      <c r="HK43" s="77">
        <v>622.21261300000003</v>
      </c>
      <c r="HL43" s="77">
        <v>1.1165E-2</v>
      </c>
      <c r="HM43" s="77">
        <v>0.497199</v>
      </c>
      <c r="HN43" s="77">
        <v>630.48184000000003</v>
      </c>
      <c r="HO43" s="77">
        <v>155.379051</v>
      </c>
      <c r="HP43" s="77">
        <v>373.44173499999999</v>
      </c>
      <c r="HQ43" s="77">
        <v>235.964203</v>
      </c>
      <c r="HR43" s="77">
        <v>598.62869699999999</v>
      </c>
      <c r="HS43" s="77">
        <v>1.0654E-2</v>
      </c>
      <c r="HT43" s="77">
        <v>0.45884999999999998</v>
      </c>
      <c r="HU43" s="77">
        <v>643.51884700000005</v>
      </c>
      <c r="HV43" s="77">
        <v>157.922572</v>
      </c>
      <c r="HW43" s="77">
        <v>370.89008999999999</v>
      </c>
      <c r="HX43" s="77">
        <v>241.74058500000001</v>
      </c>
      <c r="HY43" s="77">
        <v>599.919082</v>
      </c>
      <c r="HZ43" s="77">
        <v>1.3894E-2</v>
      </c>
      <c r="IA43" s="77">
        <v>0.55670399999999998</v>
      </c>
      <c r="IB43" s="77">
        <v>752.40215899999998</v>
      </c>
      <c r="IC43" s="77">
        <v>187.76328599999999</v>
      </c>
      <c r="ID43" s="77">
        <v>452.97101099999998</v>
      </c>
      <c r="IE43" s="77">
        <v>279.69546400000002</v>
      </c>
      <c r="IF43" s="77">
        <v>731.43058299999996</v>
      </c>
      <c r="IG43" s="77">
        <v>1.0564E-2</v>
      </c>
      <c r="IH43" s="77">
        <v>0.56392399999999998</v>
      </c>
      <c r="II43" s="77">
        <v>675.86583099999996</v>
      </c>
      <c r="IJ43" s="77">
        <v>171.27124499999999</v>
      </c>
      <c r="IK43" s="77">
        <v>399.083977</v>
      </c>
      <c r="IL43" s="77">
        <v>254.33928299999999</v>
      </c>
      <c r="IM43" s="77">
        <v>665.58663300000001</v>
      </c>
      <c r="IN43" s="77">
        <v>1.1209999999999999E-2</v>
      </c>
      <c r="IO43" s="77">
        <v>0.56911</v>
      </c>
      <c r="IP43" s="77">
        <v>661.98997299999996</v>
      </c>
      <c r="IQ43" s="77">
        <v>164.10959600000001</v>
      </c>
      <c r="IR43" s="77">
        <v>394.28596099999999</v>
      </c>
      <c r="IS43" s="77">
        <v>247.51692700000001</v>
      </c>
      <c r="IT43" s="77">
        <v>635.43529000000001</v>
      </c>
      <c r="IU43" s="77">
        <v>1.0200000000000001E-2</v>
      </c>
      <c r="IV43" s="77">
        <v>0.51778400000000002</v>
      </c>
      <c r="IW43" s="77">
        <v>667.04743299999996</v>
      </c>
      <c r="IX43" s="77">
        <v>164.566507</v>
      </c>
      <c r="IY43" s="77">
        <v>385.16649100000001</v>
      </c>
      <c r="IZ43" s="77">
        <v>251.64681999999999</v>
      </c>
      <c r="JA43" s="77">
        <v>629.75389900000005</v>
      </c>
      <c r="JB43" s="77">
        <v>1.4064999999999999E-2</v>
      </c>
      <c r="JC43" s="77">
        <v>0.55497200000000002</v>
      </c>
      <c r="JD43" s="77">
        <v>684.59927000000005</v>
      </c>
      <c r="JE43" s="77">
        <v>169.80160799999999</v>
      </c>
      <c r="JF43" s="77">
        <v>408.12266099999999</v>
      </c>
      <c r="JG43" s="77">
        <v>255.85821899999999</v>
      </c>
      <c r="JH43" s="77">
        <v>658.32662800000003</v>
      </c>
      <c r="JI43" s="77">
        <v>1.0697999999999999E-2</v>
      </c>
      <c r="JJ43" s="77">
        <v>0.490564</v>
      </c>
      <c r="JK43" s="77">
        <v>608.139002</v>
      </c>
      <c r="JL43" s="77">
        <v>151.79513499999999</v>
      </c>
      <c r="JM43" s="77">
        <v>353.84995900000001</v>
      </c>
      <c r="JN43" s="77">
        <v>229.68032700000001</v>
      </c>
      <c r="JO43" s="77">
        <v>583.39581499999997</v>
      </c>
      <c r="JP43" s="77">
        <v>1.1812E-2</v>
      </c>
      <c r="JQ43" s="77">
        <v>0.49140699999999998</v>
      </c>
      <c r="JR43" s="77">
        <v>634.25597700000003</v>
      </c>
      <c r="JS43" s="77">
        <v>155.04176000000001</v>
      </c>
      <c r="JT43" s="77">
        <v>373.06654400000002</v>
      </c>
      <c r="JU43" s="77">
        <v>237.586263</v>
      </c>
      <c r="JV43" s="77">
        <v>594.64375399999994</v>
      </c>
      <c r="JW43" s="77">
        <v>0.92939300000000002</v>
      </c>
      <c r="JX43" s="77">
        <v>1.92432</v>
      </c>
      <c r="JY43" s="77">
        <v>1044.2839839999999</v>
      </c>
      <c r="JZ43" s="77">
        <v>292.14699200000001</v>
      </c>
      <c r="KA43" s="77">
        <v>602.815697</v>
      </c>
      <c r="KB43" s="77">
        <v>1.107437</v>
      </c>
      <c r="KC43" s="77">
        <v>1.087861</v>
      </c>
      <c r="KD43" s="77">
        <v>275.42232799999999</v>
      </c>
      <c r="KE43" s="77">
        <v>275.42225300000001</v>
      </c>
      <c r="KF43" s="77">
        <v>314.21028799999999</v>
      </c>
      <c r="KG43" s="77">
        <v>336.618943</v>
      </c>
      <c r="KH43" s="77">
        <v>310.47020500000002</v>
      </c>
      <c r="KI43" s="77">
        <v>305.28984500000001</v>
      </c>
      <c r="KJ43" s="77">
        <v>301.455423</v>
      </c>
      <c r="KK43" s="77">
        <v>274.964831</v>
      </c>
      <c r="KL43" s="77">
        <v>274.96475600000002</v>
      </c>
      <c r="KM43" s="77">
        <v>274.59370999999999</v>
      </c>
      <c r="KN43" s="77">
        <v>297.27258</v>
      </c>
      <c r="KO43" s="77">
        <v>266.49683700000003</v>
      </c>
      <c r="KP43" s="77">
        <v>269.68875100000002</v>
      </c>
      <c r="KQ43" s="77">
        <v>265.82231100000001</v>
      </c>
      <c r="KR43" s="77">
        <v>256.76924200000002</v>
      </c>
      <c r="KS43" s="77">
        <v>256.76917300000002</v>
      </c>
      <c r="KT43" s="77">
        <v>292.72909800000002</v>
      </c>
      <c r="KU43" s="77">
        <v>313.74682999999999</v>
      </c>
      <c r="KV43" s="77">
        <v>289.07145600000001</v>
      </c>
      <c r="KW43" s="77">
        <v>284.52107599999999</v>
      </c>
      <c r="KX43" s="77">
        <v>280.96119800000002</v>
      </c>
      <c r="KY43" s="77">
        <v>260.10013099999998</v>
      </c>
      <c r="KZ43" s="77">
        <v>260.10005699999999</v>
      </c>
      <c r="LA43" s="77">
        <v>262.30142899999998</v>
      </c>
      <c r="LB43" s="77">
        <v>283.90915999999999</v>
      </c>
      <c r="LC43" s="77">
        <v>254.198926</v>
      </c>
      <c r="LD43" s="77">
        <v>258.095054</v>
      </c>
      <c r="LE43" s="77">
        <v>254.63500099999999</v>
      </c>
      <c r="LF43" s="77">
        <v>269.75673899999998</v>
      </c>
      <c r="LG43" s="77">
        <v>269.75666200000001</v>
      </c>
      <c r="LH43" s="77">
        <v>289.55368700000002</v>
      </c>
      <c r="LI43" s="77">
        <v>309.72436099999999</v>
      </c>
      <c r="LJ43" s="77">
        <v>285.787575</v>
      </c>
      <c r="LK43" s="77">
        <v>281.947678</v>
      </c>
      <c r="LL43" s="77">
        <v>278.59378500000003</v>
      </c>
      <c r="LM43" s="77">
        <v>278.79529100000002</v>
      </c>
      <c r="LN43" s="77">
        <v>278.79521499999998</v>
      </c>
      <c r="LO43" s="77">
        <v>317.05041</v>
      </c>
      <c r="LP43" s="77">
        <v>345.25998700000002</v>
      </c>
      <c r="LQ43" s="77">
        <v>307.27082300000001</v>
      </c>
      <c r="LR43" s="77">
        <v>310.598119</v>
      </c>
      <c r="LS43" s="77">
        <v>305.62050199999999</v>
      </c>
      <c r="LT43" s="77">
        <v>286.83285999999998</v>
      </c>
      <c r="LU43" s="77">
        <v>286.83278300000001</v>
      </c>
      <c r="LV43" s="77">
        <v>290.83219300000002</v>
      </c>
      <c r="LW43" s="77">
        <v>311.60605199999998</v>
      </c>
      <c r="LX43" s="77">
        <v>287.17092700000001</v>
      </c>
      <c r="LY43" s="77">
        <v>282.76824099999999</v>
      </c>
      <c r="LZ43" s="77">
        <v>279.26092699999998</v>
      </c>
      <c r="MA43" s="77">
        <v>265.19139999999999</v>
      </c>
      <c r="MB43" s="77">
        <v>265.19132500000001</v>
      </c>
      <c r="MC43" s="77">
        <v>282.25148200000001</v>
      </c>
      <c r="MD43" s="77">
        <v>305.49677500000001</v>
      </c>
      <c r="ME43" s="77">
        <v>273.836727</v>
      </c>
      <c r="MF43" s="77">
        <v>277.363201</v>
      </c>
      <c r="MG43" s="77">
        <v>273.46687900000001</v>
      </c>
      <c r="MH43" s="77">
        <v>250.87585100000001</v>
      </c>
      <c r="MI43" s="77">
        <v>250.875778</v>
      </c>
      <c r="MJ43" s="77">
        <v>287.77497199999999</v>
      </c>
      <c r="MK43" s="77">
        <v>308.54690599999998</v>
      </c>
      <c r="ML43" s="77">
        <v>284.23313300000001</v>
      </c>
      <c r="MM43" s="77">
        <v>279.58555699999999</v>
      </c>
      <c r="MN43" s="77">
        <v>276.04952200000002</v>
      </c>
      <c r="MO43" s="77">
        <v>298.80665299999998</v>
      </c>
      <c r="MP43" s="77">
        <v>298.80657500000001</v>
      </c>
      <c r="MQ43" s="77">
        <v>296.28052100000002</v>
      </c>
      <c r="MR43" s="77">
        <v>322.11723899999998</v>
      </c>
      <c r="MS43" s="77">
        <v>287.11157100000003</v>
      </c>
      <c r="MT43" s="77">
        <v>290.626059</v>
      </c>
      <c r="MU43" s="77">
        <v>286.189346</v>
      </c>
      <c r="MV43" s="77">
        <v>256.1096</v>
      </c>
      <c r="MW43" s="77">
        <v>256.10952500000002</v>
      </c>
      <c r="MX43" s="77">
        <v>274.9778</v>
      </c>
      <c r="MY43" s="77">
        <v>294.40112299999998</v>
      </c>
      <c r="MZ43" s="77">
        <v>270.766414</v>
      </c>
      <c r="NA43" s="77">
        <v>268.27355999999997</v>
      </c>
      <c r="NB43" s="77">
        <v>265.18672199999997</v>
      </c>
      <c r="NC43" s="77">
        <v>270.79844900000001</v>
      </c>
      <c r="ND43" s="77">
        <v>270.79837199999997</v>
      </c>
      <c r="NE43" s="77">
        <v>301.03336300000001</v>
      </c>
      <c r="NF43" s="77">
        <v>326.94824899999998</v>
      </c>
      <c r="NG43" s="77">
        <v>291.74623700000001</v>
      </c>
      <c r="NH43" s="77">
        <v>295.470574</v>
      </c>
      <c r="NI43" s="77">
        <v>291.07259499999998</v>
      </c>
      <c r="NJ43" s="77">
        <v>283.28469000000001</v>
      </c>
      <c r="NK43" s="77">
        <v>283.28461299999998</v>
      </c>
      <c r="NL43" s="77">
        <v>292.10278299999999</v>
      </c>
      <c r="NM43" s="77">
        <v>313.68997999999999</v>
      </c>
      <c r="NN43" s="77">
        <v>288.48760499999997</v>
      </c>
      <c r="NO43" s="77">
        <v>283.52229899999998</v>
      </c>
      <c r="NP43" s="77">
        <v>279.831413</v>
      </c>
      <c r="NQ43" s="77">
        <v>272.16606200000001</v>
      </c>
      <c r="NR43" s="77">
        <v>272.16598900000002</v>
      </c>
      <c r="NS43" s="77">
        <v>290.41274600000003</v>
      </c>
      <c r="NT43" s="77">
        <v>315.14707199999998</v>
      </c>
      <c r="NU43" s="77">
        <v>281.37293399999999</v>
      </c>
      <c r="NV43" s="77">
        <v>285.31483200000002</v>
      </c>
      <c r="NW43" s="77">
        <v>281.21852699999999</v>
      </c>
      <c r="NX43" s="77">
        <v>259.91895799999998</v>
      </c>
      <c r="NY43" s="77">
        <v>259.91888399999999</v>
      </c>
      <c r="NZ43" s="77">
        <v>294.11898300000001</v>
      </c>
      <c r="OA43" s="77">
        <v>315.28756700000002</v>
      </c>
      <c r="OB43" s="77">
        <v>290.59454599999998</v>
      </c>
      <c r="OC43" s="77">
        <v>285.68302699999998</v>
      </c>
      <c r="OD43" s="77">
        <v>282.05870099999999</v>
      </c>
      <c r="OE43" s="77">
        <v>311.33798400000001</v>
      </c>
      <c r="OF43" s="77">
        <v>311.33790299999998</v>
      </c>
      <c r="OG43" s="77">
        <v>314.84029399999997</v>
      </c>
      <c r="OH43" s="77">
        <v>340.831973</v>
      </c>
      <c r="OI43" s="77">
        <v>305.47886799999998</v>
      </c>
      <c r="OJ43" s="77">
        <v>309.31727799999999</v>
      </c>
      <c r="OK43" s="77">
        <v>304.93320999999997</v>
      </c>
      <c r="OL43" s="77">
        <v>282.10636499999998</v>
      </c>
      <c r="OM43" s="77">
        <v>282.10628800000001</v>
      </c>
      <c r="ON43" s="77">
        <v>302.98357199999998</v>
      </c>
      <c r="OO43" s="77">
        <v>324.30850299999997</v>
      </c>
      <c r="OP43" s="77">
        <v>298.84434700000003</v>
      </c>
      <c r="OQ43" s="77">
        <v>295.10938299999998</v>
      </c>
      <c r="OR43" s="77">
        <v>291.60203300000001</v>
      </c>
      <c r="OS43" s="77">
        <v>285.534919</v>
      </c>
      <c r="OT43" s="77">
        <v>285.53484400000002</v>
      </c>
      <c r="OU43" s="77">
        <v>320.39068400000002</v>
      </c>
      <c r="OV43" s="77">
        <v>347.891187</v>
      </c>
      <c r="OW43" s="77">
        <v>310.65780799999999</v>
      </c>
      <c r="OX43" s="77">
        <v>314.34011199999998</v>
      </c>
      <c r="OY43" s="77">
        <v>309.60239300000001</v>
      </c>
      <c r="OZ43" s="77">
        <v>302.81183499999997</v>
      </c>
      <c r="PA43" s="77">
        <v>302.811756</v>
      </c>
      <c r="PB43" s="77">
        <v>309.45887599999998</v>
      </c>
      <c r="PC43" s="77">
        <v>331.62494800000002</v>
      </c>
      <c r="PD43" s="77">
        <v>305.43558000000002</v>
      </c>
      <c r="PE43" s="77">
        <v>300.97812499999998</v>
      </c>
      <c r="PF43" s="77">
        <v>297.26427200000001</v>
      </c>
      <c r="PG43" s="77">
        <v>285.81288899999998</v>
      </c>
      <c r="PH43" s="77">
        <v>285.812814</v>
      </c>
      <c r="PI43" s="77">
        <v>303.18601100000001</v>
      </c>
      <c r="PJ43" s="77">
        <v>326.92212799999999</v>
      </c>
      <c r="PK43" s="77">
        <v>294.63688100000002</v>
      </c>
      <c r="PL43" s="77">
        <v>298.14237200000002</v>
      </c>
      <c r="PM43" s="77">
        <v>294.13881199999997</v>
      </c>
      <c r="PN43" s="77">
        <v>292.53649799999999</v>
      </c>
      <c r="PO43" s="77">
        <v>292.53641099999999</v>
      </c>
      <c r="PP43" s="77">
        <v>334.94363499999997</v>
      </c>
      <c r="PQ43" s="77">
        <v>359.42043799999999</v>
      </c>
      <c r="PR43" s="77">
        <v>330.63105000000002</v>
      </c>
      <c r="PS43" s="77">
        <v>325.44088399999998</v>
      </c>
      <c r="PT43" s="77">
        <v>321.30808000000002</v>
      </c>
      <c r="PU43" s="77">
        <v>316.60472399999998</v>
      </c>
      <c r="PV43" s="77">
        <v>316.60463900000002</v>
      </c>
      <c r="PW43" s="77">
        <v>316.870925</v>
      </c>
      <c r="PX43" s="77">
        <v>342.96106300000002</v>
      </c>
      <c r="PY43" s="77">
        <v>307.33076399999999</v>
      </c>
      <c r="PZ43" s="77">
        <v>311.49945600000001</v>
      </c>
      <c r="QA43" s="77">
        <v>307.18144000000001</v>
      </c>
      <c r="QB43" s="77">
        <v>293.39498099999997</v>
      </c>
      <c r="QC43" s="77">
        <v>293.394881</v>
      </c>
      <c r="QD43" s="77">
        <v>315.89155299999999</v>
      </c>
      <c r="QE43" s="77">
        <v>339.14628499999998</v>
      </c>
      <c r="QF43" s="77">
        <v>310.56926299999998</v>
      </c>
      <c r="QG43" s="77">
        <v>308.16179399999999</v>
      </c>
      <c r="QH43" s="77">
        <v>304.53447299999999</v>
      </c>
      <c r="QI43" s="77">
        <v>290.33770199999998</v>
      </c>
      <c r="QJ43" s="77">
        <v>290.33759600000002</v>
      </c>
      <c r="QK43" s="77">
        <v>311.20279699999998</v>
      </c>
      <c r="QL43" s="77">
        <v>339.17909700000001</v>
      </c>
      <c r="QM43" s="77">
        <v>300.77001000000001</v>
      </c>
      <c r="QN43" s="77">
        <v>305.68713400000001</v>
      </c>
      <c r="QO43" s="77">
        <v>301.17397199999999</v>
      </c>
      <c r="QP43" s="77">
        <v>289.62976500000002</v>
      </c>
      <c r="QQ43" s="77">
        <v>289.62966899999998</v>
      </c>
      <c r="QR43" s="77">
        <v>313.10310800000002</v>
      </c>
      <c r="QS43" s="77">
        <v>337.24857300000002</v>
      </c>
    </row>
    <row r="44" spans="6:461" x14ac:dyDescent="0.25">
      <c r="F44" s="76" t="str">
        <f xml:space="preserve"> _xll.EPMOlapMemberO("[PRDDESCR].[].[WONDER GFREE WHOLEM 500G]","","WONDER GFREE WHOLEM 500G","","000")</f>
        <v>WONDER GFREE WHOLEM 500G</v>
      </c>
      <c r="G44" s="76" t="str">
        <f xml:space="preserve"> _xll.EPMOlapMemberO("[PRDID].[].[179650]","","179650","","000")</f>
        <v>179650</v>
      </c>
      <c r="H44" s="76" t="str">
        <f xml:space="preserve"> _xll.EPMOlapMemberO("[LOCID].[].[6125]","","6125","","000")</f>
        <v>6125</v>
      </c>
      <c r="I44" s="76" t="str">
        <f xml:space="preserve"> _xll.EPMOlapMemberO("[LOCDESCR].[].[QBA -Keilor Park]","","QBA -Keilor Park","","000")</f>
        <v>QBA -Keilor Park</v>
      </c>
      <c r="J44" s="76" t="str">
        <f xml:space="preserve"> _xll.EPMOlapMemberO("[KEY_FIGURES].[].[ZGFAPPROVEDFCSTQTY]","","Approved Forecast","","000")</f>
        <v>Approved Forecast</v>
      </c>
      <c r="K44" s="77">
        <v>0.212173</v>
      </c>
      <c r="L44" s="77">
        <v>555.25969199999997</v>
      </c>
      <c r="M44" s="77">
        <v>89.996019000000004</v>
      </c>
      <c r="N44" s="77">
        <v>245.24115599999999</v>
      </c>
      <c r="O44" s="77">
        <v>316.35451</v>
      </c>
      <c r="P44" s="77">
        <v>358.54672099999999</v>
      </c>
      <c r="Q44" s="77">
        <v>0</v>
      </c>
      <c r="R44" s="77">
        <v>0.247223</v>
      </c>
      <c r="S44" s="77">
        <v>547.29959699999995</v>
      </c>
      <c r="T44" s="77">
        <v>83.868457000000006</v>
      </c>
      <c r="U44" s="77">
        <v>235.19124199999999</v>
      </c>
      <c r="V44" s="77">
        <v>294.79038700000001</v>
      </c>
      <c r="W44" s="77">
        <v>342.36134800000002</v>
      </c>
      <c r="X44" s="77">
        <v>1.9349000000000002E-2</v>
      </c>
      <c r="Y44" s="77">
        <v>0.27860699999999999</v>
      </c>
      <c r="Z44" s="77">
        <v>536.42566399999998</v>
      </c>
      <c r="AA44" s="77">
        <v>84.721168000000006</v>
      </c>
      <c r="AB44" s="77">
        <v>228.885122</v>
      </c>
      <c r="AC44" s="77">
        <v>280.73211400000002</v>
      </c>
      <c r="AD44" s="77">
        <v>350.17238500000002</v>
      </c>
      <c r="AE44" s="77"/>
      <c r="AF44" s="77"/>
      <c r="AG44" s="77"/>
      <c r="AH44" s="77"/>
      <c r="AI44" s="77"/>
      <c r="AJ44" s="77"/>
      <c r="AK44" s="77"/>
      <c r="AL44" s="77">
        <v>2.0333E-2</v>
      </c>
      <c r="AM44" s="77">
        <v>0.29764000000000002</v>
      </c>
      <c r="AN44" s="77">
        <v>555.11880099999996</v>
      </c>
      <c r="AO44" s="77">
        <v>84.392162999999996</v>
      </c>
      <c r="AP44" s="77">
        <v>237.90010000000001</v>
      </c>
      <c r="AQ44" s="77">
        <v>282.36868900000002</v>
      </c>
      <c r="AR44" s="77">
        <v>347.93918400000001</v>
      </c>
      <c r="AS44" s="77">
        <v>1.9393000000000001E-2</v>
      </c>
      <c r="AT44" s="77">
        <v>0.29541099999999998</v>
      </c>
      <c r="AU44" s="77">
        <v>567.05770500000006</v>
      </c>
      <c r="AV44" s="77">
        <v>89.187411999999995</v>
      </c>
      <c r="AW44" s="77">
        <v>241.56472299999999</v>
      </c>
      <c r="AX44" s="77">
        <v>294.52379000000002</v>
      </c>
      <c r="AY44" s="77">
        <v>368.37702400000001</v>
      </c>
      <c r="AZ44" s="77">
        <v>2.1051E-2</v>
      </c>
      <c r="BA44" s="77">
        <v>0.279173</v>
      </c>
      <c r="BB44" s="77">
        <v>595.620812</v>
      </c>
      <c r="BC44" s="77">
        <v>94.692222999999998</v>
      </c>
      <c r="BD44" s="77">
        <v>260.74341700000002</v>
      </c>
      <c r="BE44" s="77">
        <v>331.15578499999998</v>
      </c>
      <c r="BF44" s="77">
        <v>394.95159699999999</v>
      </c>
      <c r="BG44" s="77">
        <v>2.3168999999999999E-2</v>
      </c>
      <c r="BH44" s="77">
        <v>0.288026</v>
      </c>
      <c r="BI44" s="77">
        <v>567.63204299999995</v>
      </c>
      <c r="BJ44" s="77">
        <v>85.826400000000007</v>
      </c>
      <c r="BK44" s="77">
        <v>242.998054</v>
      </c>
      <c r="BL44" s="77">
        <v>294.36130100000003</v>
      </c>
      <c r="BM44" s="77">
        <v>361.88395600000001</v>
      </c>
      <c r="BN44" s="77">
        <v>1.874E-2</v>
      </c>
      <c r="BO44" s="77">
        <v>0.27414500000000003</v>
      </c>
      <c r="BP44" s="77">
        <v>555.35268199999996</v>
      </c>
      <c r="BQ44" s="77">
        <v>85.902113999999997</v>
      </c>
      <c r="BR44" s="77">
        <v>237.107742</v>
      </c>
      <c r="BS44" s="77">
        <v>288.87251800000001</v>
      </c>
      <c r="BT44" s="77">
        <v>361.93914899999999</v>
      </c>
      <c r="BU44" s="77">
        <v>1.9695000000000001E-2</v>
      </c>
      <c r="BV44" s="77">
        <v>0.30871199999999999</v>
      </c>
      <c r="BW44" s="77">
        <v>599.62021900000002</v>
      </c>
      <c r="BX44" s="77">
        <v>96.500281000000001</v>
      </c>
      <c r="BY44" s="77">
        <v>262.80696599999999</v>
      </c>
      <c r="BZ44" s="77">
        <v>326.138758</v>
      </c>
      <c r="CA44" s="77">
        <v>389.25529799999998</v>
      </c>
      <c r="CB44" s="77">
        <v>2.0386000000000001E-2</v>
      </c>
      <c r="CC44" s="77">
        <v>0.31308599999999998</v>
      </c>
      <c r="CD44" s="77">
        <v>591.58928300000002</v>
      </c>
      <c r="CE44" s="77">
        <v>89.132118000000006</v>
      </c>
      <c r="CF44" s="77">
        <v>253.16081399999999</v>
      </c>
      <c r="CG44" s="77">
        <v>299.38712800000002</v>
      </c>
      <c r="CH44" s="77">
        <v>369.53856500000001</v>
      </c>
      <c r="CI44" s="77">
        <v>1.7822000000000001E-2</v>
      </c>
      <c r="CJ44" s="77">
        <v>0.28142</v>
      </c>
      <c r="CK44" s="77">
        <v>518.82439399999998</v>
      </c>
      <c r="CL44" s="77">
        <v>82.491992999999994</v>
      </c>
      <c r="CM44" s="77">
        <v>221.638059</v>
      </c>
      <c r="CN44" s="77">
        <v>268.318488</v>
      </c>
      <c r="CO44" s="77">
        <v>335.18099599999999</v>
      </c>
      <c r="CP44" s="77">
        <v>2.0147999999999999E-2</v>
      </c>
      <c r="CQ44" s="77">
        <v>0.32276700000000003</v>
      </c>
      <c r="CR44" s="77">
        <v>578.30053599999997</v>
      </c>
      <c r="CS44" s="77">
        <v>94.611559999999997</v>
      </c>
      <c r="CT44" s="77">
        <v>253.374841</v>
      </c>
      <c r="CU44" s="77">
        <v>310.61248899999998</v>
      </c>
      <c r="CV44" s="77">
        <v>370.88602400000002</v>
      </c>
      <c r="CW44" s="77">
        <v>1.9637999999999999E-2</v>
      </c>
      <c r="CX44" s="77">
        <v>0.302396</v>
      </c>
      <c r="CY44" s="77">
        <v>562.28832399999999</v>
      </c>
      <c r="CZ44" s="77">
        <v>86.529058000000006</v>
      </c>
      <c r="DA44" s="77">
        <v>240.50088500000001</v>
      </c>
      <c r="DB44" s="77">
        <v>288.92220900000001</v>
      </c>
      <c r="DC44" s="77">
        <v>355.19802800000002</v>
      </c>
      <c r="DD44" s="77">
        <v>1.9341000000000001E-2</v>
      </c>
      <c r="DE44" s="77">
        <v>0.28353099999999998</v>
      </c>
      <c r="DF44" s="77">
        <v>551.41796099999999</v>
      </c>
      <c r="DG44" s="77">
        <v>86.610354999999998</v>
      </c>
      <c r="DH44" s="77">
        <v>235.15709899999999</v>
      </c>
      <c r="DI44" s="77">
        <v>287.66106500000001</v>
      </c>
      <c r="DJ44" s="77">
        <v>359.42211099999997</v>
      </c>
      <c r="DK44" s="77">
        <v>1.8974999999999999E-2</v>
      </c>
      <c r="DL44" s="77">
        <v>0.288914</v>
      </c>
      <c r="DM44" s="77">
        <v>574.98756000000003</v>
      </c>
      <c r="DN44" s="77">
        <v>91.957825</v>
      </c>
      <c r="DO44" s="77">
        <v>252.581085</v>
      </c>
      <c r="DP44" s="77">
        <v>313.42321199999998</v>
      </c>
      <c r="DQ44" s="77">
        <v>374.03605499999998</v>
      </c>
      <c r="DR44" s="77">
        <v>2.1607000000000001E-2</v>
      </c>
      <c r="DS44" s="77">
        <v>0.28359299999999998</v>
      </c>
      <c r="DT44" s="77">
        <v>569.29883800000005</v>
      </c>
      <c r="DU44" s="77">
        <v>89.730970999999997</v>
      </c>
      <c r="DV44" s="77">
        <v>242.92007000000001</v>
      </c>
      <c r="DW44" s="77">
        <v>290.22432900000001</v>
      </c>
      <c r="DX44" s="77">
        <v>356.586839</v>
      </c>
      <c r="DY44" s="77">
        <v>1.9685999999999999E-2</v>
      </c>
      <c r="DZ44" s="77">
        <v>0.33531699999999998</v>
      </c>
      <c r="EA44" s="77">
        <v>544.72958200000005</v>
      </c>
      <c r="EB44" s="77">
        <v>86.272704000000004</v>
      </c>
      <c r="EC44" s="77">
        <v>232.22460699999999</v>
      </c>
      <c r="ED44" s="77">
        <v>285.074364</v>
      </c>
      <c r="EE44" s="77">
        <v>355.49967600000002</v>
      </c>
      <c r="EF44" s="77">
        <v>2.0761999999999999E-2</v>
      </c>
      <c r="EG44" s="77">
        <v>0.27574100000000001</v>
      </c>
      <c r="EH44" s="77">
        <v>556.80439000000001</v>
      </c>
      <c r="EI44" s="77">
        <v>88.737538000000001</v>
      </c>
      <c r="EJ44" s="77">
        <v>244.82758100000001</v>
      </c>
      <c r="EK44" s="77">
        <v>304.85490900000002</v>
      </c>
      <c r="EL44" s="77">
        <v>363.74830400000002</v>
      </c>
      <c r="EM44" s="77">
        <v>1.8995000000000001E-2</v>
      </c>
      <c r="EN44" s="77">
        <v>0.29538399999999998</v>
      </c>
      <c r="EO44" s="77">
        <v>551.85208699999998</v>
      </c>
      <c r="EP44" s="77">
        <v>84.603358999999998</v>
      </c>
      <c r="EQ44" s="77">
        <v>236.31313900000001</v>
      </c>
      <c r="ER44" s="77">
        <v>282.85168299999998</v>
      </c>
      <c r="ES44" s="77">
        <v>347.92536000000001</v>
      </c>
      <c r="ET44" s="77">
        <v>1.8776999999999999E-2</v>
      </c>
      <c r="EU44" s="77">
        <v>0.28756599999999999</v>
      </c>
      <c r="EV44" s="77">
        <v>577.75381200000004</v>
      </c>
      <c r="EW44" s="77">
        <v>90.981125000000006</v>
      </c>
      <c r="EX44" s="77">
        <v>245.76573999999999</v>
      </c>
      <c r="EY44" s="77">
        <v>305.74264699999998</v>
      </c>
      <c r="EZ44" s="77">
        <v>380.79497199999997</v>
      </c>
      <c r="FA44" s="77">
        <v>2.2655999999999999E-2</v>
      </c>
      <c r="FB44" s="77">
        <v>0.29254799999999997</v>
      </c>
      <c r="FC44" s="77">
        <v>545.21356900000001</v>
      </c>
      <c r="FD44" s="77">
        <v>88.128817999999995</v>
      </c>
      <c r="FE44" s="77">
        <v>239.66055299999999</v>
      </c>
      <c r="FF44" s="77">
        <v>294.95581600000003</v>
      </c>
      <c r="FG44" s="77">
        <v>352.08252399999998</v>
      </c>
      <c r="FH44" s="77">
        <v>2.0812000000000001E-2</v>
      </c>
      <c r="FI44" s="77">
        <v>0.31007099999999999</v>
      </c>
      <c r="FJ44" s="77">
        <v>675.56626500000004</v>
      </c>
      <c r="FK44" s="77">
        <v>100.826401</v>
      </c>
      <c r="FL44" s="77">
        <v>287.57146399999999</v>
      </c>
      <c r="FM44" s="77">
        <v>356.19560999999999</v>
      </c>
      <c r="FN44" s="77">
        <v>437.58345700000001</v>
      </c>
      <c r="FO44" s="77">
        <v>2.4396000000000001E-2</v>
      </c>
      <c r="FP44" s="77">
        <v>0.29235699999999998</v>
      </c>
      <c r="FQ44" s="77">
        <v>611.40494200000001</v>
      </c>
      <c r="FR44" s="77">
        <v>98.621886000000003</v>
      </c>
      <c r="FS44" s="77">
        <v>259.24241799999999</v>
      </c>
      <c r="FT44" s="77">
        <v>313.30069500000002</v>
      </c>
      <c r="FU44" s="77">
        <v>391.91367200000002</v>
      </c>
      <c r="FV44" s="77">
        <v>1.8787999999999999E-2</v>
      </c>
      <c r="FW44" s="77">
        <v>0.34870499999999999</v>
      </c>
      <c r="FX44" s="77">
        <v>578.20575199999996</v>
      </c>
      <c r="FY44" s="77">
        <v>92.415378000000004</v>
      </c>
      <c r="FZ44" s="77">
        <v>253.732224</v>
      </c>
      <c r="GA44" s="77">
        <v>316.87214399999999</v>
      </c>
      <c r="GB44" s="77">
        <v>378.08790800000003</v>
      </c>
      <c r="GC44" s="77">
        <v>1.9404999999999999E-2</v>
      </c>
      <c r="GD44" s="77">
        <v>0.28898299999999999</v>
      </c>
      <c r="GE44" s="77">
        <v>517.55799999999999</v>
      </c>
      <c r="GF44" s="77">
        <v>79.517409000000001</v>
      </c>
      <c r="GG44" s="77">
        <v>222.275003</v>
      </c>
      <c r="GH44" s="77">
        <v>261.74392399999999</v>
      </c>
      <c r="GI44" s="77">
        <v>322.431963</v>
      </c>
      <c r="GJ44" s="77">
        <v>1.8356999999999998E-2</v>
      </c>
      <c r="GK44" s="77">
        <v>0.30911100000000002</v>
      </c>
      <c r="GL44" s="77">
        <v>554.25482799999997</v>
      </c>
      <c r="GM44" s="77">
        <v>88.598560000000006</v>
      </c>
      <c r="GN44" s="77">
        <v>236.06487899999999</v>
      </c>
      <c r="GO44" s="77">
        <v>284.788433</v>
      </c>
      <c r="GP44" s="77">
        <v>356.20951700000001</v>
      </c>
      <c r="GQ44" s="77">
        <v>1.8161E-2</v>
      </c>
      <c r="GR44" s="77">
        <v>0.314776</v>
      </c>
      <c r="GS44" s="77">
        <v>606.64633500000002</v>
      </c>
      <c r="GT44" s="77">
        <v>98.738517999999999</v>
      </c>
      <c r="GU44" s="77">
        <v>264.76367199999999</v>
      </c>
      <c r="GV44" s="77">
        <v>332.28411599999998</v>
      </c>
      <c r="GW44" s="77">
        <v>396.51763799999998</v>
      </c>
      <c r="GX44" s="77">
        <v>2.1745E-2</v>
      </c>
      <c r="GY44" s="77">
        <v>0.29195100000000002</v>
      </c>
      <c r="GZ44" s="77">
        <v>524.88125700000001</v>
      </c>
      <c r="HA44" s="77">
        <v>80.226375000000004</v>
      </c>
      <c r="HB44" s="77">
        <v>225.39696000000001</v>
      </c>
      <c r="HC44" s="77">
        <v>265.273302</v>
      </c>
      <c r="HD44" s="77">
        <v>326.960464</v>
      </c>
      <c r="HE44" s="77">
        <v>1.7461000000000001E-2</v>
      </c>
      <c r="HF44" s="77">
        <v>0.315807</v>
      </c>
      <c r="HG44" s="77">
        <v>576.202044</v>
      </c>
      <c r="HH44" s="77">
        <v>92.156980000000004</v>
      </c>
      <c r="HI44" s="77">
        <v>244.97640899999999</v>
      </c>
      <c r="HJ44" s="77">
        <v>297.95039100000002</v>
      </c>
      <c r="HK44" s="77">
        <v>372.22407800000002</v>
      </c>
      <c r="HL44" s="77">
        <v>1.9379E-2</v>
      </c>
      <c r="HM44" s="77">
        <v>0.28598600000000002</v>
      </c>
      <c r="HN44" s="77">
        <v>525.32300499999997</v>
      </c>
      <c r="HO44" s="77">
        <v>84.602450000000005</v>
      </c>
      <c r="HP44" s="77">
        <v>231.95394400000001</v>
      </c>
      <c r="HQ44" s="77">
        <v>280.44144599999998</v>
      </c>
      <c r="HR44" s="77">
        <v>334.88897900000001</v>
      </c>
      <c r="HS44" s="77">
        <v>1.5054E-2</v>
      </c>
      <c r="HT44" s="77">
        <v>0.28243400000000002</v>
      </c>
      <c r="HU44" s="77">
        <v>530.36751500000003</v>
      </c>
      <c r="HV44" s="77">
        <v>84.468441999999996</v>
      </c>
      <c r="HW44" s="77">
        <v>226.901386</v>
      </c>
      <c r="HX44" s="77">
        <v>264.75276100000002</v>
      </c>
      <c r="HY44" s="77">
        <v>325.90342299999998</v>
      </c>
      <c r="HZ44" s="77">
        <v>2.1496999999999999E-2</v>
      </c>
      <c r="IA44" s="77">
        <v>0.35999599999999998</v>
      </c>
      <c r="IB44" s="77">
        <v>580.101496</v>
      </c>
      <c r="IC44" s="77">
        <v>91.628131999999994</v>
      </c>
      <c r="ID44" s="77">
        <v>246.85378600000001</v>
      </c>
      <c r="IE44" s="77">
        <v>299.68779000000001</v>
      </c>
      <c r="IF44" s="77">
        <v>375.14064999999999</v>
      </c>
      <c r="IG44" s="77">
        <v>1.9847E-2</v>
      </c>
      <c r="IH44" s="77">
        <v>0.28042600000000001</v>
      </c>
      <c r="II44" s="77">
        <v>574.77666599999998</v>
      </c>
      <c r="IJ44" s="77">
        <v>90.644824999999997</v>
      </c>
      <c r="IK44" s="77">
        <v>253.420965</v>
      </c>
      <c r="IL44" s="77">
        <v>312.374369</v>
      </c>
      <c r="IM44" s="77">
        <v>372.80377900000002</v>
      </c>
      <c r="IN44" s="77">
        <v>1.9969000000000001E-2</v>
      </c>
      <c r="IO44" s="77">
        <v>0.28865400000000002</v>
      </c>
      <c r="IP44" s="77">
        <v>572.99531500000001</v>
      </c>
      <c r="IQ44" s="77">
        <v>86.374885000000006</v>
      </c>
      <c r="IR44" s="77">
        <v>245.31307899999999</v>
      </c>
      <c r="IS44" s="77">
        <v>295.75394499999999</v>
      </c>
      <c r="IT44" s="77">
        <v>363.93687899999998</v>
      </c>
      <c r="IU44" s="77">
        <v>1.7246999999999998E-2</v>
      </c>
      <c r="IV44" s="77">
        <v>0.28731299999999999</v>
      </c>
      <c r="IW44" s="77">
        <v>586.95845099999997</v>
      </c>
      <c r="IX44" s="77">
        <v>95.591365999999994</v>
      </c>
      <c r="IY44" s="77">
        <v>249.07181700000001</v>
      </c>
      <c r="IZ44" s="77">
        <v>299.42032999999998</v>
      </c>
      <c r="JA44" s="77">
        <v>374.305836</v>
      </c>
      <c r="JB44" s="77">
        <v>2.2683999999999999E-2</v>
      </c>
      <c r="JC44" s="77">
        <v>0.36186600000000002</v>
      </c>
      <c r="JD44" s="77">
        <v>585.16535899999997</v>
      </c>
      <c r="JE44" s="77">
        <v>93.452296000000004</v>
      </c>
      <c r="JF44" s="77">
        <v>257.22421600000001</v>
      </c>
      <c r="JG44" s="77">
        <v>317.46420799999999</v>
      </c>
      <c r="JH44" s="77">
        <v>378.91856999999999</v>
      </c>
      <c r="JI44" s="77">
        <v>1.9470999999999999E-2</v>
      </c>
      <c r="JJ44" s="77">
        <v>0.28375099999999998</v>
      </c>
      <c r="JK44" s="77">
        <v>550.19426699999997</v>
      </c>
      <c r="JL44" s="77">
        <v>83.687302000000003</v>
      </c>
      <c r="JM44" s="77">
        <v>235.73516599999999</v>
      </c>
      <c r="JN44" s="77">
        <v>284.05617599999999</v>
      </c>
      <c r="JO44" s="77">
        <v>349.23665099999999</v>
      </c>
      <c r="JP44" s="77">
        <v>1.8499000000000002E-2</v>
      </c>
      <c r="JQ44" s="77">
        <v>0.309693</v>
      </c>
      <c r="JR44" s="77">
        <v>557.15416300000004</v>
      </c>
      <c r="JS44" s="77">
        <v>89.002685999999997</v>
      </c>
      <c r="JT44" s="77">
        <v>237.25861</v>
      </c>
      <c r="JU44" s="77">
        <v>286.49836900000003</v>
      </c>
      <c r="JV44" s="77">
        <v>358.33419800000001</v>
      </c>
      <c r="JW44" s="77">
        <v>2.2675339999999999</v>
      </c>
      <c r="JX44" s="77">
        <v>2.5527259999999998</v>
      </c>
      <c r="JY44" s="77">
        <v>927.48153500000001</v>
      </c>
      <c r="JZ44" s="77">
        <v>165.393755</v>
      </c>
      <c r="KA44" s="77">
        <v>373.88636200000002</v>
      </c>
      <c r="KB44" s="77">
        <v>2.7028639999999999</v>
      </c>
      <c r="KC44" s="77">
        <v>2.394609</v>
      </c>
      <c r="KD44" s="77">
        <v>202.689627</v>
      </c>
      <c r="KE44" s="77">
        <v>202.62491900000001</v>
      </c>
      <c r="KF44" s="77">
        <v>236.121745</v>
      </c>
      <c r="KG44" s="77">
        <v>284.51086600000002</v>
      </c>
      <c r="KH44" s="77">
        <v>250.85865200000001</v>
      </c>
      <c r="KI44" s="77">
        <v>232.871925</v>
      </c>
      <c r="KJ44" s="77">
        <v>224.000102</v>
      </c>
      <c r="KK44" s="77">
        <v>196.51978600000001</v>
      </c>
      <c r="KL44" s="77">
        <v>196.449917</v>
      </c>
      <c r="KM44" s="77">
        <v>196.223365</v>
      </c>
      <c r="KN44" s="77">
        <v>247.88634999999999</v>
      </c>
      <c r="KO44" s="77">
        <v>207.14525599999999</v>
      </c>
      <c r="KP44" s="77">
        <v>196.02447000000001</v>
      </c>
      <c r="KQ44" s="77">
        <v>190.59198499999999</v>
      </c>
      <c r="KR44" s="77">
        <v>198.94209000000001</v>
      </c>
      <c r="KS44" s="77">
        <v>198.87948</v>
      </c>
      <c r="KT44" s="77">
        <v>229.69314399999999</v>
      </c>
      <c r="KU44" s="77">
        <v>299.10154499999999</v>
      </c>
      <c r="KV44" s="77">
        <v>249.817183</v>
      </c>
      <c r="KW44" s="77">
        <v>237.14270099999999</v>
      </c>
      <c r="KX44" s="77">
        <v>221.562759</v>
      </c>
      <c r="KY44" s="77">
        <v>205.69732999999999</v>
      </c>
      <c r="KZ44" s="77">
        <v>205.62736200000001</v>
      </c>
      <c r="LA44" s="77">
        <v>208.72253499999999</v>
      </c>
      <c r="LB44" s="77">
        <v>249.53215499999999</v>
      </c>
      <c r="LC44" s="77">
        <v>220.928248</v>
      </c>
      <c r="LD44" s="77">
        <v>206.06621100000001</v>
      </c>
      <c r="LE44" s="77">
        <v>197.42604800000001</v>
      </c>
      <c r="LF44" s="77">
        <v>199.899846</v>
      </c>
      <c r="LG44" s="77">
        <v>199.834958</v>
      </c>
      <c r="LH44" s="77">
        <v>214.76397600000001</v>
      </c>
      <c r="LI44" s="77">
        <v>271.45970799999998</v>
      </c>
      <c r="LJ44" s="77">
        <v>226.72745</v>
      </c>
      <c r="LK44" s="77">
        <v>214.514995</v>
      </c>
      <c r="LL44" s="77">
        <v>208.60243500000001</v>
      </c>
      <c r="LM44" s="77">
        <v>189.20775599999999</v>
      </c>
      <c r="LN44" s="77">
        <v>189.15115399999999</v>
      </c>
      <c r="LO44" s="77">
        <v>216.982528</v>
      </c>
      <c r="LP44" s="77">
        <v>282.79747800000001</v>
      </c>
      <c r="LQ44" s="77">
        <v>235.92742200000001</v>
      </c>
      <c r="LR44" s="77">
        <v>224.45803599999999</v>
      </c>
      <c r="LS44" s="77">
        <v>209.18568300000001</v>
      </c>
      <c r="LT44" s="77">
        <v>216.97531799999999</v>
      </c>
      <c r="LU44" s="77">
        <v>216.89884699999999</v>
      </c>
      <c r="LV44" s="77">
        <v>220.181197</v>
      </c>
      <c r="LW44" s="77">
        <v>263.92362200000002</v>
      </c>
      <c r="LX44" s="77">
        <v>233.35951900000001</v>
      </c>
      <c r="LY44" s="77">
        <v>217.08716200000001</v>
      </c>
      <c r="LZ44" s="77">
        <v>208.423833</v>
      </c>
      <c r="MA44" s="77">
        <v>204.94578799999999</v>
      </c>
      <c r="MB44" s="77">
        <v>204.87440699999999</v>
      </c>
      <c r="MC44" s="77">
        <v>219.65806000000001</v>
      </c>
      <c r="MD44" s="77">
        <v>278.49634600000002</v>
      </c>
      <c r="ME44" s="77">
        <v>232.42016799999999</v>
      </c>
      <c r="MF44" s="77">
        <v>218.98933700000001</v>
      </c>
      <c r="MG44" s="77">
        <v>213.563209</v>
      </c>
      <c r="MH44" s="77">
        <v>195.10207</v>
      </c>
      <c r="MI44" s="77">
        <v>195.03901400000001</v>
      </c>
      <c r="MJ44" s="77">
        <v>226.884939</v>
      </c>
      <c r="MK44" s="77">
        <v>295.60976699999998</v>
      </c>
      <c r="ML44" s="77">
        <v>246.90278699999999</v>
      </c>
      <c r="MM44" s="77">
        <v>233.944593</v>
      </c>
      <c r="MN44" s="77">
        <v>218.96861999999999</v>
      </c>
      <c r="MO44" s="77">
        <v>216.19711799999999</v>
      </c>
      <c r="MP44" s="77">
        <v>216.114384</v>
      </c>
      <c r="MQ44" s="77">
        <v>215.13099299999999</v>
      </c>
      <c r="MR44" s="77">
        <v>259.07702899999998</v>
      </c>
      <c r="MS44" s="77">
        <v>228.51681400000001</v>
      </c>
      <c r="MT44" s="77">
        <v>212.027917</v>
      </c>
      <c r="MU44" s="77">
        <v>204.054182</v>
      </c>
      <c r="MV44" s="77">
        <v>189.67396299999999</v>
      </c>
      <c r="MW44" s="77">
        <v>189.61401699999999</v>
      </c>
      <c r="MX44" s="77">
        <v>203.747209</v>
      </c>
      <c r="MY44" s="77">
        <v>257.688084</v>
      </c>
      <c r="MZ44" s="77">
        <v>214.89776599999999</v>
      </c>
      <c r="NA44" s="77">
        <v>203.37790899999999</v>
      </c>
      <c r="NB44" s="77">
        <v>197.953205</v>
      </c>
      <c r="NC44" s="77">
        <v>197.64142000000001</v>
      </c>
      <c r="ND44" s="77">
        <v>197.57660999999999</v>
      </c>
      <c r="NE44" s="77">
        <v>223.34692200000001</v>
      </c>
      <c r="NF44" s="77">
        <v>290.61495100000002</v>
      </c>
      <c r="NG44" s="77">
        <v>242.88077699999999</v>
      </c>
      <c r="NH44" s="77">
        <v>230.48818700000001</v>
      </c>
      <c r="NI44" s="77">
        <v>215.46329600000001</v>
      </c>
      <c r="NJ44" s="77">
        <v>207.40561</v>
      </c>
      <c r="NK44" s="77">
        <v>207.33234999999999</v>
      </c>
      <c r="NL44" s="77">
        <v>214.19501700000001</v>
      </c>
      <c r="NM44" s="77">
        <v>257.19533300000001</v>
      </c>
      <c r="NN44" s="77">
        <v>227.176784</v>
      </c>
      <c r="NO44" s="77">
        <v>211.58713399999999</v>
      </c>
      <c r="NP44" s="77">
        <v>202.99650199999999</v>
      </c>
      <c r="NQ44" s="77">
        <v>196.40204199999999</v>
      </c>
      <c r="NR44" s="77">
        <v>196.338255</v>
      </c>
      <c r="NS44" s="77">
        <v>210.80624499999999</v>
      </c>
      <c r="NT44" s="77">
        <v>266.92524400000002</v>
      </c>
      <c r="NU44" s="77">
        <v>222.52812</v>
      </c>
      <c r="NV44" s="77">
        <v>210.28768500000001</v>
      </c>
      <c r="NW44" s="77">
        <v>204.87705800000001</v>
      </c>
      <c r="NX44" s="77">
        <v>195.12588099999999</v>
      </c>
      <c r="NY44" s="77">
        <v>195.06154599999999</v>
      </c>
      <c r="NZ44" s="77">
        <v>222.86872</v>
      </c>
      <c r="OA44" s="77">
        <v>290.62838599999998</v>
      </c>
      <c r="OB44" s="77">
        <v>242.59563199999999</v>
      </c>
      <c r="OC44" s="77">
        <v>229.83273</v>
      </c>
      <c r="OD44" s="77">
        <v>215.105513</v>
      </c>
      <c r="OE44" s="77">
        <v>220.77790200000001</v>
      </c>
      <c r="OF44" s="77">
        <v>220.699849</v>
      </c>
      <c r="OG44" s="77">
        <v>225.42938899999999</v>
      </c>
      <c r="OH44" s="77">
        <v>270.39693299999999</v>
      </c>
      <c r="OI44" s="77">
        <v>239.025712</v>
      </c>
      <c r="OJ44" s="77">
        <v>221.811205</v>
      </c>
      <c r="OK44" s="77">
        <v>213.36177799999999</v>
      </c>
      <c r="OL44" s="77">
        <v>198.05802299999999</v>
      </c>
      <c r="OM44" s="77">
        <v>197.99752000000001</v>
      </c>
      <c r="ON44" s="77">
        <v>212.81215599999999</v>
      </c>
      <c r="OO44" s="77">
        <v>269.32154800000001</v>
      </c>
      <c r="OP44" s="77">
        <v>224.20836800000001</v>
      </c>
      <c r="OQ44" s="77">
        <v>212.33329599999999</v>
      </c>
      <c r="OR44" s="77">
        <v>206.77933400000001</v>
      </c>
      <c r="OS44" s="77">
        <v>205.507048</v>
      </c>
      <c r="OT44" s="77">
        <v>205.44255000000001</v>
      </c>
      <c r="OU44" s="77">
        <v>234.223241</v>
      </c>
      <c r="OV44" s="77">
        <v>305.87368900000001</v>
      </c>
      <c r="OW44" s="77">
        <v>254.94041200000001</v>
      </c>
      <c r="OX44" s="77">
        <v>242.00904700000001</v>
      </c>
      <c r="OY44" s="77">
        <v>225.933358</v>
      </c>
      <c r="OZ44" s="77">
        <v>219.68651199999999</v>
      </c>
      <c r="PA44" s="77">
        <v>219.60632899999999</v>
      </c>
      <c r="PB44" s="77">
        <v>223.69605899999999</v>
      </c>
      <c r="PC44" s="77">
        <v>268.89687700000002</v>
      </c>
      <c r="PD44" s="77">
        <v>237.424926</v>
      </c>
      <c r="PE44" s="77">
        <v>220.173745</v>
      </c>
      <c r="PF44" s="77">
        <v>211.93606</v>
      </c>
      <c r="PG44" s="77">
        <v>204.34319600000001</v>
      </c>
      <c r="PH44" s="77">
        <v>204.27560800000001</v>
      </c>
      <c r="PI44" s="77">
        <v>219.13997599999999</v>
      </c>
      <c r="PJ44" s="77">
        <v>277.90023000000002</v>
      </c>
      <c r="PK44" s="77">
        <v>231.45340999999999</v>
      </c>
      <c r="PL44" s="77">
        <v>218.398281</v>
      </c>
      <c r="PM44" s="77">
        <v>213.06617199999999</v>
      </c>
      <c r="PN44" s="77">
        <v>201.51132999999999</v>
      </c>
      <c r="PO44" s="77">
        <v>201.44900100000001</v>
      </c>
      <c r="PP44" s="77">
        <v>232.828169</v>
      </c>
      <c r="PQ44" s="77">
        <v>304.789646</v>
      </c>
      <c r="PR44" s="77">
        <v>253.64876000000001</v>
      </c>
      <c r="PS44" s="77">
        <v>240.52736400000001</v>
      </c>
      <c r="PT44" s="77">
        <v>224.65930900000001</v>
      </c>
      <c r="PU44" s="77">
        <v>225.41304299999999</v>
      </c>
      <c r="PV44" s="77">
        <v>225.33537999999999</v>
      </c>
      <c r="PW44" s="77">
        <v>227.721079</v>
      </c>
      <c r="PX44" s="77">
        <v>272.39926400000002</v>
      </c>
      <c r="PY44" s="77">
        <v>241.12554900000001</v>
      </c>
      <c r="PZ44" s="77">
        <v>224.34196700000001</v>
      </c>
      <c r="QA44" s="77">
        <v>215.319535</v>
      </c>
      <c r="QB44" s="77">
        <v>210.47242900000001</v>
      </c>
      <c r="QC44" s="77">
        <v>210.41080400000001</v>
      </c>
      <c r="QD44" s="77">
        <v>226.258298</v>
      </c>
      <c r="QE44" s="77">
        <v>286.479895</v>
      </c>
      <c r="QF44" s="77">
        <v>238.06447800000001</v>
      </c>
      <c r="QG44" s="77">
        <v>225.675828</v>
      </c>
      <c r="QH44" s="77">
        <v>219.84869</v>
      </c>
      <c r="QI44" s="77">
        <v>187.730717</v>
      </c>
      <c r="QJ44" s="77">
        <v>187.671434</v>
      </c>
      <c r="QK44" s="77">
        <v>202.28328999999999</v>
      </c>
      <c r="QL44" s="77">
        <v>263.508982</v>
      </c>
      <c r="QM44" s="77">
        <v>219.82355799999999</v>
      </c>
      <c r="QN44" s="77">
        <v>209.513182</v>
      </c>
      <c r="QO44" s="77">
        <v>194.930339</v>
      </c>
      <c r="QP44" s="77">
        <v>209.03216399999999</v>
      </c>
      <c r="QQ44" s="77">
        <v>208.96522899999999</v>
      </c>
      <c r="QR44" s="77">
        <v>227.22524300000001</v>
      </c>
      <c r="QS44" s="77">
        <v>272.24214499999999</v>
      </c>
    </row>
    <row r="45" spans="6:461" x14ac:dyDescent="0.25">
      <c r="F45" s="76" t="str">
        <f xml:space="preserve"> _xll.EPMOlapMemberO("[PRDDESCR].[].[WONDER GFREE WHOLEM 500G]","","WONDER GFREE WHOLEM 500G","","000")</f>
        <v>WONDER GFREE WHOLEM 500G</v>
      </c>
      <c r="G45" s="76" t="str">
        <f xml:space="preserve"> _xll.EPMOlapMemberO("[PRDID].[].[179650]","","179650","","000")</f>
        <v>179650</v>
      </c>
      <c r="H45" s="76" t="str">
        <f xml:space="preserve"> _xll.EPMOlapMemberO("[LOCID].[].[6130]","","6130","","000")</f>
        <v>6130</v>
      </c>
      <c r="I45" s="76" t="str">
        <f xml:space="preserve"> _xll.EPMOlapMemberO("[LOCDESCR].[].[QBA-Canning Vale]","","QBA-Canning Vale","","000")</f>
        <v>QBA-Canning Vale</v>
      </c>
      <c r="J45" s="76" t="str">
        <f xml:space="preserve"> _xll.EPMOlapMemberO("[KEY_FIGURES].[].[ZGFAPPROVEDFCSTQTY]","","Approved Forecast","","000")</f>
        <v>Approved Forecast</v>
      </c>
      <c r="K45" s="77">
        <v>34.953397000000002</v>
      </c>
      <c r="L45" s="77">
        <v>103.006935</v>
      </c>
      <c r="M45" s="77">
        <v>71.662884000000005</v>
      </c>
      <c r="N45" s="77">
        <v>93.927087999999998</v>
      </c>
      <c r="O45" s="77">
        <v>73.025485000000003</v>
      </c>
      <c r="P45" s="77">
        <v>21.821293000000001</v>
      </c>
      <c r="Q45" s="77">
        <v>146.39796000000001</v>
      </c>
      <c r="R45" s="77">
        <v>35.932392</v>
      </c>
      <c r="S45" s="77">
        <v>89.432309000000004</v>
      </c>
      <c r="T45" s="77">
        <v>67.788796000000005</v>
      </c>
      <c r="U45" s="77">
        <v>82.128298000000001</v>
      </c>
      <c r="V45" s="77">
        <v>79.457819999999998</v>
      </c>
      <c r="W45" s="77">
        <v>18.37143</v>
      </c>
      <c r="X45" s="77">
        <v>126.729095</v>
      </c>
      <c r="Y45" s="77">
        <v>26.294817999999999</v>
      </c>
      <c r="Z45" s="77">
        <v>78.253842000000006</v>
      </c>
      <c r="AA45" s="77">
        <v>59.270555000000002</v>
      </c>
      <c r="AB45" s="77">
        <v>73.242458999999997</v>
      </c>
      <c r="AC45" s="77">
        <v>59.302464000000001</v>
      </c>
      <c r="AD45" s="77">
        <v>16.353604000000001</v>
      </c>
      <c r="AE45" s="77"/>
      <c r="AF45" s="77"/>
      <c r="AG45" s="77"/>
      <c r="AH45" s="77"/>
      <c r="AI45" s="77"/>
      <c r="AJ45" s="77"/>
      <c r="AK45" s="77"/>
      <c r="AL45" s="77">
        <v>188.989608</v>
      </c>
      <c r="AM45" s="77">
        <v>39.213203999999998</v>
      </c>
      <c r="AN45" s="77">
        <v>104.413737</v>
      </c>
      <c r="AO45" s="77">
        <v>79.084413999999995</v>
      </c>
      <c r="AP45" s="77">
        <v>97.727063000000001</v>
      </c>
      <c r="AQ45" s="77">
        <v>79.126988999999995</v>
      </c>
      <c r="AR45" s="77">
        <v>21.820536000000001</v>
      </c>
      <c r="AS45" s="77">
        <v>140.89132499999999</v>
      </c>
      <c r="AT45" s="77">
        <v>29.233332000000001</v>
      </c>
      <c r="AU45" s="77">
        <v>86.998870999999994</v>
      </c>
      <c r="AV45" s="77">
        <v>65.894149999999996</v>
      </c>
      <c r="AW45" s="77">
        <v>81.427457000000004</v>
      </c>
      <c r="AX45" s="77">
        <v>65.929630000000003</v>
      </c>
      <c r="AY45" s="77">
        <v>18.181151</v>
      </c>
      <c r="AZ45" s="77">
        <v>122.736225</v>
      </c>
      <c r="BA45" s="77">
        <v>25.466325000000001</v>
      </c>
      <c r="BB45" s="77">
        <v>86.372877000000003</v>
      </c>
      <c r="BC45" s="77">
        <v>65.420028000000002</v>
      </c>
      <c r="BD45" s="77">
        <v>80.841558000000006</v>
      </c>
      <c r="BE45" s="77">
        <v>65.455258999999998</v>
      </c>
      <c r="BF45" s="77">
        <v>18.050362</v>
      </c>
      <c r="BG45" s="77">
        <v>147.457303</v>
      </c>
      <c r="BH45" s="77">
        <v>30.59573</v>
      </c>
      <c r="BI45" s="77">
        <v>79.895152999999993</v>
      </c>
      <c r="BJ45" s="77">
        <v>60.513694000000001</v>
      </c>
      <c r="BK45" s="77">
        <v>74.778647000000007</v>
      </c>
      <c r="BL45" s="77">
        <v>60.546277000000003</v>
      </c>
      <c r="BM45" s="77">
        <v>16.696594000000001</v>
      </c>
      <c r="BN45" s="77">
        <v>144.567206</v>
      </c>
      <c r="BO45" s="77">
        <v>29.996030999999999</v>
      </c>
      <c r="BP45" s="77">
        <v>89.268692999999999</v>
      </c>
      <c r="BQ45" s="77">
        <v>67.613342000000003</v>
      </c>
      <c r="BR45" s="77">
        <v>83.551906000000002</v>
      </c>
      <c r="BS45" s="77">
        <v>67.649754000000001</v>
      </c>
      <c r="BT45" s="77">
        <v>18.655507</v>
      </c>
      <c r="BU45" s="77">
        <v>177.31290300000001</v>
      </c>
      <c r="BV45" s="77">
        <v>36.790368000000001</v>
      </c>
      <c r="BW45" s="77">
        <v>120.453434</v>
      </c>
      <c r="BX45" s="77">
        <v>91.233135000000004</v>
      </c>
      <c r="BY45" s="77">
        <v>112.73959499999999</v>
      </c>
      <c r="BZ45" s="77">
        <v>91.282246000000001</v>
      </c>
      <c r="CA45" s="77">
        <v>25.172567999999998</v>
      </c>
      <c r="CB45" s="77">
        <v>146.95880099999999</v>
      </c>
      <c r="CC45" s="77">
        <v>30.492307</v>
      </c>
      <c r="CD45" s="77">
        <v>82.485078000000001</v>
      </c>
      <c r="CE45" s="77">
        <v>62.475333999999997</v>
      </c>
      <c r="CF45" s="77">
        <v>77.202714</v>
      </c>
      <c r="CG45" s="77">
        <v>62.508966000000001</v>
      </c>
      <c r="CH45" s="77">
        <v>17.237839000000001</v>
      </c>
      <c r="CI45" s="77">
        <v>114.51584099999999</v>
      </c>
      <c r="CJ45" s="77">
        <v>23.760712999999999</v>
      </c>
      <c r="CK45" s="77">
        <v>70.712288999999998</v>
      </c>
      <c r="CL45" s="77">
        <v>53.558467</v>
      </c>
      <c r="CM45" s="77">
        <v>66.183858999999998</v>
      </c>
      <c r="CN45" s="77">
        <v>53.587299999999999</v>
      </c>
      <c r="CO45" s="77">
        <v>14.777554</v>
      </c>
      <c r="CP45" s="77">
        <v>142.34037900000001</v>
      </c>
      <c r="CQ45" s="77">
        <v>29.533988000000001</v>
      </c>
      <c r="CR45" s="77">
        <v>87.893640000000005</v>
      </c>
      <c r="CS45" s="77">
        <v>66.571870000000004</v>
      </c>
      <c r="CT45" s="77">
        <v>82.264917999999994</v>
      </c>
      <c r="CU45" s="77">
        <v>66.607705999999993</v>
      </c>
      <c r="CV45" s="77">
        <v>18.368131000000002</v>
      </c>
      <c r="CW45" s="77">
        <v>118.839724</v>
      </c>
      <c r="CX45" s="77">
        <v>24.657885</v>
      </c>
      <c r="CY45" s="77">
        <v>73.382247000000007</v>
      </c>
      <c r="CZ45" s="77">
        <v>55.580750000000002</v>
      </c>
      <c r="DA45" s="77">
        <v>68.682756999999995</v>
      </c>
      <c r="DB45" s="77">
        <v>55.610585</v>
      </c>
      <c r="DC45" s="77">
        <v>15.335483999999999</v>
      </c>
      <c r="DD45" s="77">
        <v>142.11238599999999</v>
      </c>
      <c r="DE45" s="77">
        <v>29.486705000000001</v>
      </c>
      <c r="DF45" s="77">
        <v>87.752829000000006</v>
      </c>
      <c r="DG45" s="77">
        <v>66.465260000000001</v>
      </c>
      <c r="DH45" s="77">
        <v>82.133058000000005</v>
      </c>
      <c r="DI45" s="77">
        <v>66.500944000000004</v>
      </c>
      <c r="DJ45" s="77">
        <v>18.338684000000001</v>
      </c>
      <c r="DK45" s="77">
        <v>158.16359</v>
      </c>
      <c r="DL45" s="77">
        <v>32.817103000000003</v>
      </c>
      <c r="DM45" s="77">
        <v>107.614526</v>
      </c>
      <c r="DN45" s="77">
        <v>81.508753999999996</v>
      </c>
      <c r="DO45" s="77">
        <v>100.72288399999999</v>
      </c>
      <c r="DP45" s="77">
        <v>81.552649000000002</v>
      </c>
      <c r="DQ45" s="77">
        <v>22.489456000000001</v>
      </c>
      <c r="DR45" s="77">
        <v>159.63122300000001</v>
      </c>
      <c r="DS45" s="77">
        <v>33.121679999999998</v>
      </c>
      <c r="DT45" s="77">
        <v>89.456522000000007</v>
      </c>
      <c r="DU45" s="77">
        <v>67.755606999999998</v>
      </c>
      <c r="DV45" s="77">
        <v>83.727777000000003</v>
      </c>
      <c r="DW45" s="77">
        <v>67.792090000000002</v>
      </c>
      <c r="DX45" s="77">
        <v>18.694785</v>
      </c>
      <c r="DY45" s="77">
        <v>127.121033</v>
      </c>
      <c r="DZ45" s="77">
        <v>26.376100000000001</v>
      </c>
      <c r="EA45" s="77">
        <v>78.495874999999998</v>
      </c>
      <c r="EB45" s="77">
        <v>59.453885999999997</v>
      </c>
      <c r="EC45" s="77">
        <v>73.468890999999999</v>
      </c>
      <c r="ED45" s="77">
        <v>59.485792000000004</v>
      </c>
      <c r="EE45" s="77">
        <v>16.404160000000001</v>
      </c>
      <c r="EF45" s="77">
        <v>127.100999</v>
      </c>
      <c r="EG45" s="77">
        <v>26.371957999999999</v>
      </c>
      <c r="EH45" s="77">
        <v>78.483451000000002</v>
      </c>
      <c r="EI45" s="77">
        <v>59.444453000000003</v>
      </c>
      <c r="EJ45" s="77">
        <v>73.457460999999995</v>
      </c>
      <c r="EK45" s="77">
        <v>59.476548000000001</v>
      </c>
      <c r="EL45" s="77">
        <v>16.401624999999999</v>
      </c>
      <c r="EM45" s="77">
        <v>136.93666400000001</v>
      </c>
      <c r="EN45" s="77">
        <v>28.412769999999998</v>
      </c>
      <c r="EO45" s="77">
        <v>84.556871000000001</v>
      </c>
      <c r="EP45" s="77">
        <v>64.044539999999998</v>
      </c>
      <c r="EQ45" s="77">
        <v>79.141937999999996</v>
      </c>
      <c r="ER45" s="77">
        <v>64.079123999999993</v>
      </c>
      <c r="ES45" s="77">
        <v>17.670852</v>
      </c>
      <c r="ET45" s="77">
        <v>146.81007199999999</v>
      </c>
      <c r="EU45" s="77">
        <v>30.461371</v>
      </c>
      <c r="EV45" s="77">
        <v>105.13385</v>
      </c>
      <c r="EW45" s="77">
        <v>79.629857999999999</v>
      </c>
      <c r="EX45" s="77">
        <v>98.401075000000006</v>
      </c>
      <c r="EY45" s="77">
        <v>79.672725999999997</v>
      </c>
      <c r="EZ45" s="77">
        <v>21.971049000000001</v>
      </c>
      <c r="FA45" s="77">
        <v>173.78083100000001</v>
      </c>
      <c r="FB45" s="77">
        <v>36.057524999999998</v>
      </c>
      <c r="FC45" s="77">
        <v>92.528257999999994</v>
      </c>
      <c r="FD45" s="77">
        <v>70.082170000000005</v>
      </c>
      <c r="FE45" s="77">
        <v>86.602652000000006</v>
      </c>
      <c r="FF45" s="77">
        <v>70.119849000000002</v>
      </c>
      <c r="FG45" s="77">
        <v>19.336648</v>
      </c>
      <c r="FH45" s="77">
        <v>137.97369599999999</v>
      </c>
      <c r="FI45" s="77">
        <v>28.627935000000001</v>
      </c>
      <c r="FJ45" s="77">
        <v>104.08566999999999</v>
      </c>
      <c r="FK45" s="77">
        <v>78.835947000000004</v>
      </c>
      <c r="FL45" s="77">
        <v>97.420022000000003</v>
      </c>
      <c r="FM45" s="77">
        <v>78.878398000000004</v>
      </c>
      <c r="FN45" s="77">
        <v>21.752002000000001</v>
      </c>
      <c r="FO45" s="77">
        <v>192.575537</v>
      </c>
      <c r="FP45" s="77">
        <v>39.957250999999999</v>
      </c>
      <c r="FQ45" s="77">
        <v>97.334146000000004</v>
      </c>
      <c r="FR45" s="77">
        <v>73.722223999999997</v>
      </c>
      <c r="FS45" s="77">
        <v>91.100847999999999</v>
      </c>
      <c r="FT45" s="77">
        <v>73.762001999999995</v>
      </c>
      <c r="FU45" s="77">
        <v>20.341069999999998</v>
      </c>
      <c r="FV45" s="77">
        <v>185.64285799999999</v>
      </c>
      <c r="FW45" s="77">
        <v>38.518740000000001</v>
      </c>
      <c r="FX45" s="77">
        <v>132.368313</v>
      </c>
      <c r="FY45" s="77">
        <v>100.25761</v>
      </c>
      <c r="FZ45" s="77">
        <v>123.89143799999999</v>
      </c>
      <c r="GA45" s="77">
        <v>100.3116</v>
      </c>
      <c r="GB45" s="77">
        <v>27.662559000000002</v>
      </c>
      <c r="GC45" s="77">
        <v>200.40233799999999</v>
      </c>
      <c r="GD45" s="77">
        <v>41.581220000000002</v>
      </c>
      <c r="GE45" s="77">
        <v>107.165688</v>
      </c>
      <c r="GF45" s="77">
        <v>81.168783000000005</v>
      </c>
      <c r="GG45" s="77">
        <v>100.302789</v>
      </c>
      <c r="GH45" s="77">
        <v>81.212475999999995</v>
      </c>
      <c r="GI45" s="77">
        <v>22.395638000000002</v>
      </c>
      <c r="GJ45" s="77">
        <v>159.39998</v>
      </c>
      <c r="GK45" s="77">
        <v>33.073664000000001</v>
      </c>
      <c r="GL45" s="77">
        <v>98.427756000000002</v>
      </c>
      <c r="GM45" s="77">
        <v>74.550556</v>
      </c>
      <c r="GN45" s="77">
        <v>92.124429000000006</v>
      </c>
      <c r="GO45" s="77">
        <v>74.590692000000004</v>
      </c>
      <c r="GP45" s="77">
        <v>20.569589000000001</v>
      </c>
      <c r="GQ45" s="77">
        <v>171.16080600000001</v>
      </c>
      <c r="GR45" s="77">
        <v>35.513877999999998</v>
      </c>
      <c r="GS45" s="77">
        <v>136.39751699999999</v>
      </c>
      <c r="GT45" s="77">
        <v>103.309393</v>
      </c>
      <c r="GU45" s="77">
        <v>127.662627</v>
      </c>
      <c r="GV45" s="77">
        <v>103.365033</v>
      </c>
      <c r="GW45" s="77">
        <v>28.504581999999999</v>
      </c>
      <c r="GX45" s="77">
        <v>178.57347100000001</v>
      </c>
      <c r="GY45" s="77">
        <v>37.051985999999999</v>
      </c>
      <c r="GZ45" s="77">
        <v>85.442391000000001</v>
      </c>
      <c r="HA45" s="77">
        <v>64.715248000000003</v>
      </c>
      <c r="HB45" s="77">
        <v>79.970658</v>
      </c>
      <c r="HC45" s="77">
        <v>64.750090999999998</v>
      </c>
      <c r="HD45" s="77">
        <v>17.855861000000001</v>
      </c>
      <c r="HE45" s="77">
        <v>169.91779199999999</v>
      </c>
      <c r="HF45" s="77">
        <v>35.255961999999997</v>
      </c>
      <c r="HG45" s="77">
        <v>118.238277</v>
      </c>
      <c r="HH45" s="77">
        <v>89.555327000000005</v>
      </c>
      <c r="HI45" s="77">
        <v>110.666292</v>
      </c>
      <c r="HJ45" s="77">
        <v>89.603550999999996</v>
      </c>
      <c r="HK45" s="77">
        <v>24.709643</v>
      </c>
      <c r="HL45" s="77">
        <v>151.228103</v>
      </c>
      <c r="HM45" s="77">
        <v>31.378126999999999</v>
      </c>
      <c r="HN45" s="77">
        <v>82.865155999999999</v>
      </c>
      <c r="HO45" s="77">
        <v>62.763213</v>
      </c>
      <c r="HP45" s="77">
        <v>77.558462000000006</v>
      </c>
      <c r="HQ45" s="77">
        <v>62.797004999999999</v>
      </c>
      <c r="HR45" s="77">
        <v>17.317271999999999</v>
      </c>
      <c r="HS45" s="77">
        <v>152.51720299999999</v>
      </c>
      <c r="HT45" s="77">
        <v>31.645541000000001</v>
      </c>
      <c r="HU45" s="77">
        <v>104.745587</v>
      </c>
      <c r="HV45" s="77">
        <v>79.335766000000007</v>
      </c>
      <c r="HW45" s="77">
        <v>98.037639999999996</v>
      </c>
      <c r="HX45" s="77">
        <v>79.378466000000003</v>
      </c>
      <c r="HY45" s="77">
        <v>21.889897999999999</v>
      </c>
      <c r="HZ45" s="77">
        <v>127.33085699999999</v>
      </c>
      <c r="IA45" s="77">
        <v>26.419716999999999</v>
      </c>
      <c r="IB45" s="77">
        <v>70.692828000000006</v>
      </c>
      <c r="IC45" s="77">
        <v>53.543734999999998</v>
      </c>
      <c r="ID45" s="77">
        <v>66.165664000000007</v>
      </c>
      <c r="IE45" s="77">
        <v>53.572557000000003</v>
      </c>
      <c r="IF45" s="77">
        <v>14.773479</v>
      </c>
      <c r="IG45" s="77">
        <v>249.47591199999999</v>
      </c>
      <c r="IH45" s="77">
        <v>51.763401000000002</v>
      </c>
      <c r="II45" s="77">
        <v>154.048687</v>
      </c>
      <c r="IJ45" s="77">
        <v>116.67862</v>
      </c>
      <c r="IK45" s="77">
        <v>144.18339499999999</v>
      </c>
      <c r="IL45" s="77">
        <v>116.741438</v>
      </c>
      <c r="IM45" s="77">
        <v>32.193334</v>
      </c>
      <c r="IN45" s="77">
        <v>165.96530899999999</v>
      </c>
      <c r="IO45" s="77">
        <v>34.435901999999999</v>
      </c>
      <c r="IP45" s="77">
        <v>102.48178</v>
      </c>
      <c r="IQ45" s="77">
        <v>77.621122</v>
      </c>
      <c r="IR45" s="77">
        <v>95.918830999999997</v>
      </c>
      <c r="IS45" s="77">
        <v>77.662918000000005</v>
      </c>
      <c r="IT45" s="77">
        <v>21.416798</v>
      </c>
      <c r="IU45" s="77">
        <v>196.75020799999999</v>
      </c>
      <c r="IV45" s="77">
        <v>40.823386999999997</v>
      </c>
      <c r="IW45" s="77">
        <v>134.35871499999999</v>
      </c>
      <c r="IX45" s="77">
        <v>101.765156</v>
      </c>
      <c r="IY45" s="77">
        <v>125.754362</v>
      </c>
      <c r="IZ45" s="77">
        <v>101.81994299999999</v>
      </c>
      <c r="JA45" s="77">
        <v>28.078479000000002</v>
      </c>
      <c r="JB45" s="77">
        <v>193.46806699999999</v>
      </c>
      <c r="JC45" s="77">
        <v>40.142404999999997</v>
      </c>
      <c r="JD45" s="77">
        <v>108.023269</v>
      </c>
      <c r="JE45" s="77">
        <v>81.818314000000001</v>
      </c>
      <c r="JF45" s="77">
        <v>101.105446</v>
      </c>
      <c r="JG45" s="77">
        <v>81.862367000000006</v>
      </c>
      <c r="JH45" s="77">
        <v>22.574847999999999</v>
      </c>
      <c r="JI45" s="77">
        <v>188.798981</v>
      </c>
      <c r="JJ45" s="77">
        <v>39.173620999999997</v>
      </c>
      <c r="JK45" s="77">
        <v>116.581332</v>
      </c>
      <c r="JL45" s="77">
        <v>88.300330000000002</v>
      </c>
      <c r="JM45" s="77">
        <v>109.11544499999999</v>
      </c>
      <c r="JN45" s="77">
        <v>88.347860999999995</v>
      </c>
      <c r="JO45" s="77">
        <v>24.363346</v>
      </c>
      <c r="JP45" s="77">
        <v>153.76413099999999</v>
      </c>
      <c r="JQ45" s="77">
        <v>31.90429</v>
      </c>
      <c r="JR45" s="77">
        <v>94.947676000000001</v>
      </c>
      <c r="JS45" s="77">
        <v>71.914697000000004</v>
      </c>
      <c r="JT45" s="77">
        <v>88.867226000000002</v>
      </c>
      <c r="JU45" s="77">
        <v>71.953412</v>
      </c>
      <c r="JV45" s="77">
        <v>19.842307000000002</v>
      </c>
      <c r="JW45" s="77">
        <v>104.048861</v>
      </c>
      <c r="JX45" s="77">
        <v>24.353090000000002</v>
      </c>
      <c r="JY45" s="77">
        <v>67.552364999999995</v>
      </c>
      <c r="JZ45" s="77">
        <v>51.179659999999998</v>
      </c>
      <c r="KA45" s="77">
        <v>61.408734000000003</v>
      </c>
      <c r="KB45" s="77">
        <v>104.048768</v>
      </c>
      <c r="KC45" s="77">
        <v>104.048767</v>
      </c>
      <c r="KD45" s="77">
        <v>71.771114999999995</v>
      </c>
      <c r="KE45" s="77">
        <v>71.771112000000002</v>
      </c>
      <c r="KF45" s="77">
        <v>84.644900000000007</v>
      </c>
      <c r="KG45" s="77">
        <v>84.644876999999994</v>
      </c>
      <c r="KH45" s="77">
        <v>84.644852</v>
      </c>
      <c r="KI45" s="77">
        <v>84.644829000000001</v>
      </c>
      <c r="KJ45" s="77">
        <v>84.644817000000003</v>
      </c>
      <c r="KK45" s="77">
        <v>92.298282</v>
      </c>
      <c r="KL45" s="77">
        <v>92.298277999999996</v>
      </c>
      <c r="KM45" s="77">
        <v>78.260422000000005</v>
      </c>
      <c r="KN45" s="77">
        <v>78.260397999999995</v>
      </c>
      <c r="KO45" s="77">
        <v>78.260378000000003</v>
      </c>
      <c r="KP45" s="77">
        <v>78.260350000000003</v>
      </c>
      <c r="KQ45" s="77">
        <v>78.260340999999997</v>
      </c>
      <c r="KR45" s="77">
        <v>64.959087999999994</v>
      </c>
      <c r="KS45" s="77">
        <v>64.959085999999999</v>
      </c>
      <c r="KT45" s="77">
        <v>76.582847999999998</v>
      </c>
      <c r="KU45" s="77">
        <v>76.582829000000004</v>
      </c>
      <c r="KV45" s="77">
        <v>76.582802000000001</v>
      </c>
      <c r="KW45" s="77">
        <v>76.582769999999996</v>
      </c>
      <c r="KX45" s="77">
        <v>76.582759999999993</v>
      </c>
      <c r="KY45" s="77">
        <v>82.650672</v>
      </c>
      <c r="KZ45" s="77">
        <v>82.650668999999994</v>
      </c>
      <c r="LA45" s="77">
        <v>70.105907000000002</v>
      </c>
      <c r="LB45" s="77">
        <v>70.105886999999996</v>
      </c>
      <c r="LC45" s="77">
        <v>70.105861000000004</v>
      </c>
      <c r="LD45" s="77">
        <v>70.105830999999995</v>
      </c>
      <c r="LE45" s="77">
        <v>70.105823000000001</v>
      </c>
      <c r="LF45" s="77">
        <v>74.993930000000006</v>
      </c>
      <c r="LG45" s="77">
        <v>74.993926000000002</v>
      </c>
      <c r="LH45" s="77">
        <v>74.993917999999994</v>
      </c>
      <c r="LI45" s="77">
        <v>74.993900999999994</v>
      </c>
      <c r="LJ45" s="77">
        <v>74.993877999999995</v>
      </c>
      <c r="LK45" s="77">
        <v>74.993853000000001</v>
      </c>
      <c r="LL45" s="77">
        <v>74.993848999999997</v>
      </c>
      <c r="LM45" s="77">
        <v>70.938074</v>
      </c>
      <c r="LN45" s="77">
        <v>70.938070999999994</v>
      </c>
      <c r="LO45" s="77">
        <v>82.785081000000005</v>
      </c>
      <c r="LP45" s="77">
        <v>82.785064000000006</v>
      </c>
      <c r="LQ45" s="77">
        <v>82.785041000000007</v>
      </c>
      <c r="LR45" s="77">
        <v>82.785008000000005</v>
      </c>
      <c r="LS45" s="77">
        <v>82.784994999999995</v>
      </c>
      <c r="LT45" s="77">
        <v>85.130267000000003</v>
      </c>
      <c r="LU45" s="77">
        <v>85.130263999999997</v>
      </c>
      <c r="LV45" s="77">
        <v>72.947584000000006</v>
      </c>
      <c r="LW45" s="77">
        <v>72.947563000000002</v>
      </c>
      <c r="LX45" s="77">
        <v>72.947540000000004</v>
      </c>
      <c r="LY45" s="77">
        <v>72.947517000000005</v>
      </c>
      <c r="LZ45" s="77">
        <v>72.947509999999994</v>
      </c>
      <c r="MA45" s="77">
        <v>60.153728999999998</v>
      </c>
      <c r="MB45" s="77">
        <v>60.153725999999999</v>
      </c>
      <c r="MC45" s="77">
        <v>60.153720999999997</v>
      </c>
      <c r="MD45" s="77">
        <v>60.153706999999997</v>
      </c>
      <c r="ME45" s="77">
        <v>60.153694999999999</v>
      </c>
      <c r="MF45" s="77">
        <v>60.153668000000003</v>
      </c>
      <c r="MG45" s="77">
        <v>60.153663000000002</v>
      </c>
      <c r="MH45" s="77">
        <v>75.688838000000004</v>
      </c>
      <c r="MI45" s="77">
        <v>75.688834999999997</v>
      </c>
      <c r="MJ45" s="77">
        <v>90.476776000000001</v>
      </c>
      <c r="MK45" s="77">
        <v>90.476744999999994</v>
      </c>
      <c r="ML45" s="77">
        <v>90.476704999999995</v>
      </c>
      <c r="MM45" s="77">
        <v>90.476682999999994</v>
      </c>
      <c r="MN45" s="77">
        <v>90.476675999999998</v>
      </c>
      <c r="MO45" s="77">
        <v>93.867103</v>
      </c>
      <c r="MP45" s="77">
        <v>93.867099999999994</v>
      </c>
      <c r="MQ45" s="77">
        <v>78.524996999999999</v>
      </c>
      <c r="MR45" s="77">
        <v>78.524973000000003</v>
      </c>
      <c r="MS45" s="77">
        <v>78.524946999999997</v>
      </c>
      <c r="MT45" s="77">
        <v>78.524918999999997</v>
      </c>
      <c r="MU45" s="77">
        <v>78.524911000000003</v>
      </c>
      <c r="MV45" s="77">
        <v>81.377724000000001</v>
      </c>
      <c r="MW45" s="77">
        <v>81.377718999999999</v>
      </c>
      <c r="MX45" s="77">
        <v>81.377711000000005</v>
      </c>
      <c r="MY45" s="77">
        <v>81.377691999999996</v>
      </c>
      <c r="MZ45" s="77">
        <v>81.377662000000001</v>
      </c>
      <c r="NA45" s="77">
        <v>81.377635999999995</v>
      </c>
      <c r="NB45" s="77">
        <v>81.377624999999995</v>
      </c>
      <c r="NC45" s="77">
        <v>74.778841</v>
      </c>
      <c r="ND45" s="77">
        <v>74.778836999999996</v>
      </c>
      <c r="NE45" s="77">
        <v>83.665114000000003</v>
      </c>
      <c r="NF45" s="77">
        <v>83.665090000000006</v>
      </c>
      <c r="NG45" s="77">
        <v>83.665063000000004</v>
      </c>
      <c r="NH45" s="77">
        <v>83.665026999999995</v>
      </c>
      <c r="NI45" s="77">
        <v>83.665019000000001</v>
      </c>
      <c r="NJ45" s="77">
        <v>86.344003999999998</v>
      </c>
      <c r="NK45" s="77">
        <v>86.344001000000006</v>
      </c>
      <c r="NL45" s="77">
        <v>77.173157000000003</v>
      </c>
      <c r="NM45" s="77">
        <v>77.173135000000002</v>
      </c>
      <c r="NN45" s="77">
        <v>77.173119</v>
      </c>
      <c r="NO45" s="77">
        <v>77.173097999999996</v>
      </c>
      <c r="NP45" s="77">
        <v>77.173090999999999</v>
      </c>
      <c r="NQ45" s="77">
        <v>76.035696999999999</v>
      </c>
      <c r="NR45" s="77">
        <v>76.035692999999995</v>
      </c>
      <c r="NS45" s="77">
        <v>76.035684000000003</v>
      </c>
      <c r="NT45" s="77">
        <v>76.035663</v>
      </c>
      <c r="NU45" s="77">
        <v>76.035642999999993</v>
      </c>
      <c r="NV45" s="77">
        <v>76.035617000000002</v>
      </c>
      <c r="NW45" s="77">
        <v>76.035607999999996</v>
      </c>
      <c r="NX45" s="77">
        <v>62.778103999999999</v>
      </c>
      <c r="NY45" s="77">
        <v>62.778100000000002</v>
      </c>
      <c r="NZ45" s="77">
        <v>72.017308</v>
      </c>
      <c r="OA45" s="77">
        <v>72.017292999999995</v>
      </c>
      <c r="OB45" s="77">
        <v>72.017266000000006</v>
      </c>
      <c r="OC45" s="77">
        <v>72.017239000000004</v>
      </c>
      <c r="OD45" s="77">
        <v>72.017233000000004</v>
      </c>
      <c r="OE45" s="77">
        <v>89.601094000000003</v>
      </c>
      <c r="OF45" s="77">
        <v>89.601090999999997</v>
      </c>
      <c r="OG45" s="77">
        <v>78.106022999999993</v>
      </c>
      <c r="OH45" s="77">
        <v>78.105999999999995</v>
      </c>
      <c r="OI45" s="77">
        <v>78.105976999999996</v>
      </c>
      <c r="OJ45" s="77">
        <v>78.105954999999994</v>
      </c>
      <c r="OK45" s="77">
        <v>78.105947999999998</v>
      </c>
      <c r="OL45" s="77">
        <v>83.764601999999996</v>
      </c>
      <c r="OM45" s="77">
        <v>83.764598000000007</v>
      </c>
      <c r="ON45" s="77">
        <v>83.764588000000003</v>
      </c>
      <c r="OO45" s="77">
        <v>83.764567999999997</v>
      </c>
      <c r="OP45" s="77">
        <v>83.764539999999997</v>
      </c>
      <c r="OQ45" s="77">
        <v>83.764508000000006</v>
      </c>
      <c r="OR45" s="77">
        <v>83.764498000000003</v>
      </c>
      <c r="OS45" s="77">
        <v>69.793689000000001</v>
      </c>
      <c r="OT45" s="77">
        <v>69.793688000000003</v>
      </c>
      <c r="OU45" s="77">
        <v>80.013493999999994</v>
      </c>
      <c r="OV45" s="77">
        <v>80.013468000000003</v>
      </c>
      <c r="OW45" s="77">
        <v>80.013439000000005</v>
      </c>
      <c r="OX45" s="77">
        <v>80.013394000000005</v>
      </c>
      <c r="OY45" s="77">
        <v>80.013389000000004</v>
      </c>
      <c r="OZ45" s="77">
        <v>69.703112000000004</v>
      </c>
      <c r="PA45" s="77">
        <v>69.703108</v>
      </c>
      <c r="PB45" s="77">
        <v>60.800184000000002</v>
      </c>
      <c r="PC45" s="77">
        <v>60.800170999999999</v>
      </c>
      <c r="PD45" s="77">
        <v>60.800147000000003</v>
      </c>
      <c r="PE45" s="77">
        <v>60.800125999999999</v>
      </c>
      <c r="PF45" s="77">
        <v>60.800122000000002</v>
      </c>
      <c r="PG45" s="77">
        <v>64.094881000000001</v>
      </c>
      <c r="PH45" s="77">
        <v>64.094879000000006</v>
      </c>
      <c r="PI45" s="77">
        <v>64.09487</v>
      </c>
      <c r="PJ45" s="77">
        <v>64.094853000000001</v>
      </c>
      <c r="PK45" s="77">
        <v>64.094831999999997</v>
      </c>
      <c r="PL45" s="77">
        <v>64.094813000000002</v>
      </c>
      <c r="PM45" s="77">
        <v>64.094806000000005</v>
      </c>
      <c r="PN45" s="77">
        <v>71.614614000000003</v>
      </c>
      <c r="PO45" s="77">
        <v>71.614610999999996</v>
      </c>
      <c r="PP45" s="77">
        <v>85.004300999999998</v>
      </c>
      <c r="PQ45" s="77">
        <v>85.004273999999995</v>
      </c>
      <c r="PR45" s="77">
        <v>85.004249000000002</v>
      </c>
      <c r="PS45" s="77">
        <v>85.004222999999996</v>
      </c>
      <c r="PT45" s="77">
        <v>85.004211999999995</v>
      </c>
      <c r="PU45" s="77">
        <v>104.25859</v>
      </c>
      <c r="PV45" s="77">
        <v>104.258585</v>
      </c>
      <c r="PW45" s="77">
        <v>87.835976000000002</v>
      </c>
      <c r="PX45" s="77">
        <v>87.835953000000003</v>
      </c>
      <c r="PY45" s="77">
        <v>87.835926999999998</v>
      </c>
      <c r="PZ45" s="77">
        <v>87.835892000000001</v>
      </c>
      <c r="QA45" s="77">
        <v>87.835883999999993</v>
      </c>
      <c r="QB45" s="77">
        <v>66.172636999999995</v>
      </c>
      <c r="QC45" s="77">
        <v>66.172631999999993</v>
      </c>
      <c r="QD45" s="77">
        <v>66.172617000000002</v>
      </c>
      <c r="QE45" s="77">
        <v>66.172591999999995</v>
      </c>
      <c r="QF45" s="77">
        <v>66.172561000000002</v>
      </c>
      <c r="QG45" s="77">
        <v>66.172539999999998</v>
      </c>
      <c r="QH45" s="77">
        <v>66.172527000000002</v>
      </c>
      <c r="QI45" s="77">
        <v>56.728022000000003</v>
      </c>
      <c r="QJ45" s="77">
        <v>56.728019000000003</v>
      </c>
      <c r="QK45" s="77">
        <v>56.728012</v>
      </c>
      <c r="QL45" s="77">
        <v>56.727994000000002</v>
      </c>
      <c r="QM45" s="77">
        <v>56.727980000000002</v>
      </c>
      <c r="QN45" s="77">
        <v>56.727964999999998</v>
      </c>
      <c r="QO45" s="77">
        <v>56.727955999999999</v>
      </c>
      <c r="QP45" s="77">
        <v>70.511544000000001</v>
      </c>
      <c r="QQ45" s="77">
        <v>70.511539999999997</v>
      </c>
      <c r="QR45" s="77">
        <v>70.511531000000005</v>
      </c>
      <c r="QS45" s="77">
        <v>70.511516</v>
      </c>
    </row>
  </sheetData>
  <mergeCells count="4">
    <mergeCell ref="A4:J4"/>
    <mergeCell ref="K1:P1"/>
    <mergeCell ref="Q1:V1"/>
    <mergeCell ref="K3:V3"/>
  </mergeCells>
  <pageMargins left="0.7" right="0.7" top="0.75" bottom="0.75" header="0.3" footer="0.3"/>
  <pageSetup orientation="portrait" horizontalDpi="300" r:id="rId1"/>
  <customProperties>
    <customPr name="_pios_id" r:id="rId2"/>
    <customPr name="CofWorksheetType" r:id="rId3"/>
    <customPr name="EpmWorksheetKeyString_GUID" r:id="rId4"/>
    <customPr name="FPMExcelClientRefreshTime" r:id="rId5"/>
  </customProperties>
  <drawing r:id="rId6"/>
  <legacyDrawing r:id="rId7"/>
  <picture r:id="rId8"/>
  <controls>
    <mc:AlternateContent xmlns:mc="http://schemas.openxmlformats.org/markup-compatibility/2006">
      <mc:Choice Requires="x14">
        <control shapeId="3142" r:id="rId9" name="AnalyzerDynReportDC000tb1">
          <controlPr defaultSize="0" autoLine="0" autoPict="0" r:id="rId10">
            <anchor moveWithCells="1">
              <from>
                <xdr:col>0</xdr:col>
                <xdr:colOff>0</xdr:colOff>
                <xdr:row>0</xdr:row>
                <xdr:rowOff>0</xdr:rowOff>
              </from>
              <to>
                <xdr:col>5</xdr:col>
                <xdr:colOff>381000</xdr:colOff>
                <xdr:row>0</xdr:row>
                <xdr:rowOff>0</xdr:rowOff>
              </to>
            </anchor>
          </controlPr>
        </control>
      </mc:Choice>
      <mc:Fallback>
        <control shapeId="3142" r:id="rId9" name="AnalyzerDynReportDC000tb1"/>
      </mc:Fallback>
    </mc:AlternateContent>
    <mc:AlternateContent xmlns:mc="http://schemas.openxmlformats.org/markup-compatibility/2006">
      <mc:Choice Requires="x14">
        <control shapeId="3141" r:id="rId11" name="ReportSubmitControl_1DCtb1">
          <controlPr defaultSize="0" autoLine="0" autoPict="0" r:id="rId12">
            <anchor moveWithCells="1">
              <from>
                <xdr:col>0</xdr:col>
                <xdr:colOff>0</xdr:colOff>
                <xdr:row>0</xdr:row>
                <xdr:rowOff>0</xdr:rowOff>
              </from>
              <to>
                <xdr:col>5</xdr:col>
                <xdr:colOff>390525</xdr:colOff>
                <xdr:row>0</xdr:row>
                <xdr:rowOff>0</xdr:rowOff>
              </to>
            </anchor>
          </controlPr>
        </control>
      </mc:Choice>
      <mc:Fallback>
        <control shapeId="3141" r:id="rId11" name="ReportSubmitControl_1DCtb1"/>
      </mc:Fallback>
    </mc:AlternateContent>
    <mc:AlternateContent xmlns:mc="http://schemas.openxmlformats.org/markup-compatibility/2006">
      <mc:Choice Requires="x14">
        <control shapeId="3140" r:id="rId13" name="ReportSubmitManagerControlDCtb1">
          <controlPr defaultSize="0" autoLine="0" autoPict="0" r:id="rId14">
            <anchor moveWithCells="1">
              <from>
                <xdr:col>0</xdr:col>
                <xdr:colOff>0</xdr:colOff>
                <xdr:row>0</xdr:row>
                <xdr:rowOff>0</xdr:rowOff>
              </from>
              <to>
                <xdr:col>5</xdr:col>
                <xdr:colOff>390525</xdr:colOff>
                <xdr:row>0</xdr:row>
                <xdr:rowOff>0</xdr:rowOff>
              </to>
            </anchor>
          </controlPr>
        </control>
      </mc:Choice>
      <mc:Fallback>
        <control shapeId="3140" r:id="rId13" name="ReportSubmitManagerControlDCtb1"/>
      </mc:Fallback>
    </mc:AlternateContent>
    <mc:AlternateContent xmlns:mc="http://schemas.openxmlformats.org/markup-compatibility/2006">
      <mc:Choice Requires="x14">
        <control shapeId="3139" r:id="rId15" name="MultipleReportManagerInfoDCtb1">
          <controlPr defaultSize="0" autoLine="0" autoPict="0" r:id="rId16">
            <anchor moveWithCells="1">
              <from>
                <xdr:col>0</xdr:col>
                <xdr:colOff>0</xdr:colOff>
                <xdr:row>0</xdr:row>
                <xdr:rowOff>0</xdr:rowOff>
              </from>
              <to>
                <xdr:col>5</xdr:col>
                <xdr:colOff>390525</xdr:colOff>
                <xdr:row>0</xdr:row>
                <xdr:rowOff>0</xdr:rowOff>
              </to>
            </anchor>
          </controlPr>
        </control>
      </mc:Choice>
      <mc:Fallback>
        <control shapeId="3139" r:id="rId15" name="MultipleReportManagerInfoDCtb1"/>
      </mc:Fallback>
    </mc:AlternateContent>
    <mc:AlternateContent xmlns:mc="http://schemas.openxmlformats.org/markup-compatibility/2006">
      <mc:Choice Requires="x14">
        <control shapeId="3138" r:id="rId17" name="ConnectionDescriptorsInfoDCtb1">
          <controlPr defaultSize="0" autoLine="0" autoPict="0" r:id="rId18">
            <anchor moveWithCells="1">
              <from>
                <xdr:col>0</xdr:col>
                <xdr:colOff>0</xdr:colOff>
                <xdr:row>0</xdr:row>
                <xdr:rowOff>0</xdr:rowOff>
              </from>
              <to>
                <xdr:col>5</xdr:col>
                <xdr:colOff>390525</xdr:colOff>
                <xdr:row>0</xdr:row>
                <xdr:rowOff>0</xdr:rowOff>
              </to>
            </anchor>
          </controlPr>
        </control>
      </mc:Choice>
      <mc:Fallback>
        <control shapeId="3138" r:id="rId17" name="ConnectionDescriptorsInfoDCtb1"/>
      </mc:Fallback>
    </mc:AlternateContent>
    <mc:AlternateContent xmlns:mc="http://schemas.openxmlformats.org/markup-compatibility/2006">
      <mc:Choice Requires="x14">
        <control shapeId="3132" r:id="rId19" name="CheckBox3">
          <controlPr defaultSize="0" autoLine="0" r:id="rId20">
            <anchor>
              <from>
                <xdr:col>5</xdr:col>
                <xdr:colOff>371475</xdr:colOff>
                <xdr:row>3</xdr:row>
                <xdr:rowOff>219075</xdr:rowOff>
              </from>
              <to>
                <xdr:col>5</xdr:col>
                <xdr:colOff>1771650</xdr:colOff>
                <xdr:row>3</xdr:row>
                <xdr:rowOff>485775</xdr:rowOff>
              </to>
            </anchor>
          </controlPr>
        </control>
      </mc:Choice>
      <mc:Fallback>
        <control shapeId="3132" r:id="rId19" name="CheckBox3"/>
      </mc:Fallback>
    </mc:AlternateContent>
    <mc:AlternateContent xmlns:mc="http://schemas.openxmlformats.org/markup-compatibility/2006">
      <mc:Choice Requires="x14">
        <control shapeId="3131" r:id="rId21" name="CheckBox2">
          <controlPr defaultSize="0" autoLine="0" r:id="rId22">
            <anchor>
              <from>
                <xdr:col>5</xdr:col>
                <xdr:colOff>371475</xdr:colOff>
                <xdr:row>3</xdr:row>
                <xdr:rowOff>28575</xdr:rowOff>
              </from>
              <to>
                <xdr:col>5</xdr:col>
                <xdr:colOff>1771650</xdr:colOff>
                <xdr:row>3</xdr:row>
                <xdr:rowOff>333375</xdr:rowOff>
              </to>
            </anchor>
          </controlPr>
        </control>
      </mc:Choice>
      <mc:Fallback>
        <control shapeId="3131" r:id="rId21" name="CheckBox2"/>
      </mc:Fallback>
    </mc:AlternateContent>
    <mc:AlternateContent xmlns:mc="http://schemas.openxmlformats.org/markup-compatibility/2006">
      <mc:Choice Requires="x14">
        <control shapeId="3130" r:id="rId23" name="CheckBox1">
          <controlPr defaultSize="0" autoLine="0" r:id="rId24">
            <anchor>
              <from>
                <xdr:col>5</xdr:col>
                <xdr:colOff>1771650</xdr:colOff>
                <xdr:row>3</xdr:row>
                <xdr:rowOff>28575</xdr:rowOff>
              </from>
              <to>
                <xdr:col>6</xdr:col>
                <xdr:colOff>381000</xdr:colOff>
                <xdr:row>3</xdr:row>
                <xdr:rowOff>333375</xdr:rowOff>
              </to>
            </anchor>
          </controlPr>
        </control>
      </mc:Choice>
      <mc:Fallback>
        <control shapeId="3130" r:id="rId23" name="CheckBox1"/>
      </mc:Fallback>
    </mc:AlternateContent>
    <mc:AlternateContent xmlns:mc="http://schemas.openxmlformats.org/markup-compatibility/2006">
      <mc:Choice Requires="x14">
        <control shapeId="3129" r:id="rId25" name="ListBox2">
          <controlPr defaultSize="0" autoLine="0" r:id="rId26">
            <anchor>
              <from>
                <xdr:col>5</xdr:col>
                <xdr:colOff>1343025</xdr:colOff>
                <xdr:row>3</xdr:row>
                <xdr:rowOff>771525</xdr:rowOff>
              </from>
              <to>
                <xdr:col>5</xdr:col>
                <xdr:colOff>1838325</xdr:colOff>
                <xdr:row>3</xdr:row>
                <xdr:rowOff>952500</xdr:rowOff>
              </to>
            </anchor>
          </controlPr>
        </control>
      </mc:Choice>
      <mc:Fallback>
        <control shapeId="3129" r:id="rId25" name="ListBox2"/>
      </mc:Fallback>
    </mc:AlternateContent>
    <mc:AlternateContent xmlns:mc="http://schemas.openxmlformats.org/markup-compatibility/2006">
      <mc:Choice Requires="x14">
        <control shapeId="3128" r:id="rId27" name="ListBox1">
          <controlPr defaultSize="0" autoLine="0" r:id="rId28">
            <anchor>
              <from>
                <xdr:col>0</xdr:col>
                <xdr:colOff>38100</xdr:colOff>
                <xdr:row>3</xdr:row>
                <xdr:rowOff>771525</xdr:rowOff>
              </from>
              <to>
                <xdr:col>5</xdr:col>
                <xdr:colOff>333375</xdr:colOff>
                <xdr:row>3</xdr:row>
                <xdr:rowOff>1057275</xdr:rowOff>
              </to>
            </anchor>
          </controlPr>
        </control>
      </mc:Choice>
      <mc:Fallback>
        <control shapeId="3128" r:id="rId27" name="ListBox1"/>
      </mc:Fallback>
    </mc:AlternateContent>
    <mc:AlternateContent xmlns:mc="http://schemas.openxmlformats.org/markup-compatibility/2006">
      <mc:Choice Requires="x14">
        <control shapeId="3125" r:id="rId29" name="CommandButton6">
          <controlPr defaultSize="0" autoLine="0" r:id="rId30">
            <anchor>
              <from>
                <xdr:col>0</xdr:col>
                <xdr:colOff>57150</xdr:colOff>
                <xdr:row>1</xdr:row>
                <xdr:rowOff>400050</xdr:rowOff>
              </from>
              <to>
                <xdr:col>2</xdr:col>
                <xdr:colOff>76200</xdr:colOff>
                <xdr:row>2</xdr:row>
                <xdr:rowOff>171450</xdr:rowOff>
              </to>
            </anchor>
          </controlPr>
        </control>
      </mc:Choice>
      <mc:Fallback>
        <control shapeId="3125" r:id="rId29" name="CommandButton6"/>
      </mc:Fallback>
    </mc:AlternateContent>
    <mc:AlternateContent xmlns:mc="http://schemas.openxmlformats.org/markup-compatibility/2006">
      <mc:Choice Requires="x14">
        <control shapeId="3127" r:id="rId31" name="CommandButton7">
          <controlPr defaultSize="0" autoLine="0" r:id="rId32">
            <anchor>
              <from>
                <xdr:col>0</xdr:col>
                <xdr:colOff>38100</xdr:colOff>
                <xdr:row>1</xdr:row>
                <xdr:rowOff>419100</xdr:rowOff>
              </from>
              <to>
                <xdr:col>2</xdr:col>
                <xdr:colOff>57150</xdr:colOff>
                <xdr:row>2</xdr:row>
                <xdr:rowOff>171450</xdr:rowOff>
              </to>
            </anchor>
          </controlPr>
        </control>
      </mc:Choice>
      <mc:Fallback>
        <control shapeId="3127" r:id="rId31" name="CommandButton7"/>
      </mc:Fallback>
    </mc:AlternateContent>
    <mc:AlternateContent xmlns:mc="http://schemas.openxmlformats.org/markup-compatibility/2006">
      <mc:Choice Requires="x14">
        <control shapeId="3123" r:id="rId33" name="Label3">
          <controlPr defaultSize="0" autoLine="0" r:id="rId34">
            <anchor>
              <from>
                <xdr:col>5</xdr:col>
                <xdr:colOff>1866900</xdr:colOff>
                <xdr:row>3</xdr:row>
                <xdr:rowOff>552450</xdr:rowOff>
              </from>
              <to>
                <xdr:col>6</xdr:col>
                <xdr:colOff>419100</xdr:colOff>
                <xdr:row>3</xdr:row>
                <xdr:rowOff>714375</xdr:rowOff>
              </to>
            </anchor>
          </controlPr>
        </control>
      </mc:Choice>
      <mc:Fallback>
        <control shapeId="3123" r:id="rId33" name="Label3"/>
      </mc:Fallback>
    </mc:AlternateContent>
    <mc:AlternateContent xmlns:mc="http://schemas.openxmlformats.org/markup-compatibility/2006">
      <mc:Choice Requires="x14">
        <control shapeId="3122" r:id="rId35" name="CommandButton5">
          <controlPr defaultSize="0" autoLine="0" r:id="rId36">
            <anchor>
              <from>
                <xdr:col>5</xdr:col>
                <xdr:colOff>1600200</xdr:colOff>
                <xdr:row>3</xdr:row>
                <xdr:rowOff>514350</xdr:rowOff>
              </from>
              <to>
                <xdr:col>5</xdr:col>
                <xdr:colOff>1828800</xdr:colOff>
                <xdr:row>3</xdr:row>
                <xdr:rowOff>742950</xdr:rowOff>
              </to>
            </anchor>
          </controlPr>
        </control>
      </mc:Choice>
      <mc:Fallback>
        <control shapeId="3122" r:id="rId35" name="CommandButton5"/>
      </mc:Fallback>
    </mc:AlternateContent>
    <mc:AlternateContent xmlns:mc="http://schemas.openxmlformats.org/markup-compatibility/2006">
      <mc:Choice Requires="x14">
        <control shapeId="3121" r:id="rId37" name="CommandButton4">
          <controlPr defaultSize="0" autoLine="0" r:id="rId38">
            <anchor>
              <from>
                <xdr:col>5</xdr:col>
                <xdr:colOff>1343025</xdr:colOff>
                <xdr:row>3</xdr:row>
                <xdr:rowOff>514350</xdr:rowOff>
              </from>
              <to>
                <xdr:col>5</xdr:col>
                <xdr:colOff>1571625</xdr:colOff>
                <xdr:row>3</xdr:row>
                <xdr:rowOff>742950</xdr:rowOff>
              </to>
            </anchor>
          </controlPr>
        </control>
      </mc:Choice>
      <mc:Fallback>
        <control shapeId="3121" r:id="rId37" name="CommandButton4"/>
      </mc:Fallback>
    </mc:AlternateContent>
    <mc:AlternateContent xmlns:mc="http://schemas.openxmlformats.org/markup-compatibility/2006">
      <mc:Choice Requires="x14">
        <control shapeId="3120" r:id="rId39" name="Label2">
          <controlPr defaultSize="0" autoLine="0" r:id="rId40">
            <anchor>
              <from>
                <xdr:col>5</xdr:col>
                <xdr:colOff>38100</xdr:colOff>
                <xdr:row>3</xdr:row>
                <xdr:rowOff>552450</xdr:rowOff>
              </from>
              <to>
                <xdr:col>5</xdr:col>
                <xdr:colOff>676275</xdr:colOff>
                <xdr:row>3</xdr:row>
                <xdr:rowOff>714375</xdr:rowOff>
              </to>
            </anchor>
          </controlPr>
        </control>
      </mc:Choice>
      <mc:Fallback>
        <control shapeId="3120" r:id="rId39" name="Label2"/>
      </mc:Fallback>
    </mc:AlternateContent>
    <mc:AlternateContent xmlns:mc="http://schemas.openxmlformats.org/markup-compatibility/2006">
      <mc:Choice Requires="x14">
        <control shapeId="3118" r:id="rId41" name="CommandButton3">
          <controlPr defaultSize="0" autoLine="0" r:id="rId36">
            <anchor>
              <from>
                <xdr:col>2</xdr:col>
                <xdr:colOff>85725</xdr:colOff>
                <xdr:row>3</xdr:row>
                <xdr:rowOff>514350</xdr:rowOff>
              </from>
              <to>
                <xdr:col>5</xdr:col>
                <xdr:colOff>0</xdr:colOff>
                <xdr:row>3</xdr:row>
                <xdr:rowOff>742950</xdr:rowOff>
              </to>
            </anchor>
          </controlPr>
        </control>
      </mc:Choice>
      <mc:Fallback>
        <control shapeId="3118" r:id="rId41" name="CommandButton3"/>
      </mc:Fallback>
    </mc:AlternateContent>
    <mc:AlternateContent xmlns:mc="http://schemas.openxmlformats.org/markup-compatibility/2006">
      <mc:Choice Requires="x14">
        <control shapeId="3117" r:id="rId42" name="CommandButton2">
          <controlPr defaultSize="0" autoLine="0" r:id="rId38">
            <anchor>
              <from>
                <xdr:col>0</xdr:col>
                <xdr:colOff>38100</xdr:colOff>
                <xdr:row>3</xdr:row>
                <xdr:rowOff>514350</xdr:rowOff>
              </from>
              <to>
                <xdr:col>2</xdr:col>
                <xdr:colOff>57150</xdr:colOff>
                <xdr:row>3</xdr:row>
                <xdr:rowOff>742950</xdr:rowOff>
              </to>
            </anchor>
          </controlPr>
        </control>
      </mc:Choice>
      <mc:Fallback>
        <control shapeId="3117" r:id="rId42" name="CommandButton2"/>
      </mc:Fallback>
    </mc:AlternateContent>
    <mc:AlternateContent xmlns:mc="http://schemas.openxmlformats.org/markup-compatibility/2006">
      <mc:Choice Requires="x14">
        <control shapeId="3116" r:id="rId43" name="Label1">
          <controlPr defaultSize="0" autoLine="0" r:id="rId44">
            <anchor>
              <from>
                <xdr:col>3</xdr:col>
                <xdr:colOff>0</xdr:colOff>
                <xdr:row>3</xdr:row>
                <xdr:rowOff>38100</xdr:rowOff>
              </from>
              <to>
                <xdr:col>5</xdr:col>
                <xdr:colOff>428625</xdr:colOff>
                <xdr:row>3</xdr:row>
                <xdr:rowOff>295275</xdr:rowOff>
              </to>
            </anchor>
          </controlPr>
        </control>
      </mc:Choice>
      <mc:Fallback>
        <control shapeId="3116" r:id="rId43" name="Label1"/>
      </mc:Fallback>
    </mc:AlternateContent>
    <mc:AlternateContent xmlns:mc="http://schemas.openxmlformats.org/markup-compatibility/2006">
      <mc:Choice Requires="x14">
        <control shapeId="3114" r:id="rId45" name="CommandButton1">
          <controlPr defaultSize="0" autoLine="0" altText="Refresh Chart" r:id="rId46">
            <anchor>
              <from>
                <xdr:col>0</xdr:col>
                <xdr:colOff>38100</xdr:colOff>
                <xdr:row>3</xdr:row>
                <xdr:rowOff>28575</xdr:rowOff>
              </from>
              <to>
                <xdr:col>2</xdr:col>
                <xdr:colOff>57150</xdr:colOff>
                <xdr:row>3</xdr:row>
                <xdr:rowOff>257175</xdr:rowOff>
              </to>
            </anchor>
          </controlPr>
        </control>
      </mc:Choice>
      <mc:Fallback>
        <control shapeId="3114" r:id="rId45" name="CommandButton1"/>
      </mc:Fallback>
    </mc:AlternateContent>
    <mc:AlternateContent xmlns:mc="http://schemas.openxmlformats.org/markup-compatibility/2006">
      <mc:Choice Requires="x14">
        <control shapeId="3093" r:id="rId47" name="FPMExcelClientSheetOptionstb1">
          <controlPr defaultSize="0" autoLine="0" r:id="rId48">
            <anchor moveWithCells="1" sizeWithCells="1">
              <from>
                <xdr:col>0</xdr:col>
                <xdr:colOff>0</xdr:colOff>
                <xdr:row>0</xdr:row>
                <xdr:rowOff>0</xdr:rowOff>
              </from>
              <to>
                <xdr:col>0</xdr:col>
                <xdr:colOff>0</xdr:colOff>
                <xdr:row>0</xdr:row>
                <xdr:rowOff>0</xdr:rowOff>
              </to>
            </anchor>
          </controlPr>
        </control>
      </mc:Choice>
      <mc:Fallback>
        <control shapeId="3093" r:id="rId47"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onfig xmlns="http://com.sap.sop/sopconfig">
  <template xmlns="">DP130 Demand Planning_G144_RET</template>
  <favorite xmlns=""/>
  <bookSettings xmlns="">
    <scenarios>
      <value>__BASELINE</value>
    </scenarios>
    <simulations>
      <value>__PLAN</value>
    </simulations>
    <planningUnits>
      <planningVersion>__BASELINE</planningVersion>
      <planningScenario>__PLAN</planningScenario>
      <timeRelativeFrom>0</timeRelativeFrom>
      <timeRelativeTo>130</timeRelativeTo>
    </planningUnits>
    <dimsDispOptnId>
      <value>LOCID</value>
      <value>PRDID</value>
    </dimsDispOptnId>
    <dimsDispOptnBoth/>
    <dimsTmpltFltrMandatory/>
    <dimsTmpltFltrOptional/>
    <planningScopeSopV2/>
  </bookSettings>
  <report_Sheet2 xmlns="">
    <settings>
      <flexibleTime>
        <time>
          <dimension>PERIODID0</dimension>
          <rolling>1</rolling>
          <mode>0</mode>
          <totalName/>
          <realTime>true</realTime>
          <fromAbsolute/>
          <toAbsolute/>
          <fromRelative>0</fromRelative>
          <toRelative>0</toRelative>
          <fromTimeAbsolute>2025-10-07T12:00:00+11:00</fromTimeAbsolute>
          <toTimeAbsolute>2025-10-07T12:00:00+11:00</toTimeAbsolute>
          <fromTimeRelativeInDays>0</fromTimeRelativeInDays>
          <toTimeRelativeInDays>450</toTimeRelativeInDays>
        </time>
      </flexibleTime>
      <planningLevels>
        <value>PRDDESCR</value>
        <value>PRDID</value>
        <value>LOCID</value>
        <value>LOCDESCR</value>
      </planningLevels>
      <keyFigures>
        <value>ZGFAPPROVEDFCSTQTY</value>
      </keyFigures>
      <conversions>
        <conversion>
          <dimension>CURRTOID</dimension>
          <member>AUD</member>
        </conversion>
        <conversion>
          <dimension>UOMTOID</dimension>
          <member>PUM</member>
        </conversion>
      </conversions>
      <rowAxis>
        <value>PRDDESCR</value>
        <value>PRDID</value>
        <value>LOCID</value>
        <value>LOCDESCR</value>
        <value>KEY_FIGURES</value>
      </rowAxis>
      <columnAxis>
        <value>PERIODID0</value>
      </columnAxis>
      <alerts/>
      <dimsDispOptnId>
        <value>LOCID</value>
        <value>PRDID</value>
        <value>LOCID</value>
      </dimsDispOptnId>
      <dimsDispOptnBoth/>
      <dimsTmpltFltrMandatory/>
      <dimsTmpltFltrOptional>
        <value>MARKETSEGMENT</value>
      </dimsTmpltFltrOptional>
      <attributeSortings>
        <attributeSorting>
          <sortOrder>
            <sortOrderItem>__AZ</sortOrderItem>
          </sortOrder>
          <dimensionId>PRDDESCR</dimensionId>
          <description>Ascending</description>
          <name>A-Z</name>
          <id>-11</id>
        </attributeSorting>
        <attributeSorting>
          <sortOrder>
            <sortOrderItem>__AZ</sortOrderItem>
          </sortOrder>
          <dimensionId>PRDID</dimensionId>
          <description>Ascending</description>
          <name>A-Z</name>
          <id>-11</id>
        </attributeSorting>
        <attributeSorting>
          <sortOrder>
            <sortOrderItem>__AZ</sortOrderItem>
          </sortOrder>
          <dimensionId>LOCID</dimensionId>
          <description>Ascending</description>
          <name>A-Z</name>
          <id>-11</id>
        </attributeSorting>
        <attributeSorting>
          <sortOrder>
            <sortOrderItem>__AZ</sortOrderItem>
          </sortOrder>
          <dimensionId>LOCDESCR</dimensionId>
          <description>Ascending</description>
          <name>A-Z</name>
          <id>-11</id>
        </attributeSorting>
      </attributeSortings>
      <commentType>ALL</commentType>
      <isWorkbookFilterExcluded>false</isWorkbookFilterExcluded>
    </settings>
    <filter>
      <name/>
      <id>0</id>
      <conditions>
        <condition>
          <dimension>MARKETSEGMENT</dimension>
          <operator>EQ</operator>
          <values>
            <value>G610_01_01</value>
          </values>
          <relations/>
        </condition>
        <condition>
          <dimension>CATEGORY</dimension>
          <operator>EQ</operator>
          <values>
            <value>383</value>
          </values>
          <relations/>
        </condition>
        <condition>
          <dimension>PRDID</dimension>
          <operator>EQ</operator>
          <values>
            <value>168847</value>
            <value>168846</value>
            <value>168848</value>
            <value>179649</value>
            <value>179650</value>
          </values>
          <relations/>
        </condition>
        <condition>
          <dimension>LOCID</dimension>
          <operator>EQ</operator>
          <values>
            <value>6103</value>
            <value>6104</value>
            <value>6105</value>
            <value>6110</value>
            <value>6120</value>
            <value>6123</value>
            <value>6125</value>
            <value>6130</value>
          </values>
          <relations/>
        </condition>
      </conditions>
    </filter>
  </report_Sheet2>
</config>
</file>

<file path=customXml/item3.xml><?xml version="1.0" encoding="utf-8"?>
<config xmlns="http://com.sap.sop/sopconfigpv">
  <favoriteName xmlns=""/>
  <templateName xmlns="">DP130 Demand Planning_G144_RET</templateName>
  <IBPReportBookSettings xmlns="">{"isHistoryBook":false,"planningScope":{"versions":["__BASELINE"],"scenarios":["__PLAN"],"subnetworks":[],"fromRelative":"0","toRelative":"130"},"planningScopeSopV2":null,"scenarios":["__PLAN"],"versions":["__BASELINE"],"attributeBasedFilter":null,"attributesDisplayId":["LOCID","PRDID"],"attributesDisplayBoth":null,"attributesTemplateFilterMan":null,"attributesTemplateFilterOpt":null}</IBPReportBookSettings>
</config>
</file>

<file path=customXml/item4.xml><?xml version="1.0" encoding="utf-8"?>
<ct:contentTypeSchema xmlns:ct="http://schemas.microsoft.com/office/2006/metadata/contentType" xmlns:ma="http://schemas.microsoft.com/office/2006/metadata/properties/metaAttributes" ct:_="" ma:_="" ma:contentTypeName="Document" ma:contentTypeID="0x010100DD9F2166D59D0A48A949E5097BE98C8F" ma:contentTypeVersion="4" ma:contentTypeDescription="Create a new document." ma:contentTypeScope="" ma:versionID="92ad84078f1c9538bc985af30a7d398b">
  <xsd:schema xmlns:xsd="http://www.w3.org/2001/XMLSchema" xmlns:xs="http://www.w3.org/2001/XMLSchema" xmlns:p="http://schemas.microsoft.com/office/2006/metadata/properties" xmlns:ns2="6f235531-6c84-4004-a2cf-aad1ef8f5c8f" targetNamespace="http://schemas.microsoft.com/office/2006/metadata/properties" ma:root="true" ma:fieldsID="9bcabc24eaed68f91bdd549c4daeecc0" ns2:_="">
    <xsd:import namespace="6f235531-6c84-4004-a2cf-aad1ef8f5c8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235531-6c84-4004-a2cf-aad1ef8f5c8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302C930-0374-44CE-B7C5-610E8899C41B}">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F6868B0-144D-47C4-B641-47070F4FD224}">
  <ds:schemaRefs>
    <ds:schemaRef ds:uri="http://com.sap.sop/sopconfig"/>
    <ds:schemaRef ds:uri=""/>
  </ds:schemaRefs>
</ds:datastoreItem>
</file>

<file path=customXml/itemProps3.xml><?xml version="1.0" encoding="utf-8"?>
<ds:datastoreItem xmlns:ds="http://schemas.openxmlformats.org/officeDocument/2006/customXml" ds:itemID="{3E6050C0-78BA-49BA-BDE4-610B770BED32}">
  <ds:schemaRefs>
    <ds:schemaRef ds:uri="http://com.sap.sop/sopconfigpv"/>
    <ds:schemaRef ds:uri=""/>
  </ds:schemaRefs>
</ds:datastoreItem>
</file>

<file path=customXml/itemProps4.xml><?xml version="1.0" encoding="utf-8"?>
<ds:datastoreItem xmlns:ds="http://schemas.openxmlformats.org/officeDocument/2006/customXml" ds:itemID="{66784DB3-683E-4B3E-86B2-65E1A632D1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235531-6c84-4004-a2cf-aad1ef8f5c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7B46218D-5039-4834-9BD2-65BDC5A9CE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SapIbpChartFeeder</vt:lpstr>
      <vt:lpstr>IBPFormattingSheet</vt:lpstr>
      <vt:lpstr>G610_RET</vt:lpstr>
    </vt:vector>
  </TitlesOfParts>
  <Manager/>
  <Company>SAP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CONTI, ALBERTO</dc:creator>
  <cp:keywords/>
  <dc:description/>
  <cp:lastModifiedBy>Simeon Verzijl</cp:lastModifiedBy>
  <cp:revision/>
  <dcterms:created xsi:type="dcterms:W3CDTF">2012-11-19T20:56:01Z</dcterms:created>
  <dcterms:modified xsi:type="dcterms:W3CDTF">2025-10-08T10:02:29Z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ContentTypeId">
    <vt:lpwstr>0x010100DD9F2166D59D0A48A949E5097BE98C8F</vt:lpwstr>
  </property>
  <property fmtid="{D5CDD505-2E9C-101B-9397-08002B2CF9AE}" pid="4" name="CofWorkbookId">
    <vt:lpwstr>baf5bfe8-aa26-4a2e-b200-0a597cdea5e8</vt:lpwstr>
  </property>
</Properties>
</file>