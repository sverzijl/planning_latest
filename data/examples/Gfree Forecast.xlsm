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omments1.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wilmarint-my.sharepoint.com/personal/abhishek_khetrapal_goodmanfielder_com_au/Documents/Desktop/"/>
    </mc:Choice>
  </mc:AlternateContent>
  <xr:revisionPtr revIDLastSave="0" documentId="8_{CB6881D1-9608-4344-ABB7-5B24EACE11EA}" xr6:coauthVersionLast="47" xr6:coauthVersionMax="47" xr10:uidLastSave="{00000000-0000-0000-0000-000000000000}"/>
  <bookViews>
    <workbookView xWindow="-120" yWindow="-120" windowWidth="51840" windowHeight="21240" tabRatio="374" firstSheet="1" activeTab="2" xr2:uid="{00000000-000D-0000-FFFF-FFFF00000000}"/>
  </bookViews>
  <sheets>
    <sheet name="SapIbpChartFeeder" sheetId="6" state="hidden" r:id="rId1"/>
    <sheet name="IBPFormattingSheet" sheetId="12" r:id="rId2"/>
    <sheet name="G610 RET" sheetId="5" r:id="rId3"/>
  </sheets>
  <functionGroups builtInGroupCount="19"/>
  <definedNames>
    <definedName name="__FPMExcelClient_CellBasedFunctionStatus" localSheetId="2" hidden="1">"2_1_2_2_2_2"</definedName>
    <definedName name="__FPMExcelClient_Connection" localSheetId="2">"{A63CB8EE-6674-452e-ACA5-65D5174D689E}_[https://my302556.scmibp1.ondemand.com/sap/sop/sopfnd/services/addin/excel/]_[SOP]_[GFIBPPRD01]_[]_[]_[false]_[True]\1"</definedName>
    <definedName name="_xlnm._FilterDatabase" localSheetId="2" hidden="1">'G610 RET'!$D$5:$J$5</definedName>
    <definedName name="_SOP">" "</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IBPFormattingSheet!$D$175</definedName>
    <definedName name="AddMemberFirst_1" localSheetId="1" hidden="1">IBPFormattingSheet!$D$41</definedName>
    <definedName name="AddMemberFirst_10" localSheetId="1" hidden="1">IBPFormattingSheet!$D$68</definedName>
    <definedName name="AddMemberFirst_11" localSheetId="1" hidden="1">IBPFormattingSheet!$D$71</definedName>
    <definedName name="AddMemberFirst_12" localSheetId="1" hidden="1">IBPFormattingSheet!$D$74</definedName>
    <definedName name="AddMemberFirst_13" localSheetId="1" hidden="1">IBPFormattingSheet!$D$77</definedName>
    <definedName name="AddMemberFirst_14" localSheetId="1" hidden="1">IBPFormattingSheet!$D$80</definedName>
    <definedName name="AddMemberFirst_15" localSheetId="1" hidden="1">IBPFormattingSheet!$D$83</definedName>
    <definedName name="AddMemberFirst_16" localSheetId="1" hidden="1">IBPFormattingSheet!$D$86</definedName>
    <definedName name="AddMemberFirst_17" localSheetId="1" hidden="1">IBPFormattingSheet!$D$89</definedName>
    <definedName name="AddMemberFirst_18" localSheetId="1" hidden="1">IBPFormattingSheet!$D$92</definedName>
    <definedName name="AddMemberFirst_19" localSheetId="1" hidden="1">IBPFormattingSheet!$D$95</definedName>
    <definedName name="AddMemberFirst_2" localSheetId="1" hidden="1">IBPFormattingSheet!$D$44</definedName>
    <definedName name="AddMemberFirst_20" localSheetId="1" hidden="1">IBPFormattingSheet!$D$98</definedName>
    <definedName name="AddMemberFirst_21" localSheetId="1" hidden="1">IBPFormattingSheet!$D$101</definedName>
    <definedName name="AddMemberFirst_22" localSheetId="1" hidden="1">IBPFormattingSheet!$D$104</definedName>
    <definedName name="AddMemberFirst_23" localSheetId="1" hidden="1">IBPFormattingSheet!$D$107</definedName>
    <definedName name="AddMemberFirst_24" localSheetId="1" hidden="1">IBPFormattingSheet!$D$110</definedName>
    <definedName name="AddMemberFirst_25" localSheetId="1" hidden="1">IBPFormattingSheet!$D$113</definedName>
    <definedName name="AddMemberFirst_26" localSheetId="1" hidden="1">IBPFormattingSheet!$D$116</definedName>
    <definedName name="AddMemberFirst_27" localSheetId="1" hidden="1">IBPFormattingSheet!$D$119</definedName>
    <definedName name="AddMemberFirst_28" localSheetId="1" hidden="1">IBPFormattingSheet!$D$122</definedName>
    <definedName name="AddMemberFirst_29" localSheetId="1" hidden="1">IBPFormattingSheet!$D$125</definedName>
    <definedName name="AddMemberFirst_3" localSheetId="1" hidden="1">IBPFormattingSheet!$D$47</definedName>
    <definedName name="AddMemberFirst_30" localSheetId="1" hidden="1">IBPFormattingSheet!$D$128</definedName>
    <definedName name="AddMemberFirst_31" localSheetId="1" hidden="1">IBPFormattingSheet!$D$131</definedName>
    <definedName name="AddMemberFirst_32" localSheetId="1" hidden="1">IBPFormattingSheet!$D$134</definedName>
    <definedName name="AddMemberFirst_33" localSheetId="1" hidden="1">IBPFormattingSheet!$D$137</definedName>
    <definedName name="AddMemberFirst_34" localSheetId="1" hidden="1">IBPFormattingSheet!$D$140</definedName>
    <definedName name="AddMemberFirst_35" localSheetId="1" hidden="1">IBPFormattingSheet!$D$143</definedName>
    <definedName name="AddMemberFirst_36" localSheetId="1" hidden="1">IBPFormattingSheet!$D$146</definedName>
    <definedName name="AddMemberFirst_37" localSheetId="1" hidden="1">IBPFormattingSheet!$D$149</definedName>
    <definedName name="AddMemberFirst_38" localSheetId="1" hidden="1">IBPFormattingSheet!$D$152</definedName>
    <definedName name="AddMemberFirst_39" localSheetId="1" hidden="1">IBPFormattingSheet!$D$155</definedName>
    <definedName name="AddMemberFirst_4" localSheetId="1" hidden="1">IBPFormattingSheet!$D$50</definedName>
    <definedName name="AddMemberFirst_40" localSheetId="1" hidden="1">IBPFormattingSheet!$D$158</definedName>
    <definedName name="AddMemberFirst_41" localSheetId="1" hidden="1">IBPFormattingSheet!$D$161</definedName>
    <definedName name="AddMemberFirst_42" localSheetId="1" hidden="1">IBPFormattingSheet!$D$164</definedName>
    <definedName name="AddMemberFirst_43" localSheetId="1" hidden="1">IBPFormattingSheet!$D$167</definedName>
    <definedName name="AddMemberFirst_44" localSheetId="1" hidden="1">IBPFormattingSheet!$D$170</definedName>
    <definedName name="AddMemberFirst_45" localSheetId="1" hidden="1">IBPFormattingSheet!$D$173</definedName>
    <definedName name="AddMemberFirst_5" localSheetId="1" hidden="1">IBPFormattingSheet!$D$53</definedName>
    <definedName name="AddMemberFirst_6" localSheetId="1" hidden="1">IBPFormattingSheet!$D$56</definedName>
    <definedName name="AddMemberFirst_7" localSheetId="1" hidden="1">IBPFormattingSheet!$D$59</definedName>
    <definedName name="AddMemberFirst_8" localSheetId="1" hidden="1">IBPFormattingSheet!$D$62</definedName>
    <definedName name="AddMemberFirst_9" localSheetId="1" hidden="1">IBPFormattingSheet!$D$65</definedName>
    <definedName name="AddMemberSecond" localSheetId="1" hidden="1">IBPFormattingSheet!$D$214</definedName>
    <definedName name="AddMemberSecond_1" localSheetId="1" hidden="1">IBPFormattingSheet!$D$194</definedName>
    <definedName name="AddMemberSecond_2" localSheetId="1" hidden="1">IBPFormattingSheet!$D$197</definedName>
    <definedName name="AddMemberSecond_3" localSheetId="1" hidden="1">IBPFormattingSheet!$D$200</definedName>
    <definedName name="AddMemberSecond_4" localSheetId="1" hidden="1">IBPFormattingSheet!$D$203</definedName>
    <definedName name="AddMemberSecond_5" localSheetId="1" hidden="1">IBPFormattingSheet!$D$206</definedName>
    <definedName name="AddMemberSecond_6" localSheetId="1" hidden="1">IBPFormattingSheet!$D$209</definedName>
    <definedName name="AddMemberSecond_7" localSheetId="1" hidden="1">IBPFormattingSheet!$D$212</definedName>
    <definedName name="DataFirst" localSheetId="1" hidden="1">IBPFormattingSheet!$E$25:$G$25</definedName>
    <definedName name="DataSecond" localSheetId="1" hidden="1">IBPFormattingSheet!$E$229:$G$229</definedName>
    <definedName name="DataUseFirst" localSheetId="1" hidden="1">IBPFormattingSheet!$H$25</definedName>
    <definedName name="DataUseSecond" localSheetId="1" hidden="1">IBPFormattingSheet!$H$229</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IBPFormattingSheet!$F$226</definedName>
    <definedName name="EvenDataSecond" localSheetId="1" hidden="1">IBPFormattingSheet!$F$234</definedName>
    <definedName name="EvenDataUseFirst" localSheetId="1" hidden="1">IBPFormattingSheet!$H$226</definedName>
    <definedName name="EvenDataUseSecond" localSheetId="1" hidden="1">IBPFormattingSheet!$H$234</definedName>
    <definedName name="EvenHeaderFirst" localSheetId="1" hidden="1">IBPFormattingSheet!$J$226</definedName>
    <definedName name="EvenHeaderSecond" localSheetId="1" hidden="1">IBPFormattingSheet!$J$234</definedName>
    <definedName name="EvenHeaderUseFirst" localSheetId="1" hidden="1">IBPFormattingSheet!$L$226</definedName>
    <definedName name="EvenHeaderUseSecond" localSheetId="1" hidden="1">IBPFormattingSheet!$L$234</definedName>
    <definedName name="HeaderFirst" localSheetId="1" hidden="1">IBPFormattingSheet!$I$25:$K$25</definedName>
    <definedName name="HeaderSecond" localSheetId="1" hidden="1">IBPFormattingSheet!$I$229:$K$229</definedName>
    <definedName name="HeaderSmallGrid" localSheetId="1" hidden="1">IBPFormattingSheet!$A$1</definedName>
    <definedName name="HeaderUseFirst" localSheetId="1" hidden="1">IBPFormattingSheet!$L$25</definedName>
    <definedName name="HeaderUseSecond" localSheetId="1" hidden="1">IBPFormattingSheet!$L$229</definedName>
    <definedName name="HeaderUseSmallGrid" localSheetId="1" hidden="1">IBPFormattingSheet!$A$1</definedName>
    <definedName name="IBPClientFormattingSheet" localSheetId="1" hidden="1">"3_3"</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IBPFormattingSheet!$B$216</definedName>
    <definedName name="MemberFirstBlock" localSheetId="1" hidden="1">IBPFormattingSheet!$B$24:$B$176</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10" localSheetId="1" hidden="1">IBPFormattingSheet!$F$68</definedName>
    <definedName name="MemberFirstDataItem_11" localSheetId="1" hidden="1">IBPFormattingSheet!$F$71</definedName>
    <definedName name="MemberFirstDataItem_12" localSheetId="1" hidden="1">IBPFormattingSheet!$F$74</definedName>
    <definedName name="MemberFirstDataItem_13" localSheetId="1" hidden="1">IBPFormattingSheet!$F$77</definedName>
    <definedName name="MemberFirstDataItem_14" localSheetId="1" hidden="1">IBPFormattingSheet!$F$80</definedName>
    <definedName name="MemberFirstDataItem_15" localSheetId="1" hidden="1">IBPFormattingSheet!$F$83</definedName>
    <definedName name="MemberFirstDataItem_16" localSheetId="1" hidden="1">IBPFormattingSheet!$F$86</definedName>
    <definedName name="MemberFirstDataItem_17" localSheetId="1" hidden="1">IBPFormattingSheet!$F$89</definedName>
    <definedName name="MemberFirstDataItem_18" localSheetId="1" hidden="1">IBPFormattingSheet!$F$92</definedName>
    <definedName name="MemberFirstDataItem_19" localSheetId="1" hidden="1">IBPFormattingSheet!$F$95</definedName>
    <definedName name="MemberFirstDataItem_2" localSheetId="1" hidden="1">IBPFormattingSheet!$F$44</definedName>
    <definedName name="MemberFirstDataItem_20" localSheetId="1" hidden="1">IBPFormattingSheet!$F$98</definedName>
    <definedName name="MemberFirstDataItem_21" localSheetId="1" hidden="1">IBPFormattingSheet!$F$101</definedName>
    <definedName name="MemberFirstDataItem_22" localSheetId="1" hidden="1">IBPFormattingSheet!$F$104</definedName>
    <definedName name="MemberFirstDataItem_23" localSheetId="1" hidden="1">IBPFormattingSheet!$F$107</definedName>
    <definedName name="MemberFirstDataItem_24" localSheetId="1" hidden="1">IBPFormattingSheet!$F$110</definedName>
    <definedName name="MemberFirstDataItem_25" localSheetId="1" hidden="1">IBPFormattingSheet!$F$113</definedName>
    <definedName name="MemberFirstDataItem_26" localSheetId="1" hidden="1">IBPFormattingSheet!$F$116</definedName>
    <definedName name="MemberFirstDataItem_27" localSheetId="1" hidden="1">IBPFormattingSheet!$F$119</definedName>
    <definedName name="MemberFirstDataItem_28" localSheetId="1" hidden="1">IBPFormattingSheet!$F$122</definedName>
    <definedName name="MemberFirstDataItem_29" localSheetId="1" hidden="1">IBPFormattingSheet!$F$125</definedName>
    <definedName name="MemberFirstDataItem_3" localSheetId="1" hidden="1">IBPFormattingSheet!$F$47</definedName>
    <definedName name="MemberFirstDataItem_30" localSheetId="1" hidden="1">IBPFormattingSheet!$F$128</definedName>
    <definedName name="MemberFirstDataItem_31" localSheetId="1" hidden="1">IBPFormattingSheet!$F$131</definedName>
    <definedName name="MemberFirstDataItem_32" localSheetId="1" hidden="1">IBPFormattingSheet!$F$134</definedName>
    <definedName name="MemberFirstDataItem_33" localSheetId="1" hidden="1">IBPFormattingSheet!$F$137</definedName>
    <definedName name="MemberFirstDataItem_34" localSheetId="1" hidden="1">IBPFormattingSheet!$F$140</definedName>
    <definedName name="MemberFirstDataItem_35" localSheetId="1" hidden="1">IBPFormattingSheet!$F$143</definedName>
    <definedName name="MemberFirstDataItem_36" localSheetId="1" hidden="1">IBPFormattingSheet!$F$146</definedName>
    <definedName name="MemberFirstDataItem_37" localSheetId="1" hidden="1">IBPFormattingSheet!$F$149</definedName>
    <definedName name="MemberFirstDataItem_38" localSheetId="1" hidden="1">IBPFormattingSheet!$F$152</definedName>
    <definedName name="MemberFirstDataItem_39" localSheetId="1" hidden="1">IBPFormattingSheet!$F$155</definedName>
    <definedName name="MemberFirstDataItem_4" localSheetId="1" hidden="1">IBPFormattingSheet!$F$50</definedName>
    <definedName name="MemberFirstDataItem_40" localSheetId="1" hidden="1">IBPFormattingSheet!$F$158</definedName>
    <definedName name="MemberFirstDataItem_41" localSheetId="1" hidden="1">IBPFormattingSheet!$F$161</definedName>
    <definedName name="MemberFirstDataItem_42" localSheetId="1" hidden="1">IBPFormattingSheet!$F$164</definedName>
    <definedName name="MemberFirstDataItem_43" localSheetId="1" hidden="1">IBPFormattingSheet!$F$167</definedName>
    <definedName name="MemberFirstDataItem_44" localSheetId="1" hidden="1">IBPFormattingSheet!$F$170</definedName>
    <definedName name="MemberFirstDataItem_45" localSheetId="1" hidden="1">IBPFormattingSheet!$F$173</definedName>
    <definedName name="MemberFirstDataItem_5" localSheetId="1" hidden="1">IBPFormattingSheet!$F$53</definedName>
    <definedName name="MemberFirstDataItem_6" localSheetId="1" hidden="1">IBPFormattingSheet!$F$56</definedName>
    <definedName name="MemberFirstDataItem_7" localSheetId="1" hidden="1">IBPFormattingSheet!$F$59</definedName>
    <definedName name="MemberFirstDataItem_8" localSheetId="1" hidden="1">IBPFormattingSheet!$F$62</definedName>
    <definedName name="MemberFirstDataItem_9" localSheetId="1" hidden="1">IBPFormattingSheet!$F$65</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10" localSheetId="1" hidden="1">IBPFormattingSheet!$H$68</definedName>
    <definedName name="MemberFirstDataUseItem_11" localSheetId="1" hidden="1">IBPFormattingSheet!$H$71</definedName>
    <definedName name="MemberFirstDataUseItem_12" localSheetId="1" hidden="1">IBPFormattingSheet!$H$74</definedName>
    <definedName name="MemberFirstDataUseItem_13" localSheetId="1" hidden="1">IBPFormattingSheet!$H$77</definedName>
    <definedName name="MemberFirstDataUseItem_14" localSheetId="1" hidden="1">IBPFormattingSheet!$H$80</definedName>
    <definedName name="MemberFirstDataUseItem_15" localSheetId="1" hidden="1">IBPFormattingSheet!$H$83</definedName>
    <definedName name="MemberFirstDataUseItem_16" localSheetId="1" hidden="1">IBPFormattingSheet!$H$86</definedName>
    <definedName name="MemberFirstDataUseItem_17" localSheetId="1" hidden="1">IBPFormattingSheet!$H$89</definedName>
    <definedName name="MemberFirstDataUseItem_18" localSheetId="1" hidden="1">IBPFormattingSheet!$H$92</definedName>
    <definedName name="MemberFirstDataUseItem_19" localSheetId="1" hidden="1">IBPFormattingSheet!$H$95</definedName>
    <definedName name="MemberFirstDataUseItem_2" localSheetId="1" hidden="1">IBPFormattingSheet!$H$44</definedName>
    <definedName name="MemberFirstDataUseItem_20" localSheetId="1" hidden="1">IBPFormattingSheet!$H$98</definedName>
    <definedName name="MemberFirstDataUseItem_21" localSheetId="1" hidden="1">IBPFormattingSheet!$H$101</definedName>
    <definedName name="MemberFirstDataUseItem_22" localSheetId="1" hidden="1">IBPFormattingSheet!$H$104</definedName>
    <definedName name="MemberFirstDataUseItem_23" localSheetId="1" hidden="1">IBPFormattingSheet!$H$107</definedName>
    <definedName name="MemberFirstDataUseItem_24" localSheetId="1" hidden="1">IBPFormattingSheet!$H$110</definedName>
    <definedName name="MemberFirstDataUseItem_25" localSheetId="1" hidden="1">IBPFormattingSheet!$H$113</definedName>
    <definedName name="MemberFirstDataUseItem_26" localSheetId="1" hidden="1">IBPFormattingSheet!$H$116</definedName>
    <definedName name="MemberFirstDataUseItem_27" localSheetId="1" hidden="1">IBPFormattingSheet!$H$119</definedName>
    <definedName name="MemberFirstDataUseItem_28" localSheetId="1" hidden="1">IBPFormattingSheet!$H$122</definedName>
    <definedName name="MemberFirstDataUseItem_29" localSheetId="1" hidden="1">IBPFormattingSheet!$H$125</definedName>
    <definedName name="MemberFirstDataUseItem_3" localSheetId="1" hidden="1">IBPFormattingSheet!$H$47</definedName>
    <definedName name="MemberFirstDataUseItem_30" localSheetId="1" hidden="1">IBPFormattingSheet!$H$128</definedName>
    <definedName name="MemberFirstDataUseItem_31" localSheetId="1" hidden="1">IBPFormattingSheet!$H$131</definedName>
    <definedName name="MemberFirstDataUseItem_32" localSheetId="1" hidden="1">IBPFormattingSheet!$H$134</definedName>
    <definedName name="MemberFirstDataUseItem_33" localSheetId="1" hidden="1">IBPFormattingSheet!$H$137</definedName>
    <definedName name="MemberFirstDataUseItem_34" localSheetId="1" hidden="1">IBPFormattingSheet!$H$140</definedName>
    <definedName name="MemberFirstDataUseItem_35" localSheetId="1" hidden="1">IBPFormattingSheet!$H$143</definedName>
    <definedName name="MemberFirstDataUseItem_36" localSheetId="1" hidden="1">IBPFormattingSheet!$H$146</definedName>
    <definedName name="MemberFirstDataUseItem_37" localSheetId="1" hidden="1">IBPFormattingSheet!$H$149</definedName>
    <definedName name="MemberFirstDataUseItem_38" localSheetId="1" hidden="1">IBPFormattingSheet!$H$152</definedName>
    <definedName name="MemberFirstDataUseItem_39" localSheetId="1" hidden="1">IBPFormattingSheet!$H$155</definedName>
    <definedName name="MemberFirstDataUseItem_4" localSheetId="1" hidden="1">IBPFormattingSheet!$H$50</definedName>
    <definedName name="MemberFirstDataUseItem_40" localSheetId="1" hidden="1">IBPFormattingSheet!$H$158</definedName>
    <definedName name="MemberFirstDataUseItem_41" localSheetId="1" hidden="1">IBPFormattingSheet!$H$161</definedName>
    <definedName name="MemberFirstDataUseItem_42" localSheetId="1" hidden="1">IBPFormattingSheet!$H$164</definedName>
    <definedName name="MemberFirstDataUseItem_43" localSheetId="1" hidden="1">IBPFormattingSheet!$H$167</definedName>
    <definedName name="MemberFirstDataUseItem_44" localSheetId="1" hidden="1">IBPFormattingSheet!$H$170</definedName>
    <definedName name="MemberFirstDataUseItem_45" localSheetId="1" hidden="1">IBPFormattingSheet!$H$173</definedName>
    <definedName name="MemberFirstDataUseItem_5" localSheetId="1" hidden="1">IBPFormattingSheet!$H$53</definedName>
    <definedName name="MemberFirstDataUseItem_6" localSheetId="1" hidden="1">IBPFormattingSheet!$H$56</definedName>
    <definedName name="MemberFirstDataUseItem_7" localSheetId="1" hidden="1">IBPFormattingSheet!$H$59</definedName>
    <definedName name="MemberFirstDataUseItem_8" localSheetId="1" hidden="1">IBPFormattingSheet!$H$62</definedName>
    <definedName name="MemberFirstDataUseItem_9" localSheetId="1" hidden="1">IBPFormattingSheet!$H$65</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10" localSheetId="1" hidden="1">IBPFormattingSheet!$J$68</definedName>
    <definedName name="MemberFirstHeaderItem_11" localSheetId="1" hidden="1">IBPFormattingSheet!$J$71</definedName>
    <definedName name="MemberFirstHeaderItem_12" localSheetId="1" hidden="1">IBPFormattingSheet!$J$74</definedName>
    <definedName name="MemberFirstHeaderItem_13" localSheetId="1" hidden="1">IBPFormattingSheet!$J$77</definedName>
    <definedName name="MemberFirstHeaderItem_14" localSheetId="1" hidden="1">IBPFormattingSheet!$J$80</definedName>
    <definedName name="MemberFirstHeaderItem_15" localSheetId="1" hidden="1">IBPFormattingSheet!$J$83</definedName>
    <definedName name="MemberFirstHeaderItem_16" localSheetId="1" hidden="1">IBPFormattingSheet!$J$86</definedName>
    <definedName name="MemberFirstHeaderItem_17" localSheetId="1" hidden="1">IBPFormattingSheet!$J$89</definedName>
    <definedName name="MemberFirstHeaderItem_18" localSheetId="1" hidden="1">IBPFormattingSheet!$J$92</definedName>
    <definedName name="MemberFirstHeaderItem_19" localSheetId="1" hidden="1">IBPFormattingSheet!$J$95</definedName>
    <definedName name="MemberFirstHeaderItem_2" localSheetId="1" hidden="1">IBPFormattingSheet!$J$44</definedName>
    <definedName name="MemberFirstHeaderItem_20" localSheetId="1" hidden="1">IBPFormattingSheet!$J$98</definedName>
    <definedName name="MemberFirstHeaderItem_21" localSheetId="1" hidden="1">IBPFormattingSheet!$J$101</definedName>
    <definedName name="MemberFirstHeaderItem_22" localSheetId="1" hidden="1">IBPFormattingSheet!$J$104</definedName>
    <definedName name="MemberFirstHeaderItem_23" localSheetId="1" hidden="1">IBPFormattingSheet!$J$107</definedName>
    <definedName name="MemberFirstHeaderItem_24" localSheetId="1" hidden="1">IBPFormattingSheet!$J$110</definedName>
    <definedName name="MemberFirstHeaderItem_25" localSheetId="1" hidden="1">IBPFormattingSheet!$J$113</definedName>
    <definedName name="MemberFirstHeaderItem_26" localSheetId="1" hidden="1">IBPFormattingSheet!$J$116</definedName>
    <definedName name="MemberFirstHeaderItem_27" localSheetId="1" hidden="1">IBPFormattingSheet!$J$119</definedName>
    <definedName name="MemberFirstHeaderItem_28" localSheetId="1" hidden="1">IBPFormattingSheet!$J$122</definedName>
    <definedName name="MemberFirstHeaderItem_29" localSheetId="1" hidden="1">IBPFormattingSheet!$J$125</definedName>
    <definedName name="MemberFirstHeaderItem_3" localSheetId="1" hidden="1">IBPFormattingSheet!$J$47</definedName>
    <definedName name="MemberFirstHeaderItem_30" localSheetId="1" hidden="1">IBPFormattingSheet!$J$128</definedName>
    <definedName name="MemberFirstHeaderItem_31" localSheetId="1" hidden="1">IBPFormattingSheet!$J$131</definedName>
    <definedName name="MemberFirstHeaderItem_32" localSheetId="1" hidden="1">IBPFormattingSheet!$J$134</definedName>
    <definedName name="MemberFirstHeaderItem_33" localSheetId="1" hidden="1">IBPFormattingSheet!$J$137</definedName>
    <definedName name="MemberFirstHeaderItem_34" localSheetId="1" hidden="1">IBPFormattingSheet!$J$140</definedName>
    <definedName name="MemberFirstHeaderItem_35" localSheetId="1" hidden="1">IBPFormattingSheet!$J$143</definedName>
    <definedName name="MemberFirstHeaderItem_36" localSheetId="1" hidden="1">IBPFormattingSheet!$J$146</definedName>
    <definedName name="MemberFirstHeaderItem_37" localSheetId="1" hidden="1">IBPFormattingSheet!$J$149</definedName>
    <definedName name="MemberFirstHeaderItem_38" localSheetId="1" hidden="1">IBPFormattingSheet!$J$152</definedName>
    <definedName name="MemberFirstHeaderItem_39" localSheetId="1" hidden="1">IBPFormattingSheet!$J$155</definedName>
    <definedName name="MemberFirstHeaderItem_4" localSheetId="1" hidden="1">IBPFormattingSheet!$J$50</definedName>
    <definedName name="MemberFirstHeaderItem_40" localSheetId="1" hidden="1">IBPFormattingSheet!$J$158</definedName>
    <definedName name="MemberFirstHeaderItem_41" localSheetId="1" hidden="1">IBPFormattingSheet!$J$161</definedName>
    <definedName name="MemberFirstHeaderItem_42" localSheetId="1" hidden="1">IBPFormattingSheet!$J$164</definedName>
    <definedName name="MemberFirstHeaderItem_43" localSheetId="1" hidden="1">IBPFormattingSheet!$J$167</definedName>
    <definedName name="MemberFirstHeaderItem_44" localSheetId="1" hidden="1">IBPFormattingSheet!$J$170</definedName>
    <definedName name="MemberFirstHeaderItem_45" localSheetId="1" hidden="1">IBPFormattingSheet!$J$173</definedName>
    <definedName name="MemberFirstHeaderItem_5" localSheetId="1" hidden="1">IBPFormattingSheet!$J$53</definedName>
    <definedName name="MemberFirstHeaderItem_6" localSheetId="1" hidden="1">IBPFormattingSheet!$J$56</definedName>
    <definedName name="MemberFirstHeaderItem_7" localSheetId="1" hidden="1">IBPFormattingSheet!$J$59</definedName>
    <definedName name="MemberFirstHeaderItem_8" localSheetId="1" hidden="1">IBPFormattingSheet!$J$62</definedName>
    <definedName name="MemberFirstHeaderItem_9" localSheetId="1" hidden="1">IBPFormattingSheet!$J$65</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10" localSheetId="1" hidden="1">IBPFormattingSheet!$L$68</definedName>
    <definedName name="MemberFirstHeaderUseItem_11" localSheetId="1" hidden="1">IBPFormattingSheet!$L$71</definedName>
    <definedName name="MemberFirstHeaderUseItem_12" localSheetId="1" hidden="1">IBPFormattingSheet!$L$74</definedName>
    <definedName name="MemberFirstHeaderUseItem_13" localSheetId="1" hidden="1">IBPFormattingSheet!$L$77</definedName>
    <definedName name="MemberFirstHeaderUseItem_14" localSheetId="1" hidden="1">IBPFormattingSheet!$L$80</definedName>
    <definedName name="MemberFirstHeaderUseItem_15" localSheetId="1" hidden="1">IBPFormattingSheet!$L$83</definedName>
    <definedName name="MemberFirstHeaderUseItem_16" localSheetId="1" hidden="1">IBPFormattingSheet!$L$86</definedName>
    <definedName name="MemberFirstHeaderUseItem_17" localSheetId="1" hidden="1">IBPFormattingSheet!$L$89</definedName>
    <definedName name="MemberFirstHeaderUseItem_18" localSheetId="1" hidden="1">IBPFormattingSheet!$L$92</definedName>
    <definedName name="MemberFirstHeaderUseItem_19" localSheetId="1" hidden="1">IBPFormattingSheet!$L$95</definedName>
    <definedName name="MemberFirstHeaderUseItem_2" localSheetId="1" hidden="1">IBPFormattingSheet!$L$44</definedName>
    <definedName name="MemberFirstHeaderUseItem_20" localSheetId="1" hidden="1">IBPFormattingSheet!$L$98</definedName>
    <definedName name="MemberFirstHeaderUseItem_21" localSheetId="1" hidden="1">IBPFormattingSheet!$L$101</definedName>
    <definedName name="MemberFirstHeaderUseItem_22" localSheetId="1" hidden="1">IBPFormattingSheet!$L$104</definedName>
    <definedName name="MemberFirstHeaderUseItem_23" localSheetId="1" hidden="1">IBPFormattingSheet!$L$107</definedName>
    <definedName name="MemberFirstHeaderUseItem_24" localSheetId="1" hidden="1">IBPFormattingSheet!$L$110</definedName>
    <definedName name="MemberFirstHeaderUseItem_25" localSheetId="1" hidden="1">IBPFormattingSheet!$L$113</definedName>
    <definedName name="MemberFirstHeaderUseItem_26" localSheetId="1" hidden="1">IBPFormattingSheet!$L$116</definedName>
    <definedName name="MemberFirstHeaderUseItem_27" localSheetId="1" hidden="1">IBPFormattingSheet!$L$119</definedName>
    <definedName name="MemberFirstHeaderUseItem_28" localSheetId="1" hidden="1">IBPFormattingSheet!$L$122</definedName>
    <definedName name="MemberFirstHeaderUseItem_29" localSheetId="1" hidden="1">IBPFormattingSheet!$L$125</definedName>
    <definedName name="MemberFirstHeaderUseItem_3" localSheetId="1" hidden="1">IBPFormattingSheet!$L$47</definedName>
    <definedName name="MemberFirstHeaderUseItem_30" localSheetId="1" hidden="1">IBPFormattingSheet!$L$128</definedName>
    <definedName name="MemberFirstHeaderUseItem_31" localSheetId="1" hidden="1">IBPFormattingSheet!$L$131</definedName>
    <definedName name="MemberFirstHeaderUseItem_32" localSheetId="1" hidden="1">IBPFormattingSheet!$L$134</definedName>
    <definedName name="MemberFirstHeaderUseItem_33" localSheetId="1" hidden="1">IBPFormattingSheet!$L$137</definedName>
    <definedName name="MemberFirstHeaderUseItem_34" localSheetId="1" hidden="1">IBPFormattingSheet!$L$140</definedName>
    <definedName name="MemberFirstHeaderUseItem_35" localSheetId="1" hidden="1">IBPFormattingSheet!$L$143</definedName>
    <definedName name="MemberFirstHeaderUseItem_36" localSheetId="1" hidden="1">IBPFormattingSheet!$L$146</definedName>
    <definedName name="MemberFirstHeaderUseItem_37" localSheetId="1" hidden="1">IBPFormattingSheet!$L$149</definedName>
    <definedName name="MemberFirstHeaderUseItem_38" localSheetId="1" hidden="1">IBPFormattingSheet!$L$152</definedName>
    <definedName name="MemberFirstHeaderUseItem_39" localSheetId="1" hidden="1">IBPFormattingSheet!$L$155</definedName>
    <definedName name="MemberFirstHeaderUseItem_4" localSheetId="1" hidden="1">IBPFormattingSheet!$L$50</definedName>
    <definedName name="MemberFirstHeaderUseItem_40" localSheetId="1" hidden="1">IBPFormattingSheet!$L$158</definedName>
    <definedName name="MemberFirstHeaderUseItem_41" localSheetId="1" hidden="1">IBPFormattingSheet!$L$161</definedName>
    <definedName name="MemberFirstHeaderUseItem_42" localSheetId="1" hidden="1">IBPFormattingSheet!$L$164</definedName>
    <definedName name="MemberFirstHeaderUseItem_43" localSheetId="1" hidden="1">IBPFormattingSheet!$L$167</definedName>
    <definedName name="MemberFirstHeaderUseItem_44" localSheetId="1" hidden="1">IBPFormattingSheet!$L$170</definedName>
    <definedName name="MemberFirstHeaderUseItem_45" localSheetId="1" hidden="1">IBPFormattingSheet!$L$173</definedName>
    <definedName name="MemberFirstHeaderUseItem_5" localSheetId="1" hidden="1">IBPFormattingSheet!$L$53</definedName>
    <definedName name="MemberFirstHeaderUseItem_6" localSheetId="1" hidden="1">IBPFormattingSheet!$L$56</definedName>
    <definedName name="MemberFirstHeaderUseItem_7" localSheetId="1" hidden="1">IBPFormattingSheet!$L$59</definedName>
    <definedName name="MemberFirstHeaderUseItem_8" localSheetId="1" hidden="1">IBPFormattingSheet!$L$62</definedName>
    <definedName name="MemberFirstHeaderUseItem_9" localSheetId="1" hidden="1">IBPFormattingSheet!$L$65</definedName>
    <definedName name="MemberFirstHeaderUseLocal" localSheetId="1" hidden="1">IBPFormattingSheet!$L$33</definedName>
    <definedName name="MemberSecondBlock" localSheetId="1" hidden="1">IBPFormattingSheet!$B$177:$B$215</definedName>
    <definedName name="MemberSecondDataCalculated" localSheetId="1" hidden="1">IBPFormattingSheet!$F$180</definedName>
    <definedName name="MemberSecondDataChanged" localSheetId="1" hidden="1">IBPFormattingSheet!$F$189</definedName>
    <definedName name="MemberSecondDataCustom" localSheetId="1" hidden="1">IBPFormattingSheet!#REF!</definedName>
    <definedName name="MemberSecondDataInputable" localSheetId="1" hidden="1">IBPFormattingSheet!$F$183</definedName>
    <definedName name="MemberSecondDataItem_1" localSheetId="1" hidden="1">IBPFormattingSheet!$F$194</definedName>
    <definedName name="MemberSecondDataItem_2" localSheetId="1" hidden="1">IBPFormattingSheet!$F$197</definedName>
    <definedName name="MemberSecondDataItem_3" localSheetId="1" hidden="1">IBPFormattingSheet!$F$200</definedName>
    <definedName name="MemberSecondDataItem_4" localSheetId="1" hidden="1">IBPFormattingSheet!$F$203</definedName>
    <definedName name="MemberSecondDataItem_5" localSheetId="1" hidden="1">IBPFormattingSheet!$F$206</definedName>
    <definedName name="MemberSecondDataItem_6" localSheetId="1" hidden="1">IBPFormattingSheet!$F$209</definedName>
    <definedName name="MemberSecondDataItem_7" localSheetId="1" hidden="1">IBPFormattingSheet!$F$212</definedName>
    <definedName name="MemberSecondDataLocal" localSheetId="1" hidden="1">IBPFormattingSheet!$F$186</definedName>
    <definedName name="MemberSecondDataUseCalculated" localSheetId="1" hidden="1">IBPFormattingSheet!$H$180</definedName>
    <definedName name="MemberSecondDataUseChanged" localSheetId="1" hidden="1">IBPFormattingSheet!$H$189</definedName>
    <definedName name="MemberSecondDataUseCustom" localSheetId="1" hidden="1">IBPFormattingSheet!#REF!</definedName>
    <definedName name="MemberSecondDataUseInputable" localSheetId="1" hidden="1">IBPFormattingSheet!$H$183</definedName>
    <definedName name="MemberSecondDataUseItem_1" localSheetId="1" hidden="1">IBPFormattingSheet!$H$194</definedName>
    <definedName name="MemberSecondDataUseItem_2" localSheetId="1" hidden="1">IBPFormattingSheet!$H$197</definedName>
    <definedName name="MemberSecondDataUseItem_3" localSheetId="1" hidden="1">IBPFormattingSheet!$H$200</definedName>
    <definedName name="MemberSecondDataUseItem_4" localSheetId="1" hidden="1">IBPFormattingSheet!$H$203</definedName>
    <definedName name="MemberSecondDataUseItem_5" localSheetId="1" hidden="1">IBPFormattingSheet!$H$206</definedName>
    <definedName name="MemberSecondDataUseItem_6" localSheetId="1" hidden="1">IBPFormattingSheet!$H$209</definedName>
    <definedName name="MemberSecondDataUseItem_7" localSheetId="1" hidden="1">IBPFormattingSheet!$H$212</definedName>
    <definedName name="MemberSecondDataUseLocal" localSheetId="1" hidden="1">IBPFormattingSheet!$H$186</definedName>
    <definedName name="MemberSecondHeaderCalculated" localSheetId="1" hidden="1">IBPFormattingSheet!$J$180</definedName>
    <definedName name="MemberSecondHeaderChanged" localSheetId="1" hidden="1">IBPFormattingSheet!$J$189</definedName>
    <definedName name="MemberSecondHeaderCustom" localSheetId="1" hidden="1">IBPFormattingSheet!#REF!</definedName>
    <definedName name="MemberSecondHeaderInputable" localSheetId="1" hidden="1">IBPFormattingSheet!$J$183</definedName>
    <definedName name="MemberSecondHeaderItem_1" localSheetId="1" hidden="1">IBPFormattingSheet!$J$194</definedName>
    <definedName name="MemberSecondHeaderItem_2" localSheetId="1" hidden="1">IBPFormattingSheet!$J$197</definedName>
    <definedName name="MemberSecondHeaderItem_3" localSheetId="1" hidden="1">IBPFormattingSheet!$J$200</definedName>
    <definedName name="MemberSecondHeaderItem_4" localSheetId="1" hidden="1">IBPFormattingSheet!$J$203</definedName>
    <definedName name="MemberSecondHeaderItem_5" localSheetId="1" hidden="1">IBPFormattingSheet!$J$206</definedName>
    <definedName name="MemberSecondHeaderItem_6" localSheetId="1" hidden="1">IBPFormattingSheet!$J$209</definedName>
    <definedName name="MemberSecondHeaderItem_7" localSheetId="1" hidden="1">IBPFormattingSheet!$J$212</definedName>
    <definedName name="MemberSecondHeaderLocal" localSheetId="1" hidden="1">IBPFormattingSheet!$J$186</definedName>
    <definedName name="MemberSecondHeaderUseCalculated" localSheetId="1" hidden="1">IBPFormattingSheet!$L$180</definedName>
    <definedName name="MemberSecondHeaderUseChanged" localSheetId="1" hidden="1">IBPFormattingSheet!$L$189</definedName>
    <definedName name="MemberSecondHeaderUseCustom" localSheetId="1" hidden="1">IBPFormattingSheet!#REF!</definedName>
    <definedName name="MemberSecondHeaderUseInputable" localSheetId="1" hidden="1">IBPFormattingSheet!$L$183</definedName>
    <definedName name="MemberSecondHeaderUseItem_1" localSheetId="1" hidden="1">IBPFormattingSheet!$L$194</definedName>
    <definedName name="MemberSecondHeaderUseItem_2" localSheetId="1" hidden="1">IBPFormattingSheet!$L$197</definedName>
    <definedName name="MemberSecondHeaderUseItem_3" localSheetId="1" hidden="1">IBPFormattingSheet!$L$200</definedName>
    <definedName name="MemberSecondHeaderUseItem_4" localSheetId="1" hidden="1">IBPFormattingSheet!$L$203</definedName>
    <definedName name="MemberSecondHeaderUseItem_5" localSheetId="1" hidden="1">IBPFormattingSheet!$L$206</definedName>
    <definedName name="MemberSecondHeaderUseItem_6" localSheetId="1" hidden="1">IBPFormattingSheet!$L$209</definedName>
    <definedName name="MemberSecondHeaderUseItem_7" localSheetId="1" hidden="1">IBPFormattingSheet!$L$212</definedName>
    <definedName name="MemberSecondHeaderUseLocal" localSheetId="1" hidden="1">IBPFormattingSheet!$L$186</definedName>
    <definedName name="OddDataFirst" localSheetId="1" hidden="1">IBPFormattingSheet!$F$223</definedName>
    <definedName name="OddDataSecond" localSheetId="1" hidden="1">IBPFormattingSheet!$F$231</definedName>
    <definedName name="OddDataUseFirst" localSheetId="1" hidden="1">IBPFormattingSheet!$H$223</definedName>
    <definedName name="OddDataUseSecond" localSheetId="1" hidden="1">IBPFormattingSheet!$H$231</definedName>
    <definedName name="OddEvenEndBlock" localSheetId="1" hidden="1">IBPFormattingSheet!$B$236</definedName>
    <definedName name="OddEvenFirstBlock" localSheetId="1" hidden="1">IBPFormattingSheet!$B$220:$B$227</definedName>
    <definedName name="OddEvenSecondBlock" localSheetId="1" hidden="1">IBPFormattingSheet!$B$228:$B$235</definedName>
    <definedName name="OddHeaderFirst" localSheetId="1" hidden="1">IBPFormattingSheet!$J$223</definedName>
    <definedName name="OddHeaderSecond" localSheetId="1" hidden="1">IBPFormattingSheet!$J$231</definedName>
    <definedName name="OddHeaderUseFirst" localSheetId="1" hidden="1">IBPFormattingSheet!$L$223</definedName>
    <definedName name="OddHeaderUseSecond" localSheetId="1" hidden="1">IBPFormattingSheet!$L$231</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 localSheetId="1">"PD6"</definedName>
    <definedName name="SOP_Connection_Name">"Demand Planning"</definedName>
    <definedName name="SOP_Favorite_Name">" "</definedName>
    <definedName name="SOP_Filter" localSheetId="2">{"Market Segment = G610_01_01","Product ID = 168846; 168847; 168848; 179649; 179650","Location ID = 6125; 6103; 6105; 6104; 6110; 6120; 6123; 6130; 6134"}</definedName>
    <definedName name="SOP_Filter" localSheetId="1">{" "}</definedName>
    <definedName name="SOP_Filter">{" "}</definedName>
    <definedName name="SOP_Filter_Criteria_Count" localSheetId="2">3</definedName>
    <definedName name="SOP_Filter_Name" localSheetId="2">"(Ad Hoc Filter)"</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"Location"</definedName>
    <definedName name="SOP_Heading3" localSheetId="2">"Location ID"</definedName>
    <definedName name="SOP_Heading4" localSheetId="2">"Product ID"</definedName>
    <definedName name="SOP_Heading5" localSheetId="2">"Product Desc"</definedName>
    <definedName name="SOP_Heading6" localSheetId="2">" "</definedName>
    <definedName name="SOP_Heading7" localSheetId="2">" "</definedName>
    <definedName name="SOP_Heading8" localSheetId="2">" "</definedName>
    <definedName name="SOP_Heading9" localSheetId="2">" "</definedName>
    <definedName name="SOP_Planning_Area" localSheetId="1">"SAP6PFT"</definedName>
    <definedName name="SOP_Planning_Area">"GFIBPPRD01"</definedName>
    <definedName name="SOP_Planning_Scope" localSheetId="1">" "</definedName>
    <definedName name="SOP_Planning_Scope">" "</definedName>
    <definedName name="SOP_Planning_Scope_v2">" "</definedName>
    <definedName name="SOP_Refresh_Timestamp" localSheetId="1">43129.8290046296</definedName>
    <definedName name="SOP_Refresh_Timestamp">45810.394537037</definedName>
    <definedName name="SOP_TargetCurrency" localSheetId="2">"AUD"</definedName>
    <definedName name="SOP_TargetUoM" localSheetId="2">"ZSF"</definedName>
    <definedName name="SOP_Template_Name">"DP130 Demand Planning_G610_RET"</definedName>
    <definedName name="SOP_Value_Based_Filter" localSheetId="2">{" "}</definedName>
    <definedName name="SOP_Value_Based_Filter_Name" localSheetId="2">"(None)"</definedName>
    <definedName name="SOP_WB_Filter">{" "}</definedName>
    <definedName name="SOP_WB_Filter_Criteria_Count">0</definedName>
    <definedName name="SOP_WB_Filter_Name">"(None)"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5" l="1"/>
  <c r="F6" i="5"/>
  <c r="I7" i="5"/>
  <c r="G9" i="5"/>
  <c r="J10" i="5"/>
  <c r="H12" i="5"/>
  <c r="F14" i="5"/>
  <c r="I15" i="5"/>
  <c r="G17" i="5"/>
  <c r="J18" i="5"/>
  <c r="H20" i="5"/>
  <c r="G6" i="5"/>
  <c r="J7" i="5"/>
  <c r="H9" i="5"/>
  <c r="F11" i="5"/>
  <c r="I12" i="5"/>
  <c r="G14" i="5"/>
  <c r="J15" i="5"/>
  <c r="H17" i="5"/>
  <c r="F19" i="5"/>
  <c r="I20" i="5"/>
  <c r="G22" i="5"/>
  <c r="J23" i="5"/>
  <c r="H25" i="5"/>
  <c r="F27" i="5"/>
  <c r="I28" i="5"/>
  <c r="G30" i="5"/>
  <c r="J31" i="5"/>
  <c r="H33" i="5"/>
  <c r="F35" i="5"/>
  <c r="I36" i="5"/>
  <c r="G38" i="5"/>
  <c r="J47" i="5"/>
  <c r="H6" i="5"/>
  <c r="F8" i="5"/>
  <c r="I9" i="5"/>
  <c r="G11" i="5"/>
  <c r="J12" i="5"/>
  <c r="H14" i="5"/>
  <c r="F16" i="5"/>
  <c r="I17" i="5"/>
  <c r="G19" i="5"/>
  <c r="J20" i="5"/>
  <c r="H22" i="5"/>
  <c r="F24" i="5"/>
  <c r="I25" i="5"/>
  <c r="G27" i="5"/>
  <c r="J28" i="5"/>
  <c r="H30" i="5"/>
  <c r="F32" i="5"/>
  <c r="I33" i="5"/>
  <c r="G35" i="5"/>
  <c r="J36" i="5"/>
  <c r="H38" i="5"/>
  <c r="F40" i="5"/>
  <c r="I41" i="5"/>
  <c r="G43" i="5"/>
  <c r="J44" i="5"/>
  <c r="H46" i="5"/>
  <c r="F48" i="5"/>
  <c r="I49" i="5"/>
  <c r="F21" i="5"/>
  <c r="G24" i="5"/>
  <c r="F29" i="5"/>
  <c r="I30" i="5"/>
  <c r="H35" i="5"/>
  <c r="I38" i="5"/>
  <c r="G40" i="5"/>
  <c r="F45" i="5"/>
  <c r="F44" i="5"/>
  <c r="J48" i="5"/>
  <c r="G25" i="5"/>
  <c r="I31" i="5"/>
  <c r="F38" i="5"/>
  <c r="J42" i="5"/>
  <c r="F46" i="5"/>
  <c r="H41" i="5"/>
  <c r="H49" i="5"/>
  <c r="I6" i="5"/>
  <c r="G8" i="5"/>
  <c r="J9" i="5"/>
  <c r="H11" i="5"/>
  <c r="F13" i="5"/>
  <c r="I14" i="5"/>
  <c r="G16" i="5"/>
  <c r="J17" i="5"/>
  <c r="H19" i="5"/>
  <c r="I22" i="5"/>
  <c r="J25" i="5"/>
  <c r="H27" i="5"/>
  <c r="G32" i="5"/>
  <c r="J33" i="5"/>
  <c r="F37" i="5"/>
  <c r="J41" i="5"/>
  <c r="H43" i="5"/>
  <c r="I46" i="5"/>
  <c r="G48" i="5"/>
  <c r="J49" i="5"/>
  <c r="G50" i="5"/>
  <c r="I45" i="5"/>
  <c r="H50" i="5"/>
  <c r="H28" i="5"/>
  <c r="H44" i="5"/>
  <c r="G49" i="5"/>
  <c r="F43" i="5"/>
  <c r="J6" i="5"/>
  <c r="H8" i="5"/>
  <c r="F10" i="5"/>
  <c r="I11" i="5"/>
  <c r="G13" i="5"/>
  <c r="J14" i="5"/>
  <c r="H16" i="5"/>
  <c r="F18" i="5"/>
  <c r="I19" i="5"/>
  <c r="G21" i="5"/>
  <c r="J22" i="5"/>
  <c r="H24" i="5"/>
  <c r="F26" i="5"/>
  <c r="I27" i="5"/>
  <c r="G29" i="5"/>
  <c r="J30" i="5"/>
  <c r="H32" i="5"/>
  <c r="F34" i="5"/>
  <c r="I35" i="5"/>
  <c r="G37" i="5"/>
  <c r="J38" i="5"/>
  <c r="H40" i="5"/>
  <c r="F42" i="5"/>
  <c r="I43" i="5"/>
  <c r="G45" i="5"/>
  <c r="J46" i="5"/>
  <c r="H48" i="5"/>
  <c r="F50" i="5"/>
  <c r="J35" i="5"/>
  <c r="F39" i="5"/>
  <c r="G42" i="5"/>
  <c r="F47" i="5"/>
  <c r="F7" i="5"/>
  <c r="I8" i="5"/>
  <c r="G10" i="5"/>
  <c r="J11" i="5"/>
  <c r="H13" i="5"/>
  <c r="F15" i="5"/>
  <c r="I16" i="5"/>
  <c r="G18" i="5"/>
  <c r="J19" i="5"/>
  <c r="H21" i="5"/>
  <c r="F23" i="5"/>
  <c r="I24" i="5"/>
  <c r="G26" i="5"/>
  <c r="J27" i="5"/>
  <c r="H29" i="5"/>
  <c r="F31" i="5"/>
  <c r="I32" i="5"/>
  <c r="G34" i="5"/>
  <c r="H37" i="5"/>
  <c r="I40" i="5"/>
  <c r="J43" i="5"/>
  <c r="H45" i="5"/>
  <c r="I48" i="5"/>
  <c r="G47" i="5"/>
  <c r="I23" i="5"/>
  <c r="F30" i="5"/>
  <c r="J34" i="5"/>
  <c r="I39" i="5"/>
  <c r="I47" i="5"/>
  <c r="J39" i="5"/>
  <c r="G46" i="5"/>
  <c r="G7" i="5"/>
  <c r="J8" i="5"/>
  <c r="H10" i="5"/>
  <c r="F12" i="5"/>
  <c r="I13" i="5"/>
  <c r="G15" i="5"/>
  <c r="J16" i="5"/>
  <c r="H18" i="5"/>
  <c r="F20" i="5"/>
  <c r="I21" i="5"/>
  <c r="G23" i="5"/>
  <c r="J24" i="5"/>
  <c r="H26" i="5"/>
  <c r="F28" i="5"/>
  <c r="I29" i="5"/>
  <c r="G31" i="5"/>
  <c r="J32" i="5"/>
  <c r="H34" i="5"/>
  <c r="F36" i="5"/>
  <c r="I37" i="5"/>
  <c r="G39" i="5"/>
  <c r="J40" i="5"/>
  <c r="H42" i="5"/>
  <c r="H7" i="5"/>
  <c r="F9" i="5"/>
  <c r="I10" i="5"/>
  <c r="G12" i="5"/>
  <c r="J13" i="5"/>
  <c r="H15" i="5"/>
  <c r="F17" i="5"/>
  <c r="I18" i="5"/>
  <c r="G20" i="5"/>
  <c r="J21" i="5"/>
  <c r="H23" i="5"/>
  <c r="F25" i="5"/>
  <c r="I26" i="5"/>
  <c r="G28" i="5"/>
  <c r="J29" i="5"/>
  <c r="H31" i="5"/>
  <c r="F33" i="5"/>
  <c r="I34" i="5"/>
  <c r="G36" i="5"/>
  <c r="J37" i="5"/>
  <c r="H39" i="5"/>
  <c r="F41" i="5"/>
  <c r="I42" i="5"/>
  <c r="G44" i="5"/>
  <c r="J45" i="5"/>
  <c r="H47" i="5"/>
  <c r="F49" i="5"/>
  <c r="I50" i="5"/>
  <c r="F22" i="5"/>
  <c r="J26" i="5"/>
  <c r="G33" i="5"/>
  <c r="H36" i="5"/>
  <c r="G41" i="5"/>
  <c r="J50" i="5"/>
  <c r="I44" i="5"/>
  <c r="BS5" i="5"/>
  <c r="GI5" i="5"/>
  <c r="AF5" i="5"/>
  <c r="BT5" i="5"/>
  <c r="CC5" i="5"/>
  <c r="EO5" i="5"/>
  <c r="EX5" i="5"/>
  <c r="GD5" i="5"/>
  <c r="HB5" i="5"/>
  <c r="AA5" i="5"/>
  <c r="BG5" i="5"/>
  <c r="CU5" i="5"/>
  <c r="EI5" i="5"/>
  <c r="HC5" i="5"/>
  <c r="CB5" i="5"/>
  <c r="Y5" i="5"/>
  <c r="BM5" i="5"/>
  <c r="CS5" i="5"/>
  <c r="Z5" i="5"/>
  <c r="BF5" i="5"/>
  <c r="GL5" i="5"/>
  <c r="BW5" i="5"/>
  <c r="DK5" i="5"/>
  <c r="EA5" i="5"/>
  <c r="AG5" i="5"/>
  <c r="BU5" i="5"/>
  <c r="DI5" i="5"/>
  <c r="R5" i="5"/>
  <c r="AX5" i="5"/>
  <c r="BV5" i="5"/>
  <c r="FV5" i="5"/>
  <c r="AI5" i="5"/>
  <c r="EY5" i="5"/>
  <c r="FW5" i="5"/>
  <c r="CM5" i="5"/>
  <c r="DS5" i="5"/>
  <c r="K5" i="5"/>
  <c r="AQ5" i="5"/>
  <c r="BO5" i="5"/>
  <c r="EQ5" i="5"/>
  <c r="FO5" i="5"/>
  <c r="GU5" i="5"/>
  <c r="L5" i="5"/>
  <c r="T5" i="5"/>
  <c r="AB5" i="5"/>
  <c r="AJ5" i="5"/>
  <c r="AR5" i="5"/>
  <c r="AZ5" i="5"/>
  <c r="BH5" i="5"/>
  <c r="BP5" i="5"/>
  <c r="BX5" i="5"/>
  <c r="CF5" i="5"/>
  <c r="CN5" i="5"/>
  <c r="CV5" i="5"/>
  <c r="DD5" i="5"/>
  <c r="DL5" i="5"/>
  <c r="DT5" i="5"/>
  <c r="EB5" i="5"/>
  <c r="EJ5" i="5"/>
  <c r="ER5" i="5"/>
  <c r="EZ5" i="5"/>
  <c r="FH5" i="5"/>
  <c r="FP5" i="5"/>
  <c r="FX5" i="5"/>
  <c r="GF5" i="5"/>
  <c r="GN5" i="5"/>
  <c r="GV5" i="5"/>
  <c r="HD5" i="5"/>
  <c r="M5" i="5"/>
  <c r="U5" i="5"/>
  <c r="AC5" i="5"/>
  <c r="AK5" i="5"/>
  <c r="AS5" i="5"/>
  <c r="BA5" i="5"/>
  <c r="BI5" i="5"/>
  <c r="BQ5" i="5"/>
  <c r="CG5" i="5"/>
  <c r="CO5" i="5"/>
  <c r="CW5" i="5"/>
  <c r="DE5" i="5"/>
  <c r="DM5" i="5"/>
  <c r="DU5" i="5"/>
  <c r="EC5" i="5"/>
  <c r="EK5" i="5"/>
  <c r="ES5" i="5"/>
  <c r="FA5" i="5"/>
  <c r="FI5" i="5"/>
  <c r="FQ5" i="5"/>
  <c r="GG5" i="5"/>
  <c r="GO5" i="5"/>
  <c r="HE5" i="5"/>
  <c r="P5" i="5"/>
  <c r="AV5" i="5"/>
  <c r="CJ5" i="5"/>
  <c r="CZ5" i="5"/>
  <c r="DX5" i="5"/>
  <c r="EV5" i="5"/>
  <c r="GB5" i="5"/>
  <c r="GZ5" i="5"/>
  <c r="AW5" i="5"/>
  <c r="DQ5" i="5"/>
  <c r="EW5" i="5"/>
  <c r="FU5" i="5"/>
  <c r="GC5" i="5"/>
  <c r="GK5" i="5"/>
  <c r="CD5" i="5"/>
  <c r="CT5" i="5"/>
  <c r="DJ5" i="5"/>
  <c r="DZ5" i="5"/>
  <c r="EP5" i="5"/>
  <c r="FN5" i="5"/>
  <c r="S5" i="5"/>
  <c r="AY5" i="5"/>
  <c r="CE5" i="5"/>
  <c r="FG5" i="5"/>
  <c r="GM5" i="5"/>
  <c r="BY5" i="5"/>
  <c r="FY5" i="5"/>
  <c r="GW5" i="5"/>
  <c r="X5" i="5"/>
  <c r="BD5" i="5"/>
  <c r="CR5" i="5"/>
  <c r="DP5" i="5"/>
  <c r="EN5" i="5"/>
  <c r="FD5" i="5"/>
  <c r="FT5" i="5"/>
  <c r="GR5" i="5"/>
  <c r="Q5" i="5"/>
  <c r="AO5" i="5"/>
  <c r="CK5" i="5"/>
  <c r="DA5" i="5"/>
  <c r="EG5" i="5"/>
  <c r="FE5" i="5"/>
  <c r="HA5" i="5"/>
  <c r="AH5" i="5"/>
  <c r="AP5" i="5"/>
  <c r="BN5" i="5"/>
  <c r="CL5" i="5"/>
  <c r="DB5" i="5"/>
  <c r="DR5" i="5"/>
  <c r="EH5" i="5"/>
  <c r="FF5" i="5"/>
  <c r="GT5" i="5"/>
  <c r="DC5" i="5"/>
  <c r="GE5" i="5"/>
  <c r="N5" i="5"/>
  <c r="V5" i="5"/>
  <c r="AD5" i="5"/>
  <c r="AL5" i="5"/>
  <c r="AT5" i="5"/>
  <c r="BB5" i="5"/>
  <c r="BJ5" i="5"/>
  <c r="BR5" i="5"/>
  <c r="BZ5" i="5"/>
  <c r="CH5" i="5"/>
  <c r="CP5" i="5"/>
  <c r="CX5" i="5"/>
  <c r="DF5" i="5"/>
  <c r="DN5" i="5"/>
  <c r="DV5" i="5"/>
  <c r="ED5" i="5"/>
  <c r="EL5" i="5"/>
  <c r="ET5" i="5"/>
  <c r="FB5" i="5"/>
  <c r="FJ5" i="5"/>
  <c r="FR5" i="5"/>
  <c r="FZ5" i="5"/>
  <c r="GH5" i="5"/>
  <c r="GP5" i="5"/>
  <c r="GX5" i="5"/>
  <c r="HF5" i="5"/>
  <c r="O5" i="5"/>
  <c r="W5" i="5"/>
  <c r="AE5" i="5"/>
  <c r="AM5" i="5"/>
  <c r="AU5" i="5"/>
  <c r="BC5" i="5"/>
  <c r="BK5" i="5"/>
  <c r="CA5" i="5"/>
  <c r="CI5" i="5"/>
  <c r="CQ5" i="5"/>
  <c r="CY5" i="5"/>
  <c r="DG5" i="5"/>
  <c r="DO5" i="5"/>
  <c r="DW5" i="5"/>
  <c r="EE5" i="5"/>
  <c r="EM5" i="5"/>
  <c r="EU5" i="5"/>
  <c r="FC5" i="5"/>
  <c r="FK5" i="5"/>
  <c r="FS5" i="5"/>
  <c r="GA5" i="5"/>
  <c r="GQ5" i="5"/>
  <c r="GY5" i="5"/>
  <c r="AN5" i="5"/>
  <c r="BL5" i="5"/>
  <c r="DH5" i="5"/>
  <c r="EF5" i="5"/>
  <c r="FL5" i="5"/>
  <c r="GJ5" i="5"/>
  <c r="BE5" i="5"/>
  <c r="DY5" i="5"/>
  <c r="FM5" i="5"/>
  <c r="GS5" i="5"/>
  <c r="K3" i="5" l="1"/>
  <c r="J3" i="5"/>
  <c r="J2" i="5"/>
  <c r="K1" i="5"/>
  <c r="A5" i="5"/>
  <c r="B5" i="5"/>
  <c r="C5" i="5"/>
  <c r="D5" i="5"/>
  <c r="E5" i="5"/>
  <c r="F5" i="5"/>
  <c r="G5" i="5"/>
  <c r="H5" i="5"/>
  <c r="I5" i="5"/>
  <c r="J5" i="5"/>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Bradley Crockart</author>
  </authors>
  <commentList>
    <comment ref="D41" authorId="0" shapeId="0" xr:uid="{5BA5FFD2-6DE5-472C-938D-2F2A8A1168C3}">
      <text>
        <r>
          <rPr>
            <b/>
            <sz val="9"/>
            <color indexed="81"/>
            <rFont val="Tahoma"/>
            <family val="2"/>
          </rPr>
          <t>Property#KEY_FIGURES#EDITABLE#Equals#ALL</t>
        </r>
      </text>
    </comment>
    <comment ref="D44" authorId="0" shapeId="0" xr:uid="{28F16C0D-06E2-4A65-92F7-57568462E38A}">
      <text>
        <r>
          <rPr>
            <b/>
            <sz val="9"/>
            <color indexed="81"/>
            <rFont val="Tahoma"/>
            <family val="2"/>
          </rPr>
          <t>(Property#KEY_FIGURES#EDITABLE#Equals#FUTURE)&amp;&amp;(Property#PERIODID0#PASTCURRENTFUTURE#Equals#C)</t>
        </r>
      </text>
    </comment>
    <comment ref="D47" authorId="0" shapeId="0" xr:uid="{2E159C22-6D43-4DA0-A649-382F35D3CF46}">
      <text>
        <r>
          <rPr>
            <b/>
            <sz val="9"/>
            <color indexed="81"/>
            <rFont val="Tahoma"/>
            <family val="2"/>
          </rPr>
          <t>(Property#KEY_FIGURES#EDITABLE#Equals#FUTURE)&amp;&amp;(Property#PERIODID#PASTCURRENTFUTURE#Equals#C)</t>
        </r>
      </text>
    </comment>
    <comment ref="D50" authorId="0" shapeId="0" xr:uid="{959D8259-FEEC-4A10-84F4-9E1C2C0580F0}">
      <text>
        <r>
          <rPr>
            <b/>
            <sz val="9"/>
            <color indexed="81"/>
            <rFont val="Tahoma"/>
            <family val="2"/>
          </rPr>
          <t>(Property#KEY_FIGURES#EDITABLE#Equals#FUTURE)&amp;&amp;(Property#PERIODID1#PASTCURRENTFUTURE#Equals#CF)</t>
        </r>
      </text>
    </comment>
    <comment ref="D53" authorId="0" shapeId="0" xr:uid="{1ADF7D70-E129-442F-A520-E037A7FA342C}">
      <text>
        <r>
          <rPr>
            <b/>
            <sz val="9"/>
            <color indexed="81"/>
            <rFont val="Tahoma"/>
            <family val="2"/>
          </rPr>
          <t>(Property#KEY_FIGURES#EDITABLE#Equals#FUTURE)&amp;&amp;(Property#PERIODID2#PASTCURRENTFUTURE#Equals#CF)</t>
        </r>
      </text>
    </comment>
    <comment ref="D56" authorId="0" shapeId="0" xr:uid="{8AC487D5-0718-40C1-852F-4462EBE359B0}">
      <text>
        <r>
          <rPr>
            <b/>
            <sz val="9"/>
            <color indexed="81"/>
            <rFont val="Tahoma"/>
            <family val="2"/>
          </rPr>
          <t>(Property#KEY_FIGURES#EDITABLE#Equals#FUTURE)&amp;&amp;(Property#PERIODID3#PASTCURRENTFUTURE#Equals#CF)</t>
        </r>
      </text>
    </comment>
    <comment ref="D59" authorId="0" shapeId="0" xr:uid="{E77EFE00-5D05-4023-A805-3CEE489E1F3C}">
      <text>
        <r>
          <rPr>
            <b/>
            <sz val="9"/>
            <color indexed="81"/>
            <rFont val="Tahoma"/>
            <family val="2"/>
          </rPr>
          <t>(Property#KEY_FIGURES#EDITABLE#Equals#FUTURE)&amp;&amp;(Property#PERIODID4#PASTCURRENTFUTURE#Equals#CF)</t>
        </r>
      </text>
    </comment>
    <comment ref="D62" authorId="0" shapeId="0" xr:uid="{58B8E27F-BBFD-4411-8734-B25107242FE7}">
      <text>
        <r>
          <rPr>
            <b/>
            <sz val="9"/>
            <color indexed="81"/>
            <rFont val="Tahoma"/>
            <family val="2"/>
          </rPr>
          <t>(Property#KEY_FIGURES#EDITABLE#Equals#FUTURE)&amp;&amp;(Property#PERIODID5#PASTCURRENTFUTURE#Equals#CF)</t>
        </r>
      </text>
    </comment>
    <comment ref="D65" authorId="0" shapeId="0" xr:uid="{1B737793-4170-4BDA-8ACF-053D38E41604}">
      <text>
        <r>
          <rPr>
            <b/>
            <sz val="9"/>
            <color indexed="81"/>
            <rFont val="Tahoma"/>
            <family val="2"/>
          </rPr>
          <t>(Property#KEY_FIGURES#EDITABLE#Equals#FUTURE)&amp;&amp;(Property#PERIODID#PASTCURRENTFUTURE#Equals#CF)</t>
        </r>
      </text>
    </comment>
    <comment ref="D68" authorId="0" shapeId="0" xr:uid="{4589FDB9-19B5-4611-9188-EC27B5F477CB}">
      <text>
        <r>
          <rPr>
            <b/>
            <sz val="9"/>
            <color indexed="81"/>
            <rFont val="Tahoma"/>
            <family val="2"/>
          </rPr>
          <t>(Property#KEY_FIGURES#EDITABLE#Equals#FUTURE)&amp;&amp;(Property#PERIODID0#PASTCURRENTFUTURE#Equals#F)</t>
        </r>
      </text>
    </comment>
    <comment ref="D71" authorId="0" shapeId="0" xr:uid="{DA5A185C-D87F-4AB2-B986-8377B6713403}">
      <text>
        <r>
          <rPr>
            <b/>
            <sz val="9"/>
            <color indexed="81"/>
            <rFont val="Tahoma"/>
            <family val="2"/>
          </rPr>
          <t>(Property#KEY_FIGURES#EDITABLE#Equals#FUTURE)&amp;&amp;(Property#PERIODID1#PASTCURRENTFUTURE#Equals#F)</t>
        </r>
      </text>
    </comment>
    <comment ref="D74" authorId="0" shapeId="0" xr:uid="{4B4D9F73-0723-40FB-863D-5EA4E2960CB9}">
      <text>
        <r>
          <rPr>
            <b/>
            <sz val="9"/>
            <color indexed="81"/>
            <rFont val="Tahoma"/>
            <family val="2"/>
          </rPr>
          <t>(Property#KEY_FIGURES#EDITABLE#Equals#FUTURE)&amp;&amp;(Property#PERIODID2#PASTCURRENTFUTURE#Equals#F)</t>
        </r>
      </text>
    </comment>
    <comment ref="D77" authorId="0" shapeId="0" xr:uid="{EA75A812-828B-448D-BB96-8B7EDB1845CF}">
      <text>
        <r>
          <rPr>
            <b/>
            <sz val="9"/>
            <color indexed="81"/>
            <rFont val="Tahoma"/>
            <family val="2"/>
          </rPr>
          <t>(Property#KEY_FIGURES#EDITABLE#Equals#FUTURE)&amp;&amp;(Property#PERIODID3#PASTCURRENTFUTURE#Equals#F)</t>
        </r>
      </text>
    </comment>
    <comment ref="D80" authorId="0" shapeId="0" xr:uid="{F4579930-8CC6-4830-883C-65894DCF5C40}">
      <text>
        <r>
          <rPr>
            <b/>
            <sz val="9"/>
            <color indexed="81"/>
            <rFont val="Tahoma"/>
            <family val="2"/>
          </rPr>
          <t>(Property#KEY_FIGURES#EDITABLE#Equals#FUTURE)&amp;&amp;(Property#PERIODID4#PASTCURRENTFUTURE#Equals#F)</t>
        </r>
      </text>
    </comment>
    <comment ref="D83" authorId="0" shapeId="0" xr:uid="{1686421B-F2B6-4536-99D0-A75F166EEBE3}">
      <text>
        <r>
          <rPr>
            <b/>
            <sz val="9"/>
            <color indexed="81"/>
            <rFont val="Tahoma"/>
            <family val="2"/>
          </rPr>
          <t>(Property#KEY_FIGURES#EDITABLE#Equals#FUTURE)&amp;&amp;(Property#PERIODID5#PASTCURRENTFUTURE#Equals#F)</t>
        </r>
      </text>
    </comment>
    <comment ref="D86" authorId="0" shapeId="0" xr:uid="{E0F98272-BDA7-4F30-A3BA-40D00C1CA530}">
      <text>
        <r>
          <rPr>
            <b/>
            <sz val="9"/>
            <color indexed="81"/>
            <rFont val="Tahoma"/>
            <family val="2"/>
          </rPr>
          <t>(Property#KEY_FIGURES#EDITABLE#Equals#FUTURE)&amp;&amp;(Property#PERIODID#PASTCURRENTFUTURE#Equals#F)</t>
        </r>
      </text>
    </comment>
    <comment ref="D89" authorId="0" shapeId="0" xr:uid="{7013F124-1D2C-4B85-961A-C659C49FE585}">
      <text>
        <r>
          <rPr>
            <b/>
            <sz val="9"/>
            <color indexed="81"/>
            <rFont val="Tahoma"/>
            <family val="2"/>
          </rPr>
          <t>(Property#KEY_FIGURES#EDITABLE#Equals#PAST)&amp;&amp;(Property#PERIODID0#PASTCURRENTFUTURE#Equals#P)</t>
        </r>
      </text>
    </comment>
    <comment ref="D92" authorId="0" shapeId="0" xr:uid="{5B894F04-128A-41E5-BC94-819BC7B3623D}">
      <text>
        <r>
          <rPr>
            <b/>
            <sz val="9"/>
            <color indexed="81"/>
            <rFont val="Tahoma"/>
            <family val="2"/>
          </rPr>
          <t>(Property#KEY_FIGURES#EDITABLE#Equals#PAST)&amp;&amp;(Property#PERIODID1#PASTCURRENTFUTURE#Equals#P)</t>
        </r>
      </text>
    </comment>
    <comment ref="D95" authorId="0" shapeId="0" xr:uid="{A04485FB-E33C-4D73-8ADE-89EA11E8A783}">
      <text>
        <r>
          <rPr>
            <b/>
            <sz val="9"/>
            <color indexed="81"/>
            <rFont val="Tahoma"/>
            <family val="2"/>
          </rPr>
          <t>(Property#KEY_FIGURES#EDITABLE#Equals#PAST)&amp;&amp;(Property#PERIODID2#PASTCURRENTFUTURE#Equals#P)</t>
        </r>
      </text>
    </comment>
    <comment ref="D98" authorId="0" shapeId="0" xr:uid="{7FBFC5FB-56D2-438A-89E1-355F3080AA23}">
      <text>
        <r>
          <rPr>
            <b/>
            <sz val="9"/>
            <color indexed="81"/>
            <rFont val="Tahoma"/>
            <family val="2"/>
          </rPr>
          <t>(Property#KEY_FIGURES#EDITABLE#Equals#PAST)&amp;&amp;(Property#PERIODID3#PASTCURRENTFUTURE#Equals#P)</t>
        </r>
      </text>
    </comment>
    <comment ref="D101" authorId="0" shapeId="0" xr:uid="{316275E3-9A24-4E7F-93F0-BEDBAD433B3C}">
      <text>
        <r>
          <rPr>
            <b/>
            <sz val="9"/>
            <color indexed="81"/>
            <rFont val="Tahoma"/>
            <family val="2"/>
          </rPr>
          <t>(Property#KEY_FIGURES#EDITABLE#Equals#PAST)&amp;&amp;(Property#PERIODID4#PASTCURRENTFUTURE#Equals#P)</t>
        </r>
      </text>
    </comment>
    <comment ref="D104" authorId="0" shapeId="0" xr:uid="{A4951707-1311-43FA-A626-CC3EE3E1A07E}">
      <text>
        <r>
          <rPr>
            <b/>
            <sz val="9"/>
            <color indexed="81"/>
            <rFont val="Tahoma"/>
            <family val="2"/>
          </rPr>
          <t>(Property#KEY_FIGURES#EDITABLE#Equals#PAST)&amp;&amp;(Property#PERIODID5#PASTCURRENTFUTURE#Equals#P)</t>
        </r>
      </text>
    </comment>
    <comment ref="D107" authorId="0" shapeId="0" xr:uid="{4213F222-35AC-483D-8D00-3A5802737941}">
      <text>
        <r>
          <rPr>
            <b/>
            <sz val="9"/>
            <color indexed="81"/>
            <rFont val="Tahoma"/>
            <family val="2"/>
          </rPr>
          <t>(Property#KEY_FIGURES#EDITABLE#Equals#PAST)&amp;&amp;(Property#PERIODID#PASTCURRENTFUTURE#Equals#P)</t>
        </r>
      </text>
    </comment>
    <comment ref="D110" authorId="0" shapeId="0" xr:uid="{7250E053-97A5-4B72-AF35-989945CF5B7A}">
      <text>
        <r>
          <rPr>
            <b/>
            <sz val="9"/>
            <color indexed="81"/>
            <rFont val="Tahoma"/>
            <family val="2"/>
          </rPr>
          <t>TotalMember</t>
        </r>
      </text>
    </comment>
    <comment ref="D113" authorId="0" shapeId="0" xr:uid="{535AA81F-FB38-4BB7-81CB-7A177CF62639}">
      <text>
        <r>
          <rPr>
            <b/>
            <sz val="9"/>
            <color indexed="81"/>
            <rFont val="Tahoma"/>
            <family val="2"/>
          </rPr>
          <t>Property#KEY_FIGURES#FIXING#Equals#Y</t>
        </r>
      </text>
    </comment>
    <comment ref="D116" authorId="0" shapeId="0" xr:uid="{4E397774-8269-40DC-9717-8DBF9C4358E5}">
      <text>
        <r>
          <rPr>
            <b/>
            <sz val="9"/>
            <color indexed="81"/>
            <rFont val="Tahoma"/>
            <family val="2"/>
          </rPr>
          <t>Members#[KEY_FIGURES].[].[ZGFRETURNSPCT]</t>
        </r>
      </text>
    </comment>
    <comment ref="D119" authorId="0" shapeId="0" xr:uid="{979A9281-E63A-408C-9DF6-37FFB36F414C}">
      <text>
        <r>
          <rPr>
            <b/>
            <sz val="9"/>
            <color indexed="81"/>
            <rFont val="Tahoma"/>
            <family val="2"/>
          </rPr>
          <t>Members#[KEY_FIGURES].[].[ZGFINVQTY]</t>
        </r>
      </text>
    </comment>
    <comment ref="D122" authorId="0" shapeId="0" xr:uid="{3557E774-C8CB-4EAC-B277-A8DC5F9EF6D5}">
      <text>
        <r>
          <rPr>
            <b/>
            <sz val="9"/>
            <color indexed="81"/>
            <rFont val="Tahoma"/>
            <family val="2"/>
          </rPr>
          <t>Members#[KEY_FIGURES].[].[ZGFSALESORDQTY]</t>
        </r>
      </text>
    </comment>
    <comment ref="D125" authorId="0" shapeId="0" xr:uid="{2BAFF549-1E3D-4B38-9B2E-D3BA68950E24}">
      <text>
        <r>
          <rPr>
            <b/>
            <sz val="9"/>
            <color indexed="81"/>
            <rFont val="Tahoma"/>
            <family val="2"/>
          </rPr>
          <t>Members#[KEY_FIGURES].[].[ZGFPREVAPPROVEDFCSTTY]</t>
        </r>
      </text>
    </comment>
    <comment ref="D128" authorId="0" shapeId="0" xr:uid="{AB530AD9-BB70-4AD3-BB2F-6F7963168D60}">
      <text>
        <r>
          <rPr>
            <b/>
            <sz val="9"/>
            <color indexed="81"/>
            <rFont val="Tahoma"/>
            <family val="2"/>
          </rPr>
          <t>Members#[KEY_FIGURES].[].[ZGFAVAILUNITHIST]</t>
        </r>
      </text>
    </comment>
    <comment ref="D131" authorId="0" shapeId="0" xr:uid="{8C83F145-F2D4-427F-A498-53EE2D47D8F4}">
      <text>
        <r>
          <rPr>
            <b/>
            <sz val="9"/>
            <color indexed="81"/>
            <rFont val="Tahoma"/>
            <family val="2"/>
          </rPr>
          <t>Members#[KEY_FIGURES].[].[ZGFRETURNS]</t>
        </r>
      </text>
    </comment>
    <comment ref="D134" authorId="0" shapeId="0" xr:uid="{58AD18C9-809F-4390-848E-3E717DB86054}">
      <text>
        <r>
          <rPr>
            <b/>
            <sz val="9"/>
            <color indexed="81"/>
            <rFont val="Tahoma"/>
            <family val="2"/>
          </rPr>
          <t>Members#[KEY_FIGURES].[].[ZGFNETACTSALES]</t>
        </r>
      </text>
    </comment>
    <comment ref="D137" authorId="0" shapeId="0" xr:uid="{0A875FB6-51B3-4964-BCEA-524FBD12CF5F}">
      <text>
        <r>
          <rPr>
            <b/>
            <sz val="9"/>
            <color indexed="81"/>
            <rFont val="Tahoma"/>
            <family val="2"/>
          </rPr>
          <t>Members#[KEY_FIGURES].[].[ZGFSTATFCSTQTY]</t>
        </r>
      </text>
    </comment>
    <comment ref="D140" authorId="0" shapeId="0" xr:uid="{FB199D31-48A3-4A7F-BD1E-B686C42081EE}">
      <text>
        <r>
          <rPr>
            <b/>
            <sz val="9"/>
            <color indexed="81"/>
            <rFont val="Tahoma"/>
            <family val="2"/>
          </rPr>
          <t>Members#[KEY_FIGURES].[].[ZGFBASELINEADJUSTED]</t>
        </r>
      </text>
    </comment>
    <comment ref="D143" authorId="0" shapeId="0" xr:uid="{9DC73191-78EA-4BEE-AEB4-AB4F5FEFFA6F}">
      <text>
        <r>
          <rPr>
            <b/>
            <sz val="9"/>
            <color indexed="81"/>
            <rFont val="Tahoma"/>
            <family val="2"/>
          </rPr>
          <t>Members#[KEY_FIGURES].[].[ZGFWASTEFCSQTYTPCT]</t>
        </r>
      </text>
    </comment>
    <comment ref="D146" authorId="0" shapeId="0" xr:uid="{0C4D2BD3-8859-4AD5-AB5B-34CCDC12F3E2}">
      <text>
        <r>
          <rPr>
            <b/>
            <sz val="9"/>
            <color indexed="81"/>
            <rFont val="Tahoma"/>
            <family val="2"/>
          </rPr>
          <t>Members#[KEY_FIGURES].[].[ZGFNETWASTEFCSTQTY]</t>
        </r>
      </text>
    </comment>
    <comment ref="D149" authorId="0" shapeId="0" xr:uid="{A23205D6-EF2D-4A35-A885-C429E9C1A15A}">
      <text>
        <r>
          <rPr>
            <b/>
            <sz val="9"/>
            <color indexed="81"/>
            <rFont val="Tahoma"/>
            <family val="2"/>
          </rPr>
          <t>Members#[KEY_FIGURES].[].[ZGFAPPROVEDFCSTQTY]</t>
        </r>
      </text>
    </comment>
    <comment ref="D152" authorId="0" shapeId="0" xr:uid="{0A184849-364F-46AA-80DE-A275F8F300C3}">
      <text>
        <r>
          <rPr>
            <b/>
            <sz val="9"/>
            <color indexed="81"/>
            <rFont val="Tahoma"/>
            <family val="2"/>
          </rPr>
          <t>Members#[KEY_FIGURES].[].[ZGFPROPFACTORDAY]</t>
        </r>
      </text>
    </comment>
    <comment ref="D155" authorId="0" shapeId="0" xr:uid="{C3703D50-A979-4CB9-8B19-9CF6A59F7BB1}">
      <text>
        <r>
          <rPr>
            <b/>
            <sz val="9"/>
            <color indexed="81"/>
            <rFont val="Tahoma"/>
            <family val="2"/>
          </rPr>
          <t>Members#[KEY_FIGURES].[].[ZGFAVAILUNITHISTADJUSTED]</t>
        </r>
      </text>
    </comment>
    <comment ref="D158" authorId="0" shapeId="0" xr:uid="{8B05E264-531E-45C5-B261-4CA664AF4F28}">
      <text>
        <r>
          <rPr>
            <b/>
            <sz val="9"/>
            <color indexed="81"/>
            <rFont val="Tahoma"/>
            <family val="2"/>
          </rPr>
          <t>Members#[KEY_FIGURES].[].[ZGFNETACTCORRINV]</t>
        </r>
      </text>
    </comment>
    <comment ref="D161" authorId="0" shapeId="0" xr:uid="{45D1FB60-82FE-4475-A77C-4B7073363EB5}">
      <text>
        <r>
          <rPr>
            <b/>
            <sz val="9"/>
            <color indexed="81"/>
            <rFont val="Tahoma"/>
            <family val="2"/>
          </rPr>
          <t>Members#[KEY_FIGURES].[].[ZGFNETADJACTINVQTY]</t>
        </r>
      </text>
    </comment>
    <comment ref="D164" authorId="0" shapeId="0" xr:uid="{0B5049CF-ED89-4536-A654-58CD39FE6C5B}">
      <text>
        <r>
          <rPr>
            <b/>
            <sz val="9"/>
            <color indexed="81"/>
            <rFont val="Tahoma"/>
            <family val="2"/>
          </rPr>
          <t>Members#[KEY_FIGURES].[].[ZGFPROMOINC]</t>
        </r>
      </text>
    </comment>
    <comment ref="D167" authorId="0" shapeId="0" xr:uid="{A11798AE-AA42-4701-952D-5B804E28ED18}">
      <text>
        <r>
          <rPr>
            <b/>
            <sz val="9"/>
            <color indexed="81"/>
            <rFont val="Tahoma"/>
            <family val="2"/>
          </rPr>
          <t>Members#[KEY_FIGURES].[].[ZGFWASTEFCSTQTYOVERWRITE]</t>
        </r>
      </text>
    </comment>
    <comment ref="D170" authorId="0" shapeId="0" xr:uid="{4E223453-0F68-40CE-AAF5-9082B7DA8D9F}">
      <text>
        <r>
          <rPr>
            <b/>
            <sz val="9"/>
            <color indexed="81"/>
            <rFont val="Tahoma"/>
            <family val="2"/>
          </rPr>
          <t>Members#[KEY_FIGURES].[].[ZGFADJUSTMENTQTYPCT]</t>
        </r>
      </text>
    </comment>
    <comment ref="D173" authorId="0" shapeId="0" xr:uid="{69026AED-C514-4756-BEF0-992F174BA7A7}">
      <text>
        <r>
          <rPr>
            <b/>
            <sz val="9"/>
            <color indexed="81"/>
            <rFont val="Tahoma"/>
            <family val="2"/>
          </rPr>
          <t>Members#[KEY_FIGURES].[].[ZGFRETURNSPCTOVERWRITE]</t>
        </r>
      </text>
    </comment>
    <comment ref="D194" authorId="0" shapeId="0" xr:uid="{FA1C0003-9487-4EB0-9A51-B949D1DDB260}">
      <text>
        <r>
          <rPr>
            <b/>
            <sz val="9"/>
            <color indexed="81"/>
            <rFont val="Tahoma"/>
            <family val="2"/>
          </rPr>
          <t>Property#PERIODID#TIMELEVEL#Equals#TOTAL</t>
        </r>
      </text>
    </comment>
    <comment ref="D197" authorId="0" shapeId="0" xr:uid="{8F004950-D395-436A-A31D-D389EAB3B8FD}">
      <text>
        <r>
          <rPr>
            <b/>
            <sz val="9"/>
            <color indexed="81"/>
            <rFont val="Tahoma"/>
            <family val="2"/>
          </rPr>
          <t>Property#PERIODID#TIMELEVEL#Equals#PERIODID0</t>
        </r>
      </text>
    </comment>
    <comment ref="D200" authorId="0" shapeId="0" xr:uid="{6F7D0239-7919-46BA-9F09-97C58A32CA70}">
      <text>
        <r>
          <rPr>
            <b/>
            <sz val="9"/>
            <color indexed="81"/>
            <rFont val="Tahoma"/>
            <family val="2"/>
          </rPr>
          <t>Property#PERIODID#TIMELEVEL#Equals#PERIODID1</t>
        </r>
      </text>
    </comment>
    <comment ref="D203" authorId="0" shapeId="0" xr:uid="{8818284B-CAB8-4557-97C1-7DB09D6C63AA}">
      <text>
        <r>
          <rPr>
            <b/>
            <sz val="9"/>
            <color indexed="81"/>
            <rFont val="Tahoma"/>
            <family val="2"/>
          </rPr>
          <t>Property#PERIODID#TIMELEVEL#Equals#PERIODID2</t>
        </r>
      </text>
    </comment>
    <comment ref="D206" authorId="0" shapeId="0" xr:uid="{3FFC9FB4-3BEE-419A-BCF2-2FD662250714}">
      <text>
        <r>
          <rPr>
            <b/>
            <sz val="9"/>
            <color indexed="81"/>
            <rFont val="Tahoma"/>
            <family val="2"/>
          </rPr>
          <t>Property#PERIODID#TIMELEVEL#Equals#PERIODID3</t>
        </r>
      </text>
    </comment>
    <comment ref="D209" authorId="0" shapeId="0" xr:uid="{FF16AAAA-72CA-4731-A2A7-E06D7306DE14}">
      <text>
        <r>
          <rPr>
            <b/>
            <sz val="9"/>
            <color indexed="81"/>
            <rFont val="Tahoma"/>
            <family val="2"/>
          </rPr>
          <t>Property#PERIODID#TIMELEVEL#Equals#PERIODID4</t>
        </r>
      </text>
    </comment>
    <comment ref="D212" authorId="0" shapeId="0" xr:uid="{323A1900-265D-465A-9188-7BE78B57EE28}">
      <text>
        <r>
          <rPr>
            <b/>
            <sz val="9"/>
            <color indexed="81"/>
            <rFont val="Tahoma"/>
            <family val="2"/>
          </rPr>
          <t>Property#PERIODID#TIMELEVEL#Equals#PERIODID5</t>
        </r>
      </text>
    </comment>
  </commentList>
</comments>
</file>

<file path=xl/sharedStrings.xml><?xml version="1.0" encoding="utf-8"?>
<sst xmlns="http://schemas.openxmlformats.org/spreadsheetml/2006/main" count="571" uniqueCount="337">
  <si>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</si>
  <si>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</si>
  <si>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</si>
  <si>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</si>
  <si>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</si>
  <si>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</si>
  <si>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</si>
  <si>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</si>
  <si>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</si>
  <si>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</si>
  <si>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</si>
  <si>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</si>
  <si>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</si>
  <si>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</si>
  <si>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</si>
  <si>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</si>
  <si>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</si>
  <si>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</si>
  <si>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</si>
  <si>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</si>
  <si>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</si>
  <si>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FontColorIndex | Pattern</t>
  </si>
  <si>
    <t xml:space="preserve">KEY_FIGURES.Editable Indicator = ALL </t>
  </si>
  <si>
    <t>Version_1_1</t>
  </si>
  <si>
    <t>Sheet2_SERIES</t>
  </si>
  <si>
    <t>Sheet2_FILTER</t>
  </si>
  <si>
    <t>Sheet2_CHART</t>
  </si>
  <si>
    <t>Jan</t>
  </si>
  <si>
    <t>Feb</t>
  </si>
  <si>
    <t>A</t>
  </si>
  <si>
    <t>B</t>
  </si>
  <si>
    <t>Sheet4_SERIES</t>
  </si>
  <si>
    <t>Sheet4_FILTER</t>
  </si>
  <si>
    <t>Sheet4_CHART</t>
  </si>
  <si>
    <t>Total Member</t>
  </si>
  <si>
    <t>FontBold | FontColorIndex</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</si>
  <si>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</si>
  <si>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</si>
  <si>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</si>
  <si>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</si>
  <si>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</si>
  <si>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</si>
  <si>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</si>
  <si>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</si>
  <si>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FontBold | FontColorIndex | Pattern</t>
  </si>
  <si>
    <t xml:space="preserve">KEY_FIGURES.Fixing Enabled = Y </t>
  </si>
  <si>
    <t>Font</t>
  </si>
  <si>
    <t>IBP Formatting Sheet</t>
  </si>
  <si>
    <t>Sheet2_OFFLINE</t>
  </si>
  <si>
    <t xml:space="preserve">Offline Parameters Columns Count  </t>
  </si>
  <si>
    <t>dataTopLeftRow</t>
  </si>
  <si>
    <t>5</t>
  </si>
  <si>
    <t>dataTopLeftColumn</t>
  </si>
  <si>
    <t>1</t>
  </si>
  <si>
    <t>maxRows</t>
  </si>
  <si>
    <t>maxColumns</t>
  </si>
  <si>
    <t>62</t>
  </si>
  <si>
    <t>topLeft</t>
  </si>
  <si>
    <t>K6</t>
  </si>
  <si>
    <t>caMembers</t>
  </si>
  <si>
    <t/>
  </si>
  <si>
    <t>raMembers</t>
  </si>
  <si>
    <t>caHeight</t>
  </si>
  <si>
    <t>caShift</t>
  </si>
  <si>
    <t>raShift</t>
  </si>
  <si>
    <t>raWidth</t>
  </si>
  <si>
    <t>4</t>
  </si>
  <si>
    <t>rptWidth</t>
  </si>
  <si>
    <t>52</t>
  </si>
  <si>
    <t>3</t>
  </si>
  <si>
    <t>103</t>
  </si>
  <si>
    <t>[PRDID].[].[FG126]_x000D_
[LOCID].[].[3710]_x000D_
[CUSTID].[].[0037100001]_x000D_
[KEY_FIGURES].[].[ACTUALSQTY]_x000D_
[PRDID].[].[FG126]_x000D_
[LOCID].[].[3710]_x000D_
[CUSTID].[].[0037100001]_x000D_
[KEY_FIGURES].[].[MEANACTUALSQTY]_x000D_
[PRDID].[].[FG126]_x000D_
[LOCID].[].[3710]_x000D_
[CUSTID].[].[0037100001]_x000D_
[KEY_FIGURES].[].[STDDEVACTUALSQTYTS]_x000D_
[PRDID].[].[FG126]_x000D_
[LOCID].[].[3710]_x000D_
[CUSTID].[].[0037100001]_x000D_
000_x000D_
[PRDID].[].[FG126]_x000D_
[LOCID].[].[3710]_x000D_
[CUSTID].[].[0037100001]_x000D_
001_x000D_
[PRDID].[].[FG126]_x000D_
[LOCID].[].[3710]_x000D_
[CUSTID].[].[0037100001]_x000D_
[KEY_FIGURES].[].[ADJUSTEDACTUALSQTY]_x000D_
[PRDID].[].[FG126]_x000D_
[LOCID].[].[3710]_x000D_
[CUSTID].[].[0037100002]_x000D_
[KEY_FIGURES].[].[ACTUALSQTY]_x000D_
[PRDID].[].[FG126]_x000D_
[LOCID].[].[3710]_x000D_
[CUSTID].[].[0037100002]_x000D_
[KEY_FIGURES].[].[MEANACTUALSQTY]_x000D_
[PRDID].[].[FG126]_x000D_
[LOCID].[].[3710]_x000D_
[CUSTID].[].[0037100002]_x000D_
[KEY_FIGURES].[].[STDDEVACTUALSQTYTS]_x000D_
[PRDID].[].[FG126]_x000D_
[LOCID].[].[3710]_x000D_
[CUSTID].[].[0037100002]_x000D_
000_x000D_
[PRDID].[].[FG126]_x000D_
[LOCID].[].[3710]_x000D_
[CUSTID].[].[0037100002]_x000D_
001_x000D_
[PRDID].[].[FG126]_x000D_
[LOCID].[].[3710]_x000D_
[CUSTID].[].[0037100002]_x000D_
[KEY_FIGURES].[].[ADJUSTEDACTUALSQTY]_x000D_
[PRDID].[].[FG126]_x000D_
[LOCID].[].[6210]_x000D_
[CUSTID].[].[0062100001]_x000D_
[KEY_FIGURES].[].[ACTUALSQTY]_x000D_
[PRDID].[].[FG126]_x000D_
[LOCID].[].[6210]_x000D_
[CUSTID].[].[0062100001]_x000D_
[KEY_FIGURES].[].[MEANACTUALSQTY]_x000D_
[PRDID].[].[FG126]_x000D_
[LOCID].[].[6210]_x000D_
[CUSTID].[].[0062100001]_x000D_
[KEY_FIGURES].[].[STDDEVACTUALSQTYTS]_x000D_
[PRDID].[].[FG126]_x000D_
[LOCID].[].[6210]_x000D_
[CUSTID].[].[0062100001]_x000D_
000_x000D_
[PRDID].[].[FG126]_x000D_
[LOCID].[].[6210]_x000D_
[CUSTID].[].[0062100001]_x000D_
001_x000D_
[PRDID].[].[FG126]_x000D_
[LOCID].[].[6210]_x000D_
[CUSTID].[].[0062100001]_x000D_
[KEY_FIGURES].[].[ADJUSTEDACTUALSQTY]_x000D_
[PRDID].[].[FG126]_x000D_
[LOCID].[].[6210]_x000D_
[CUSTID].[].[0062100003]_x000D_
[KEY_FIGURES].[].[ACTUALSQTY]_x000D_
[PRDID].[].[FG126]_x000D_
[LOCID].[].[6210]_x000D_
[CUSTID].[].[0062100003]_x000D_
[KEY_FIGURES].[].[MEANACTUALSQTY]_x000D_
[PRDID].[].[FG126]_x000D_
[LOCID].[].[6210]_x000D_
[CUSTID].[].[0062100003]_x000D_
[KEY_FIGURES].[].[STDDEVACTUALSQTYTS]_x000D_
[PRDID].[].[FG126]_x000D_
[LOCID].[].[6210]_x000D_
[CUSTID].[].[0062100003]_x000D_
000_x000D_
[PRDID].[].[FG126]_x000D_
[LOCID].[].[6210]_x000D_
[CUSTID].[].[0062100003]_x000D_
001_x000D_
[PRDID].[].[FG126]_x000D_
[LOCID].[].[6210]_x000D_
[CUSTID].[].[0062100003]_x000D_
[KEY_FIGURES].[].[ADJUSTEDACTUALSQTY]_x000D_
[PRDID].[].[IBP-100]_x000D_
[LOCID].[].[1720]_x000D_
[CUSTID].[].[0017100001]_x000D_
[KEY_FIGURES].[].[ACTUALSQTY]_x000D_
[PRDID].[].[IBP-100]_x000D_
[LOCID].[].[1720]_x000D_
[CUSTID].[].[0017100001]_x000D_
[KEY_FIGURES].[].[MEANACTUALSQTY]_x000D_
[PRDID].[].[IBP-100]_x000D_
[LOCID].[].[1720]_x000D_
[CUSTID].[].[0017100001]_x000D_
[KEY_FIGURES].[].[STDDEVACTUALSQTYTS]_x000D_
[PRDID].[].[IBP-100]_x000D_
[LOCID].[].[1720]_x000D_
[CUSTID].[].[0017100001]_x000D_
000_x000D_
[PRDID].[].[IBP-100]_x000D_
[LOCID].[].[1720]_x000D_
[CUSTID].[].[0017100001]_x000D_
001_x000D_
[PRDID].[].[IBP-100]_x000D_
[LOCID].[].[1720]_x000D_
[CUSTID].[].[0017100001]_x000D_
[KEY_FIGURES].[].[ADJUSTEDACTUALSQTY]_x000D_
[PRDID].[].[IBP-100]_x000D_
[LOCID].[].[3710]_x000D_
[CUSTID].[].[0010100001]_x000D_
[KEY_FIGURES].[].[ACTUALSQTY]_x000D_
[PRDID].[].[IBP-100]_x000D_
[LOCID].[].[3710]_x000D_
[CUSTID].[].[0010100001]_x000D_
[KEY_FIGURES].[].[MEANACTUALSQTY]_x000D_
[PRDID].[].[IBP-100]_x000D_
[LOCID].[].[3710]_x000D_
[CUSTID].[].[0010100001]_x000D_
[KEY_FIGURES].[].[STDDEVACTUALSQTYTS]_x000D_
[PRDID].[].[IBP-100]_x000D_
[LOCID].[].[3710]_x000D_
[CUSTID].[].[0010100001]_x000D_
000_x000D_
[PRDID].[].[IBP-100]_x000D_
[LOCID].[].[3710]_x000D_
[CUSTID].[].[0010100001]_x000D_
001_x000D_
[PRDID].[].[IBP-100]_x000D_
[LOCID].[].[3710]_x000D_
[CUSTID].[].[0010100001]_x000D_
[KEY_FIGURES].[].[ADJUSTEDACTUALSQTY]_x000D_
[PRDID].[].[IBP-100]_x000D_
[LOCID].[].[6210]_x000D_
[CUSTID].[].[0018100001]_x000D_
[KEY_FIGURES].[].[ACTUALSQTY]_x000D_
[PRDID].[].[IBP-100]_x000D_
[LOCID].[].[6210]_x000D_
[CUSTID].[].[0018100001]_x000D_
[KEY_FIGURES].[].[MEANACTUALSQTY]_x000D_
[PRDID].[].[IBP-100]_x000D_
[LOCID].[].[6210]_x000D_
[CUSTID].[].[0018100001]_x000D_
[KEY_FIGURES].[].[STDDEVACTUALSQTYTS]_x000D_
[PRDID].[].[IBP-100]_x000D_
[LOCID].[].[6210]_x000D_
[CUSTID].[].[0018100001]_x000D_
000_x000D_
[PRDID].[].[IBP-100]_x000D_
[LOCID].[].[6210]_x000D_
[CUSTID].[].[0018100001]_x000D_
001_x000D_
[PRDID].[].[IBP-100]_x000D_
[LOCID].[].[6210]_x000D_
[CUSTID].[].[0018100001]_x000D_
[KEY_FIGURES].[].[ADJUSTEDACTUALSQTY]_x000D_
[PRDID].[].[IBP-200]_x000D_
[LOCID].[].[1720]_x000D_
[CUSTID].[].[0017100002]_x000D_
[KEY_FIGURES].[].[ACTUALSQTY]_x000D_
[PRDID].[].[IBP-200]_x000D_
[LOCID].[].[1720]_x000D_
[CUSTID].[].[0017100002]_x000D_
[KEY_FIGURES].[].[MEANACTUALSQTY]_x000D_
[PRDID].[].[IBP-200]_x000D_
[LOCID].[].[1720]_x000D_
[CUSTID].[].[0017100002]_x000D_
[KEY_FIGURES].[].[STDDEVACTUALSQTYTS]_x000D_
[PRDID].[].[IBP-200]_x000D_
[LOCID].[].[1720]_x000D_
[CUSTID].[].[0017100002]_x000D_
000_x000D_
[PRDID].[].[IBP-200]_x000D_
[LOCID].[].[1720]_x000D_
[CUSTID].[].[0017100002]_x000D_
001_x000D_
[PRDID].[].[IBP-200]_x000D_
[LOCID].[].[1720]_x000D_
[CUSTID].[].[0017100002]_x000D_
[KEY_FIGURES].[].[ADJUSTEDACTUALSQTY]_x000D_
[PRDID].[].[IBP-200]_x000D_
[LOCID].[].[3710]_x000D_
[CUSTID].[].[0012100001]_x000D_
[KEY_FIGURES].[].[ACTUALSQTY]_x000D_
[PRDID].[].[IBP-200]_x000D_
[LOCID].[].[3710]_x000D_
[CUSTID].[].[0012100001]_x000D_
[KEY_FIGURES].[].[MEANACTUALSQTY]</t>
  </si>
  <si>
    <t>[PRDID].[].[IBP-200]_x000D_
[LOCID].[].[3710]_x000D_
[CUSTID].[].[0012100001]_x000D_
[KEY_FIGURES].[].[STDDEVACTUALSQTYTS]_x000D_
[PRDID].[].[IBP-200]_x000D_
[LOCID].[].[3710]_x000D_
[CUSTID].[].[0012100001]_x000D_
000_x000D_
[PRDID].[].[IBP-200]_x000D_
[LOCID].[].[3710]_x000D_
[CUSTID].[].[0012100001]_x000D_
001_x000D_
[PRDID].[].[IBP-200]_x000D_
[LOCID].[].[3710]_x000D_
[CUSTID].[].[0012100001]_x000D_
[KEY_FIGURES].[].[ADJUSTEDACTUALSQTY]_x000D_
[PRDID].[].[IBP-200]_x000D_
[LOCID].[].[6210]_x000D_
[CUSTID].[].[0061100001]_x000D_
[KEY_FIGURES].[].[ACTUALSQTY]_x000D_
[PRDID].[].[IBP-200]_x000D_
[LOCID].[].[6210]_x000D_
[CUSTID].[].[0061100001]_x000D_
[KEY_FIGURES].[].[MEANACTUALSQTY]_x000D_
[PRDID].[].[IBP-200]_x000D_
[LOCID].[].[6210]_x000D_
[CUSTID].[].[0061100001]_x000D_
[KEY_FIGURES].[].[STDDEVACTUALSQTYTS]_x000D_
[PRDID].[].[IBP-200]_x000D_
[LOCID].[].[6210]_x000D_
[CUSTID].[].[0061100001]_x000D_
000_x000D_
[PRDID].[].[IBP-200]_x000D_
[LOCID].[].[6210]_x000D_
[CUSTID].[].[0061100001]_x000D_
001_x000D_
[PRDID].[].[IBP-200]_x000D_
[LOCID].[].[6210]_x000D_
[CUSTID].[].[0061100001]_x000D_
[KEY_FIGURES].[].[ADJUSTEDACTUALSQTY]_x000D_
[PRDID].[].[IBP-300]_x000D_
[LOCID].[].[1720]_x000D_
[CUSTID].[].[0017100003]_x000D_
[KEY_FIGURES].[].[ACTUALSQTY]_x000D_
[PRDID].[].[IBP-300]_x000D_
[LOCID].[].[1720]_x000D_
[CUSTID].[].[0017100003]_x000D_
[KEY_FIGURES].[].[MEANACTUALSQTY]_x000D_
[PRDID].[].[IBP-300]_x000D_
[LOCID].[].[1720]_x000D_
[CUSTID].[].[0017100003]_x000D_
[KEY_FIGURES].[].[STDDEVACTUALSQTYTS]_x000D_
[PRDID].[].[IBP-300]_x000D_
[LOCID].[].[1720]_x000D_
[CUSTID].[].[0017100003]_x000D_
000_x000D_
[PRDID].[].[IBP-300]_x000D_
[LOCID].[].[1720]_x000D_
[CUSTID].[].[0017100003]_x000D_
001_x000D_
[PRDID].[].[IBP-300]_x000D_
[LOCID].[].[1720]_x000D_
[CUSTID].[].[0017100003]_x000D_
[KEY_FIGURES].[].[ADJUSTEDACTUALSQTY]_x000D_
[PRDID].[].[IBP-300]_x000D_
[LOCID].[].[3710]_x000D_
[CUSTID].[].[0011100001]_x000D_
[KEY_FIGURES].[].[ACTUALSQTY]_x000D_
[PRDID].[].[IBP-300]_x000D_
[LOCID].[].[3710]_x000D_
[CUSTID].[].[0011100001]_x000D_
[KEY_FIGURES].[].[MEANACTUALSQTY]_x000D_
[PRDID].[].[IBP-300]_x000D_
[LOCID].[].[3710]_x000D_
[CUSTID].[].[0011100001]_x000D_
[KEY_FIGURES].[].[STDDEVACTUALSQTYTS]_x000D_
[PRDID].[].[IBP-300]_x000D_
[LOCID].[].[3710]_x000D_
[CUSTID].[].[0011100001]_x000D_
000_x000D_
[PRDID].[].[IBP-300]_x000D_
[LOCID].[].[3710]_x000D_
[CUSTID].[].[0011100001]_x000D_
001_x000D_
[PRDID].[].[IBP-300]_x000D_
[LOCID].[].[3710]_x000D_
[CUSTID].[].[0011100001]_x000D_
[KEY_FIGURES].[].[ADJUSTEDACTUALSQTY]_x000D_
[PRDID].[].[IBP-300]_x000D_
[LOCID].[].[6210]_x000D_
[CUSTID].[].[0013100001]_x000D_
[KEY_FIGURES].[].[ACTUALSQTY]_x000D_
[PRDID].[].[IBP-300]_x000D_
[LOCID].[].[6210]_x000D_
[CUSTID].[].[0013100001]_x000D_
[KEY_FIGURES].[].[MEANACTUALSQTY]_x000D_
[PRDID].[].[IBP-300]_x000D_
[LOCID].[].[6210]_x000D_
[CUSTID].[].[0013100001]_x000D_
[KEY_FIGURES].[].[STDDEVACTUALSQTYTS]_x000D_
[PRDID].[].[IBP-300]_x000D_
[LOCID].[].[6210]_x000D_
[CUSTID].[].[0013100001]_x000D_
000_x000D_
[PRDID].[].[IBP-300]_x000D_
[LOCID].[].[6210]_x000D_
[CUSTID].[].[0013100001]_x000D_
001_x000D_
[PRDID].[].[IBP-300]_x000D_
[LOCID].[].[6210]_x000D_
[CUSTID].[].[0013100001]_x000D_
[KEY_FIGURES].[].[ADJUSTEDACTUALSQTY]_x000D_
[PRDID].[].[TG0011]_x000D_
[LOCID].[].[3710]_x000D_
[CUSTID].[].[0037100001]_x000D_
[KEY_FIGURES].[].[ACTUALSQTY]_x000D_
[PRDID].[].[TG0011]_x000D_
[LOCID].[].[3710]_x000D_
[CUSTID].[].[0037100001]_x000D_
[KEY_FIGURES].[].[MEANACTUALSQTY]_x000D_
[PRDID].[].[TG0011]_x000D_
[LOCID].[].[3710]_x000D_
[CUSTID].[].[0037100001]_x000D_
[KEY_FIGURES].[].[STDDEVACTUALSQTYTS]_x000D_
[PRDID].[].[TG0011]_x000D_
[LOCID].[].[3710]_x000D_
[CUSTID].[].[0037100001]_x000D_
000_x000D_
[PRDID].[].[TG0011]_x000D_
[LOCID].[].[3710]_x000D_
[CUSTID].[].[0037100001]_x000D_
001_x000D_
[PRDID].[].[TG0011]_x000D_
[LOCID].[].[3710]_x000D_
[CUSTID].[].[0037100001]_x000D_
[KEY_FIGURES].[].[ADJUSTEDACTUALSQTY]_x000D_
[PRDID].[].[TG0011]_x000D_
[LOCID].[].[3710]_x000D_
[CUSTID].[].[0037100002]_x000D_
[KEY_FIGURES].[].[ACTUALSQTY]_x000D_
[PRDID].[].[TG0011]_x000D_
[LOCID].[].[3710]_x000D_
[CUSTID].[].[0037100002]_x000D_
[KEY_FIGURES].[].[MEANACTUALSQTY]_x000D_
[PRDID].[].[TG0011]_x000D_
[LOCID].[].[3710]_x000D_
[CUSTID].[].[0037100002]_x000D_
[KEY_FIGURES].[].[STDDEVACTUALSQTYTS]_x000D_
[PRDID].[].[TG0011]_x000D_
[LOCID].[].[3710]_x000D_
[CUSTID].[].[0037100002]_x000D_
000_x000D_
[PRDID].[].[TG0011]_x000D_
[LOCID].[].[3710]_x000D_
[CUSTID].[].[0037100002]_x000D_
001_x000D_
[PRDID].[].[TG0011]_x000D_
[LOCID].[].[3710]_x000D_
[CUSTID].[].[0037100002]_x000D_
[KEY_FIGURES].[].[ADJUSTEDACTUALSQTY]_x000D_
[PRDID].[].[TG0011]_x000D_
[LOCID].[].[6210]_x000D_
[CUSTID].[].[0062100001]_x000D_
[KEY_FIGURES].[].[ACTUALSQTY]_x000D_
[PRDID].[].[TG0011]_x000D_
[LOCID].[].[6210]_x000D_
[CUSTID].[].[0062100001]_x000D_
[KEY_FIGURES].[].[MEANACTUALSQTY]_x000D_
[PRDID].[].[TG0011]_x000D_
[LOCID].[].[6210]_x000D_
[CUSTID].[].[0062100001]_x000D_
[KEY_FIGURES].[].[STDDEVACTUALSQTYTS]_x000D_
[PRDID].[].[TG0011]_x000D_
[LOCID].[].[6210]_x000D_
[CUSTID].[].[0062100001]_x000D_
000_x000D_
[PRDID].[].[TG0011]_x000D_
[LOCID].[].[6210]_x000D_
[CUSTID].[].[0062100001]_x000D_
001_x000D_
[PRDID].[].[TG0011]_x000D_
[LOCID].[].[6210]_x000D_
[CUSTID].[].[0062100001]_x000D_
[KEY_FIGURES].[].[ADJUSTEDACTUALSQTY]_x000D_
[PRDID].[].[TG0011]_x000D_
[LOCID].[].[6210]_x000D_
[CUSTID].[].[0062100003]_x000D_
[KEY_FIGURES].[].[ACTUALSQTY]_x000D_
[PRDID].[].[TG0011]_x000D_
[LOCID].[].[6210]_x000D_
[CUSTID].[].[0062100003]_x000D_
[KEY_FIGURES].[].[MEANACTUALSQTY]_x000D_
[PRDID].[].[TG0011]_x000D_
[LOCID].[].[6210]_x000D_
[CUSTID].[].[0062100003]_x000D_
[KEY_FIGURES].[].[STDDEVACTUALSQTYTS]_x000D_
[PRDID].[].[TG0011]_x000D_
[LOCID].[].[6210]_x000D_
[CUSTID].[].[0062100003]_x000D_
000</t>
  </si>
  <si>
    <t>[PRDID].[].[TG0011]_x000D_
[LOCID].[].[6210]_x000D_
[CUSTID].[].[0062100003]_x000D_
001_x000D_
[PRDID].[].[TG0011]_x000D_
[LOCID].[].[6210]_x000D_
[CUSTID].[].[0062100003]_x000D_
[KEY_FIGURES].[].[ADJUSTEDACTUALSQTY]</t>
  </si>
  <si>
    <t>[PERIODID4].[].[200306]_x000D_
[PERIODID4].[].[200307]_x000D_
[PERIODID4].[].[200308]_x000D_
[PERIODID4].[].[200309]_x000D_
[PERIODID4].[].[200310]_x000D_
[PERIODID4].[].[200311]_x000D_
[PERIODID4].[].[200312]_x000D_
[PERIODID4].[].[200313]_x000D_
[PERIODID4].[].[200314]_x000D_
[PERIODID4].[].[200315]_x000D_
[PERIODID4].[].[200316]_x000D_
[PERIODID4].[].[200317]_x000D_
[PERIODID4].[].[200318]_x000D_
[PERIODID4].[].[200319]_x000D_
[PERIODID4].[].[200320]_x000D_
[PERIODID4].[].[200321]_x000D_
[PERIODID4].[].[200322]_x000D_
[PERIODID4].[].[200323]_x000D_
[PERIODID4].[].[200324]_x000D_
[PERIODID4].[].[200325]_x000D_
[PERIODID4].[].[200326]_x000D_
[PERIODID4].[].[200327]_x000D_
[PERIODID4].[].[200328]_x000D_
[PERIODID4].[].[200329]_x000D_
[PERIODID4].[].[200330]_x000D_
[PERIODID4].[].[200331]_x000D_
[PERIODID4].[].[200332]_x000D_
[PERIODID4].[].[200333]_x000D_
[PERIODID4].[].[200334]_x000D_
[PERIODID4].[].[200335]_x000D_
[PERIODID4].[].[200336]_x000D_
[PERIODID4].[].[200337]_x000D_
[PERIODID4].[].[200338]_x000D_
[PERIODID4].[].[200339]_x000D_
[PERIODID4].[].[200340]_x000D_
[PERIODID4].[].[200341]_x000D_
[PERIODID4].[].[200342]_x000D_
[PERIODID4].[].[200343]_x000D_
[PERIODID4].[].[200344]_x000D_
[PERIODID4].[].[200345]_x000D_
[PERIODID4].[].[200346]_x000D_
[PERIODID4].[].[200347]_x000D_
[PERIODID4].[].[200348]_x000D_
[PERIODID4].[].[200349]_x000D_
[PERIODID4].[].[200350]_x000D_
[PERIODID4].[].[200351]_x000D_
[PERIODID4].[].[200352]_x000D_
[PERIODID4].[].[200353]_x000D_
[PERIODID4].[].[200354]_x000D_
[PERIODID4].[].[200355]_x000D_
[PERIODID4].[].[200356]_x000D_
[PERIODID4].[].[200357]</t>
  </si>
  <si>
    <t>'Integrated Business Planning</t>
  </si>
  <si>
    <t>Available Unit History Adjusted</t>
  </si>
  <si>
    <t>Net Actual Adjusted (Inv)</t>
  </si>
  <si>
    <t>Baseline Adjusted</t>
  </si>
  <si>
    <t>Net Forecast</t>
  </si>
  <si>
    <t>Approved Forecast</t>
  </si>
  <si>
    <t>% Returns</t>
  </si>
  <si>
    <t>Invoice Quantity</t>
  </si>
  <si>
    <t>Sales Order Qty</t>
  </si>
  <si>
    <t>Prev. Approved Fcst</t>
  </si>
  <si>
    <t>Available Units History</t>
  </si>
  <si>
    <t>Returns</t>
  </si>
  <si>
    <t>Net Actual Sales</t>
  </si>
  <si>
    <t>Statistical Fcst</t>
  </si>
  <si>
    <t>Waste Forecast %</t>
  </si>
  <si>
    <t>Net + Waste Forecast</t>
  </si>
  <si>
    <t>Prop Factor - Days</t>
  </si>
  <si>
    <t>Net Actuals Corrected (Inv)</t>
  </si>
  <si>
    <t>Promotions Increment</t>
  </si>
  <si>
    <t>Waste Forecast % Overwrite</t>
  </si>
  <si>
    <t>= EPMOlapMemberO("[KEY_FIGURES].[].[ZGFNETADJACTINVQTY]","","Net Actual Adjusted (Inv)","","000")_x000D_
= EPMOlapMemberO("[KEY_FIGURES].[].[ZGFBASELINEADJUSTED]","","Baseline Adjusted","","000")_x000D_
= EPMOlapMemberO("[KEY_FIGURES].[].[ZGFNETFORECAST]","","Net Forecast","","000")_x000D_
= EPMOlapMemberO("[KEY_FIGURES].[].[ZGFAPPROVEDFCSTQTY]","","Approved Forecast","","000")</t>
  </si>
  <si>
    <t>07.10.2019</t>
  </si>
  <si>
    <t>14.10.2019</t>
  </si>
  <si>
    <t>21.10.2019</t>
  </si>
  <si>
    <t>28.10.2019</t>
  </si>
  <si>
    <t>04.11.2019</t>
  </si>
  <si>
    <t>11.11.2019</t>
  </si>
  <si>
    <t>18.11.2019</t>
  </si>
  <si>
    <t>25.11.2019</t>
  </si>
  <si>
    <t>02.12.2019</t>
  </si>
  <si>
    <t>09.12.2019</t>
  </si>
  <si>
    <t>16.12.2019</t>
  </si>
  <si>
    <t>23.12.2019</t>
  </si>
  <si>
    <t>30.12.2019</t>
  </si>
  <si>
    <t>06.01.2020</t>
  </si>
  <si>
    <t>13.01.2020</t>
  </si>
  <si>
    <t>20.01.2020</t>
  </si>
  <si>
    <t>27.01.2020</t>
  </si>
  <si>
    <t>03.02.2020</t>
  </si>
  <si>
    <t>10.02.2020</t>
  </si>
  <si>
    <t>17.02.2020</t>
  </si>
  <si>
    <t>24.02.2020</t>
  </si>
  <si>
    <t>02.03.2020</t>
  </si>
  <si>
    <t>09.03.2020</t>
  </si>
  <si>
    <t>16.03.2020</t>
  </si>
  <si>
    <t>23.03.2020</t>
  </si>
  <si>
    <t>30.03.2020</t>
  </si>
  <si>
    <t>06.04.2020</t>
  </si>
  <si>
    <t>13.04.2020</t>
  </si>
  <si>
    <t>20.04.2020</t>
  </si>
  <si>
    <t>27.04.2020</t>
  </si>
  <si>
    <t>04.05.2020</t>
  </si>
  <si>
    <t>11.05.2020</t>
  </si>
  <si>
    <t>18.05.2020</t>
  </si>
  <si>
    <t>25.05.2020</t>
  </si>
  <si>
    <t>01.06.2020</t>
  </si>
  <si>
    <t>08.06.2020</t>
  </si>
  <si>
    <t>15.06.2020</t>
  </si>
  <si>
    <t>22.06.2020</t>
  </si>
  <si>
    <t>29.06.2020</t>
  </si>
  <si>
    <t>06.07.2020</t>
  </si>
  <si>
    <t>13.07.2020</t>
  </si>
  <si>
    <t>20.07.2020</t>
  </si>
  <si>
    <t>27.07.2020</t>
  </si>
  <si>
    <t>03.08.2020</t>
  </si>
  <si>
    <t>10.08.2020</t>
  </si>
  <si>
    <t>17.08.2020</t>
  </si>
  <si>
    <t>24.08.2020</t>
  </si>
  <si>
    <t>31.08.2020</t>
  </si>
  <si>
    <t>07.09.2020</t>
  </si>
  <si>
    <t>14.09.2020</t>
  </si>
  <si>
    <t>21.09.2020</t>
  </si>
  <si>
    <t>28.09.2020</t>
  </si>
  <si>
    <t>05.10.2020</t>
  </si>
  <si>
    <t>12.10.2020</t>
  </si>
  <si>
    <t>19.10.2020</t>
  </si>
  <si>
    <t>26.10.2020</t>
  </si>
  <si>
    <t>02.11.2020</t>
  </si>
  <si>
    <t>09.11.2020</t>
  </si>
  <si>
    <t>16.11.2020</t>
  </si>
  <si>
    <t>23.11.2020</t>
  </si>
  <si>
    <t>30.11.2020</t>
  </si>
  <si>
    <t>07.12.2020</t>
  </si>
  <si>
    <t>14.12.2020</t>
  </si>
  <si>
    <t>21.12.2020</t>
  </si>
  <si>
    <t>28.12.2020</t>
  </si>
  <si>
    <t>04.01.2021</t>
  </si>
  <si>
    <t>11.01.2021</t>
  </si>
  <si>
    <t>18.01.2021</t>
  </si>
  <si>
    <t>25.01.2021</t>
  </si>
  <si>
    <t>01.02.2021</t>
  </si>
  <si>
    <t>08.02.2021</t>
  </si>
  <si>
    <t>15.02.2021</t>
  </si>
  <si>
    <t>22.02.2021</t>
  </si>
  <si>
    <t>01.03.2021</t>
  </si>
  <si>
    <t>08.03.2021</t>
  </si>
  <si>
    <t>15.03.2021</t>
  </si>
  <si>
    <t>22.03.2021</t>
  </si>
  <si>
    <t>29.03.2021</t>
  </si>
  <si>
    <t>05.04.2021</t>
  </si>
  <si>
    <t>12.04.2021</t>
  </si>
  <si>
    <t>19.04.2021</t>
  </si>
  <si>
    <t>26.04.2021</t>
  </si>
  <si>
    <t>03.05.2021</t>
  </si>
  <si>
    <t>10.05.2021</t>
  </si>
  <si>
    <t>17.05.2021</t>
  </si>
  <si>
    <t>24.05.2021</t>
  </si>
  <si>
    <t>31.05.2021</t>
  </si>
  <si>
    <t>07.06.2021</t>
  </si>
  <si>
    <t>14.06.2021</t>
  </si>
  <si>
    <t>21.06.2021</t>
  </si>
  <si>
    <t>28.06.2021</t>
  </si>
  <si>
    <t>05.07.2021</t>
  </si>
  <si>
    <t>12.07.2021</t>
  </si>
  <si>
    <t>19.07.2021</t>
  </si>
  <si>
    <t>26.07.2021</t>
  </si>
  <si>
    <t>02.08.2021</t>
  </si>
  <si>
    <t>09.08.2021</t>
  </si>
  <si>
    <t>16.08.2021</t>
  </si>
  <si>
    <t>23.08.2021</t>
  </si>
  <si>
    <t>30.08.2021</t>
  </si>
  <si>
    <t>06.09.2021</t>
  </si>
  <si>
    <t>13.09.2021</t>
  </si>
  <si>
    <t>20.09.2021</t>
  </si>
  <si>
    <t>27.09.2021</t>
  </si>
  <si>
    <t>04.10.2021</t>
  </si>
  <si>
    <t>11.10.2021</t>
  </si>
  <si>
    <t>18.10.2021</t>
  </si>
  <si>
    <t>25.10.2021</t>
  </si>
  <si>
    <t>01.11.2021</t>
  </si>
  <si>
    <t>08.11.2021</t>
  </si>
  <si>
    <t>15.11.2021</t>
  </si>
  <si>
    <t>22.11.2021</t>
  </si>
  <si>
    <t>29.11.2021</t>
  </si>
  <si>
    <t>06.12.2021</t>
  </si>
  <si>
    <t>13.12.2021</t>
  </si>
  <si>
    <t>20.12.2021</t>
  </si>
  <si>
    <t>27.12.2021</t>
  </si>
  <si>
    <t>03.01.2022</t>
  </si>
  <si>
    <t>10.01.2022</t>
  </si>
  <si>
    <t>17.01.2022</t>
  </si>
  <si>
    <t>24.01.2022</t>
  </si>
  <si>
    <t>31.01.2022</t>
  </si>
  <si>
    <t>07.02.2022</t>
  </si>
  <si>
    <t>14.02.2022</t>
  </si>
  <si>
    <t>21.02.2022</t>
  </si>
  <si>
    <t>28.02.2022</t>
  </si>
  <si>
    <t>07.03.2022</t>
  </si>
  <si>
    <t>14.03.2022</t>
  </si>
  <si>
    <t>21.03.2022</t>
  </si>
  <si>
    <t>28.03.2022</t>
  </si>
  <si>
    <t>04.04.2022</t>
  </si>
  <si>
    <t>11.04.2022</t>
  </si>
  <si>
    <t>18.04.2022</t>
  </si>
  <si>
    <t>25.04.2022</t>
  </si>
  <si>
    <t>02.05.2022</t>
  </si>
  <si>
    <t>09.05.2022</t>
  </si>
  <si>
    <t>16.05.2022</t>
  </si>
  <si>
    <t>23.05.2022</t>
  </si>
  <si>
    <t>30.05.2022</t>
  </si>
  <si>
    <t>06.06.2022</t>
  </si>
  <si>
    <t>13.06.2022</t>
  </si>
  <si>
    <t>20.06.2022</t>
  </si>
  <si>
    <t>27.06.2022</t>
  </si>
  <si>
    <t>04.07.2022</t>
  </si>
  <si>
    <t>11.07.2022</t>
  </si>
  <si>
    <t>18.07.2022</t>
  </si>
  <si>
    <t>25.07.2022</t>
  </si>
  <si>
    <t>01.08.2022</t>
  </si>
  <si>
    <t>08.08.2022</t>
  </si>
  <si>
    <t>15.08.2022</t>
  </si>
  <si>
    <t>22.08.2022</t>
  </si>
  <si>
    <t>29.08.2022</t>
  </si>
  <si>
    <t>05.09.2022</t>
  </si>
  <si>
    <t>12.09.2022</t>
  </si>
  <si>
    <t>19.09.2022</t>
  </si>
  <si>
    <t>26.09.2022</t>
  </si>
  <si>
    <t>03.10.2022</t>
  </si>
  <si>
    <t>10.10.2022</t>
  </si>
  <si>
    <t>17.10.2022</t>
  </si>
  <si>
    <t>24.10.2022</t>
  </si>
  <si>
    <t>31.10.2022</t>
  </si>
  <si>
    <t>07.11.2022</t>
  </si>
  <si>
    <t>14.11.2022</t>
  </si>
  <si>
    <t>21.11.2022</t>
  </si>
  <si>
    <t>28.11.2022</t>
  </si>
  <si>
    <t>05.12.2022</t>
  </si>
  <si>
    <t>12.12.2022</t>
  </si>
  <si>
    <t>19.12.2022</t>
  </si>
  <si>
    <t>26.12.2022</t>
  </si>
  <si>
    <t>02.01.2023</t>
  </si>
  <si>
    <t>09.01.2023</t>
  </si>
  <si>
    <t>16.01.2023</t>
  </si>
  <si>
    <t>23.01.2023</t>
  </si>
  <si>
    <t>30.01.2023</t>
  </si>
  <si>
    <t>06.02.2023</t>
  </si>
  <si>
    <t>13.02.2023</t>
  </si>
  <si>
    <t>20.02.2023</t>
  </si>
  <si>
    <t>27.02.2023</t>
  </si>
  <si>
    <t>06.03.2023</t>
  </si>
  <si>
    <t>13.03.2023</t>
  </si>
  <si>
    <t>20.03.2023</t>
  </si>
  <si>
    <t>27.03.2023</t>
  </si>
  <si>
    <t>03.04.2023</t>
  </si>
  <si>
    <t>10.04.2023</t>
  </si>
  <si>
    <t>17.04.2023</t>
  </si>
  <si>
    <t>24.04.2023</t>
  </si>
  <si>
    <t>01.05.2023</t>
  </si>
  <si>
    <t>08.05.2023</t>
  </si>
  <si>
    <t>15.05.2023</t>
  </si>
  <si>
    <t>22.05.2023</t>
  </si>
  <si>
    <t>29.05.2023</t>
  </si>
  <si>
    <t>05.06.2023</t>
  </si>
  <si>
    <t>12.06.2023</t>
  </si>
  <si>
    <t>19.06.2023</t>
  </si>
  <si>
    <t>26.06.2023</t>
  </si>
  <si>
    <t>03.07.2023</t>
  </si>
  <si>
    <t>10.07.2023</t>
  </si>
  <si>
    <t>17.07.2023</t>
  </si>
  <si>
    <t>24.07.2023</t>
  </si>
  <si>
    <t>31.07.2023</t>
  </si>
  <si>
    <t>07.08.2023</t>
  </si>
  <si>
    <t>14.08.2023</t>
  </si>
  <si>
    <t>21.08.2023</t>
  </si>
  <si>
    <t>28.08.2023</t>
  </si>
  <si>
    <t>04.09.2023</t>
  </si>
  <si>
    <t>11.09.2023</t>
  </si>
  <si>
    <t>18.09.2023</t>
  </si>
  <si>
    <t>25.09.2023</t>
  </si>
  <si>
    <t>02.10.2023</t>
  </si>
  <si>
    <t>09.10.2023</t>
  </si>
  <si>
    <t>16.10.2023</t>
  </si>
  <si>
    <t>23.10.2023</t>
  </si>
  <si>
    <t>Adjustment (%)</t>
  </si>
  <si>
    <t>Default Formatting</t>
  </si>
  <si>
    <t>Default Format for Non-Editable Cells</t>
  </si>
  <si>
    <t>Default Format for Editable Cells</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</si>
  <si>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</si>
  <si>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</si>
  <si>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 Returns Overwrite</t>
  </si>
  <si>
    <t>(KEY_FIGURES.Editable Indicator = FUTURE ) AND (PERIODID0.Past Current Future Indicator = C )</t>
  </si>
  <si>
    <t>(KEY_FIGURES.Editable Indicator = FUTURE ) AND (PERIODID.Past Current Future Indicator = C )</t>
  </si>
  <si>
    <t>(KEY_FIGURES.Editable Indicator = FUTURE ) AND (PERIODID1.Past Current Future Indicator = CF )</t>
  </si>
  <si>
    <t>(KEY_FIGURES.Editable Indicator = FUTURE ) AND (PERIODID2.Past Current Future Indicator = CF )</t>
  </si>
  <si>
    <t>(KEY_FIGURES.Editable Indicator = FUTURE ) AND (PERIODID3.Past Current Future Indicator = CF )</t>
  </si>
  <si>
    <t>(KEY_FIGURES.Editable Indicator = FUTURE ) AND (PERIODID4.Past Current Future Indicator = CF )</t>
  </si>
  <si>
    <t>(KEY_FIGURES.Editable Indicator = FUTURE ) AND (PERIODID5.Past Current Future Indicator = CF )</t>
  </si>
  <si>
    <t>(KEY_FIGURES.Editable Indicator = FUTURE ) AND (PERIODID.Past Current Future Indicator = CF )</t>
  </si>
  <si>
    <t>(KEY_FIGURES.Editable Indicator = FUTURE ) AND (PERIODID0.Past Current Future Indicator = F )</t>
  </si>
  <si>
    <t>(KEY_FIGURES.Editable Indicator = FUTURE ) AND (PERIODID1.Past Current Future Indicator = F )</t>
  </si>
  <si>
    <t>(KEY_FIGURES.Editable Indicator = FUTURE ) AND (PERIODID2.Past Current Future Indicator = F )</t>
  </si>
  <si>
    <t>(KEY_FIGURES.Editable Indicator = FUTURE ) AND (PERIODID3.Past Current Future Indicator = F )</t>
  </si>
  <si>
    <t>(KEY_FIGURES.Editable Indicator = FUTURE ) AND (PERIODID4.Past Current Future Indicator = F )</t>
  </si>
  <si>
    <t>(KEY_FIGURES.Editable Indicator = FUTURE ) AND (PERIODID5.Past Current Future Indicator = F )</t>
  </si>
  <si>
    <t>(KEY_FIGURES.Editable Indicator = FUTURE ) AND (PERIODID.Past Current Future Indicator = F )</t>
  </si>
  <si>
    <t>(KEY_FIGURES.Editable Indicator = PAST ) AND (PERIODID0.Past Current Future Indicator = P )</t>
  </si>
  <si>
    <t>(KEY_FIGURES.Editable Indicator = PAST ) AND (PERIODID1.Past Current Future Indicator = P )</t>
  </si>
  <si>
    <t>(KEY_FIGURES.Editable Indicator = PAST ) AND (PERIODID2.Past Current Future Indicator = P )</t>
  </si>
  <si>
    <t>(KEY_FIGURES.Editable Indicator = PAST ) AND (PERIODID3.Past Current Future Indicator = P )</t>
  </si>
  <si>
    <t>(KEY_FIGURES.Editable Indicator = PAST ) AND (PERIODID4.Past Current Future Indicator = P )</t>
  </si>
  <si>
    <t>(KEY_FIGURES.Editable Indicator = PAST ) AND (PERIODID5.Past Current Future Indicator = P )</t>
  </si>
  <si>
    <t>(KEY_FIGURES.Editable Indicator = PAST ) AND (PERIODID.Past Current Future Indicator = 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</si>
</sst>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11"/>
      <color rgb="FFFFFFFF"/>
      <name val="Arial"/>
      <family val="2"/>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
      <b/>
      <sz val="22"/>
      <name val="Calibri"/>
      <family val="2"/>
      <scheme val="minor"/>
    </font>
    <font>
      <sz val="9"/>
      <name val="Calibri"/>
      <family val="2"/>
      <scheme val="minor"/>
    </font>
    <font>
      <sz val="11"/>
      <color theme="1"/>
      <name val="Calibri"/>
      <family val="2"/>
      <scheme val="minor"/>
    </font>
    <font>
      <b/>
      <sz val="9"/>
      <color indexed="81"/>
      <name val="Tahoma"/>
      <family val="2"/>
    </font>
    <font>
      <sz val="11"/>
      <color rgb="FF000000"/>
      <name val="Calibri"/>
      <family val="2"/>
      <scheme val="minor"/>
    </font>
  </fonts>
  <fills count="20">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
      <patternFill patternType="solid">
        <fgColor theme="6"/>
        <bgColor indexed="64"/>
      </patternFill>
    </fill>
    <fill>
      <patternFill patternType="solid">
        <fgColor theme="0"/>
        <bgColor theme="0"/>
      </patternFill>
    </fill>
    <fill>
      <patternFill patternType="solid">
        <fgColor indexed="65"/>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3">
    <xf numFmtId="0" fontId="0" fillId="0" borderId="0"/>
    <xf numFmtId="0" fontId="12" fillId="8" borderId="0" applyNumberFormat="0" applyBorder="0" applyAlignment="0" applyProtection="0"/>
    <xf numFmtId="9" fontId="23" fillId="0" borderId="0" applyFont="0" applyFill="0" applyBorder="0" applyAlignment="0" applyProtection="0"/>
  </cellStyleXfs>
  <cellXfs count="118">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Alignment="1">
      <alignment horizont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0" fillId="0" borderId="0" xfId="0" applyFont="1" applyAlignment="1" applyProtection="1">
      <alignment horizontal="left" vertical="center"/>
      <protection locked="0"/>
    </xf>
    <xf numFmtId="3" fontId="10" fillId="7" borderId="0" xfId="0" applyNumberFormat="1" applyFont="1" applyFill="1" applyAlignment="1" applyProtection="1">
      <alignment horizontal="right" vertical="center"/>
      <protection locked="0"/>
    </xf>
    <xf numFmtId="0" fontId="0" fillId="6" borderId="0" xfId="0" applyFill="1"/>
    <xf numFmtId="0" fontId="9" fillId="10" borderId="0" xfId="0" applyFont="1" applyFill="1"/>
    <xf numFmtId="0" fontId="0" fillId="10" borderId="0" xfId="0" applyFill="1"/>
    <xf numFmtId="3" fontId="10" fillId="9" borderId="0" xfId="0" applyNumberFormat="1" applyFont="1" applyFill="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0" fontId="4" fillId="0" borderId="9" xfId="0" applyFont="1" applyBorder="1" applyAlignment="1">
      <alignment horizontal="left" vertical="center"/>
    </xf>
    <xf numFmtId="0" fontId="13" fillId="0" borderId="0" xfId="0" quotePrefix="1" applyFont="1" applyAlignment="1">
      <alignment horizontal="left" vertical="center"/>
    </xf>
    <xf numFmtId="0" fontId="9" fillId="10" borderId="0" xfId="0" applyFont="1" applyFill="1" applyAlignment="1" applyProtection="1">
      <alignment horizontal="right" vertical="center"/>
      <protection locked="0"/>
    </xf>
    <xf numFmtId="0" fontId="14" fillId="0" borderId="0" xfId="0" applyFont="1" applyAlignment="1">
      <alignment horizontal="center"/>
    </xf>
    <xf numFmtId="3" fontId="15" fillId="9" borderId="0" xfId="0" applyNumberFormat="1" applyFont="1" applyFill="1" applyAlignment="1" applyProtection="1">
      <alignment horizontal="right" vertical="center"/>
      <protection locked="0"/>
    </xf>
    <xf numFmtId="0" fontId="0" fillId="0" borderId="0" xfId="0" applyAlignment="1">
      <alignment horizontal="center"/>
    </xf>
    <xf numFmtId="0" fontId="0" fillId="0" borderId="27" xfId="0" applyBorder="1" applyAlignment="1">
      <alignment horizontal="center"/>
    </xf>
    <xf numFmtId="0" fontId="0" fillId="1" borderId="0" xfId="0" applyFill="1" applyAlignment="1">
      <alignment horizontal="center"/>
    </xf>
    <xf numFmtId="0" fontId="0" fillId="1" borderId="1" xfId="0" applyFill="1" applyBorder="1" applyAlignment="1">
      <alignment horizontal="center"/>
    </xf>
    <xf numFmtId="0" fontId="0" fillId="0" borderId="0" xfId="0" applyAlignment="1" applyProtection="1">
      <alignment horizontal="right" vertical="center"/>
      <protection locked="0"/>
    </xf>
    <xf numFmtId="0" fontId="0" fillId="0" borderId="25" xfId="0" applyBorder="1" applyAlignment="1">
      <alignment horizontal="center"/>
    </xf>
    <xf numFmtId="0" fontId="0" fillId="1" borderId="25" xfId="0" applyFill="1" applyBorder="1" applyAlignment="1">
      <alignment horizontal="center"/>
    </xf>
    <xf numFmtId="0" fontId="0" fillId="0" borderId="0" xfId="0" applyAlignment="1" applyProtection="1">
      <alignment horizontal="left" vertical="center"/>
      <protection locked="0"/>
    </xf>
    <xf numFmtId="0" fontId="17" fillId="0" borderId="0" xfId="0" applyFont="1" applyAlignment="1" applyProtection="1">
      <alignment horizontal="left" vertical="center"/>
      <protection locked="0"/>
    </xf>
    <xf numFmtId="0" fontId="16" fillId="0" borderId="0" xfId="0" applyFont="1" applyAlignment="1" applyProtection="1">
      <alignment horizontal="left" vertical="center"/>
      <protection locked="0"/>
    </xf>
    <xf numFmtId="0" fontId="0" fillId="11" borderId="0" xfId="0" applyFill="1" applyAlignment="1" applyProtection="1">
      <alignment horizontal="lef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16" fillId="0" borderId="0" xfId="0" applyFont="1" applyAlignment="1" applyProtection="1">
      <alignment horizontal="right" vertical="center"/>
      <protection locked="0"/>
    </xf>
    <xf numFmtId="0" fontId="18" fillId="0" borderId="0" xfId="0" quotePrefix="1" applyFont="1" applyAlignment="1">
      <alignment horizontal="left" vertical="center"/>
    </xf>
    <xf numFmtId="0" fontId="18" fillId="0" borderId="0" xfId="0" quotePrefix="1" applyFont="1" applyAlignment="1" applyProtection="1">
      <alignment horizontal="right" vertical="center"/>
      <protection locked="0"/>
    </xf>
    <xf numFmtId="0" fontId="1" fillId="0" borderId="12" xfId="0" applyFont="1" applyBorder="1" applyAlignment="1">
      <alignment horizontal="center"/>
    </xf>
    <xf numFmtId="0" fontId="4" fillId="0" borderId="0" xfId="0" applyFont="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24" xfId="0" applyFont="1" applyBorder="1" applyAlignment="1">
      <alignment horizontal="center"/>
    </xf>
    <xf numFmtId="0" fontId="1" fillId="0" borderId="7" xfId="0" applyFont="1" applyBorder="1" applyAlignment="1" applyProtection="1">
      <alignment horizontal="left" vertical="center"/>
      <protection locked="0"/>
    </xf>
    <xf numFmtId="3" fontId="0" fillId="9" borderId="0" xfId="0" applyNumberFormat="1" applyFill="1" applyAlignment="1" applyProtection="1">
      <alignment horizontal="right" vertical="center"/>
      <protection locked="0"/>
    </xf>
    <xf numFmtId="0" fontId="0" fillId="0" borderId="0" xfId="0" quotePrefix="1" applyAlignment="1">
      <alignment wrapText="1"/>
    </xf>
    <xf numFmtId="0" fontId="0" fillId="0" borderId="0" xfId="0" quotePrefix="1"/>
    <xf numFmtId="0" fontId="15" fillId="17" borderId="0" xfId="0" quotePrefix="1" applyFont="1" applyFill="1" applyAlignment="1">
      <alignment vertical="top"/>
    </xf>
    <xf numFmtId="0" fontId="10" fillId="17" borderId="0" xfId="0" applyFont="1" applyFill="1"/>
    <xf numFmtId="0" fontId="10" fillId="17" borderId="0" xfId="0" applyFont="1" applyFill="1" applyAlignment="1">
      <alignment horizontal="right" vertical="center"/>
    </xf>
    <xf numFmtId="0" fontId="15" fillId="17" borderId="0" xfId="0" applyFont="1" applyFill="1" applyAlignment="1">
      <alignment horizontal="left" vertical="center"/>
    </xf>
    <xf numFmtId="0" fontId="10" fillId="17" borderId="0" xfId="1" applyFont="1" applyFill="1" applyBorder="1" applyAlignment="1"/>
    <xf numFmtId="0" fontId="22" fillId="17" borderId="0" xfId="0" quotePrefix="1" applyFont="1" applyFill="1" applyAlignment="1">
      <alignment vertical="top" wrapText="1"/>
    </xf>
    <xf numFmtId="0" fontId="21" fillId="17" borderId="0" xfId="0" applyFont="1" applyFill="1" applyAlignment="1">
      <alignment horizontal="left" vertical="center"/>
    </xf>
    <xf numFmtId="0" fontId="10" fillId="17" borderId="0" xfId="0" applyFont="1" applyFill="1" applyAlignment="1">
      <alignment horizontal="right" vertical="top" wrapText="1"/>
    </xf>
    <xf numFmtId="0" fontId="15" fillId="17" borderId="0" xfId="0" quotePrefix="1" applyFont="1" applyFill="1" applyAlignment="1">
      <alignment vertical="top" wrapText="1"/>
    </xf>
    <xf numFmtId="164" fontId="0" fillId="0" borderId="0" xfId="2" applyNumberFormat="1" applyFont="1" applyFill="1" applyBorder="1" applyAlignment="1" applyProtection="1">
      <alignment horizontal="right" vertical="center"/>
      <protection locked="0"/>
    </xf>
    <xf numFmtId="3" fontId="0" fillId="0" borderId="0" xfId="0" applyNumberFormat="1" applyAlignment="1" applyProtection="1">
      <alignment horizontal="right" vertical="center"/>
      <protection locked="0"/>
    </xf>
    <xf numFmtId="164" fontId="0" fillId="18" borderId="0" xfId="0" applyNumberFormat="1" applyFill="1" applyAlignment="1" applyProtection="1">
      <alignment horizontal="right" vertical="center"/>
      <protection locked="0"/>
    </xf>
    <xf numFmtId="9" fontId="0" fillId="18" borderId="0" xfId="2" applyFont="1" applyFill="1" applyBorder="1" applyAlignment="1" applyProtection="1">
      <alignment horizontal="right" vertical="center"/>
      <protection locked="0"/>
    </xf>
    <xf numFmtId="0" fontId="1" fillId="0" borderId="36" xfId="0" applyFont="1" applyBorder="1" applyAlignment="1">
      <alignment horizontal="center"/>
    </xf>
    <xf numFmtId="0" fontId="1" fillId="1" borderId="36" xfId="0" applyFont="1" applyFill="1" applyBorder="1" applyAlignment="1">
      <alignment horizontal="center"/>
    </xf>
    <xf numFmtId="0" fontId="0" fillId="1" borderId="36" xfId="0"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164" fontId="0" fillId="19" borderId="0" xfId="0" applyNumberFormat="1" applyFill="1" applyAlignment="1" applyProtection="1">
      <alignment horizontal="right" vertical="center"/>
      <protection locked="0"/>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1" fillId="0" borderId="8" xfId="0" applyFont="1" applyBorder="1" applyAlignment="1">
      <alignment horizontal="center"/>
    </xf>
    <xf numFmtId="0" fontId="6" fillId="5" borderId="33" xfId="0" applyFont="1" applyFill="1" applyBorder="1" applyAlignment="1" applyProtection="1">
      <alignment horizontal="center" vertical="center"/>
      <protection hidden="1"/>
    </xf>
    <xf numFmtId="0" fontId="0" fillId="6" borderId="0" xfId="0" applyFill="1" applyAlignment="1">
      <alignment horizontal="left" vertical="top" wrapText="1"/>
    </xf>
    <xf numFmtId="0" fontId="21" fillId="17" borderId="0" xfId="0" applyFont="1" applyFill="1" applyAlignment="1">
      <alignment horizontal="left" vertical="center"/>
    </xf>
    <xf numFmtId="0" fontId="10" fillId="17" borderId="0" xfId="0" applyFont="1" applyFill="1" applyAlignment="1">
      <alignment horizontal="right" vertical="top" wrapText="1"/>
    </xf>
    <xf numFmtId="0" fontId="10" fillId="17" borderId="0" xfId="0" applyFont="1" applyFill="1" applyAlignment="1">
      <alignment horizontal="left" vertical="top"/>
    </xf>
    <xf numFmtId="0" fontId="25" fillId="0" borderId="0" xfId="0" applyFont="1" applyAlignment="1" applyProtection="1">
      <alignment horizontal="left" vertical="center"/>
      <protection locked="0"/>
    </xf>
    <xf numFmtId="3" fontId="25" fillId="0" borderId="0" xfId="0" applyNumberFormat="1" applyFont="1" applyAlignment="1" applyProtection="1">
      <alignment horizontal="right" vertical="center"/>
      <protection locked="0"/>
    </xf>
  </cellXfs>
  <cellStyles count="3">
    <cellStyle name="Accent6" xfId="1" builtinId="49"/>
    <cellStyle name="Normal" xfId="0" builtinId="0"/>
    <cellStyle name="Percent" xfId="2" builtinId="5"/>
  </cellStyles>
  <dxfs count="0"/>
  <tableStyles count="1" defaultTableStyle="TableStyleMedium2" defaultPivotStyle="PivotStyleLight16">
    <tableStyle name="Invisible" pivot="0" table="0" count="0" xr9:uid="{7F492371-BD5D-47A4-AE15-4B7B894FB143}"/>
  </tableStyles>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customXml" Target="../customXml/item5.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735647831162022"/>
          <c:h val="0.83800649918760151"/>
        </c:manualLayout>
      </c:layout>
      <c:barChart>
        <c:barDir val="col"/>
        <c:grouping val="clustered"/>
        <c:varyColors val="0"/>
        <c:ser>
          <c:idx val="0"/>
          <c:order val="0"/>
          <c:tx>
            <c:v>Net Actual Adjusted (Inv)</c:v>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SapIbpChartFeeder!$C$3:$HF$3</c:f>
              <c:strCache>
                <c:ptCount val="212"/>
                <c:pt idx="0">
                  <c:v>07.10.2019</c:v>
                </c:pt>
                <c:pt idx="1">
                  <c:v>14.10.2019</c:v>
                </c:pt>
                <c:pt idx="2">
                  <c:v>21.10.2019</c:v>
                </c:pt>
                <c:pt idx="3">
                  <c:v>28.10.2019</c:v>
                </c:pt>
                <c:pt idx="4">
                  <c:v>04.11.2019</c:v>
                </c:pt>
                <c:pt idx="5">
                  <c:v>11.11.2019</c:v>
                </c:pt>
                <c:pt idx="6">
                  <c:v>18.11.2019</c:v>
                </c:pt>
                <c:pt idx="7">
                  <c:v>25.11.2019</c:v>
                </c:pt>
                <c:pt idx="8">
                  <c:v>02.12.2019</c:v>
                </c:pt>
                <c:pt idx="9">
                  <c:v>09.12.2019</c:v>
                </c:pt>
                <c:pt idx="10">
                  <c:v>16.12.2019</c:v>
                </c:pt>
                <c:pt idx="11">
                  <c:v>23.12.2019</c:v>
                </c:pt>
                <c:pt idx="12">
                  <c:v>30.12.2019</c:v>
                </c:pt>
                <c:pt idx="13">
                  <c:v>06.01.2020</c:v>
                </c:pt>
                <c:pt idx="14">
                  <c:v>13.01.2020</c:v>
                </c:pt>
                <c:pt idx="15">
                  <c:v>20.01.2020</c:v>
                </c:pt>
                <c:pt idx="16">
                  <c:v>27.01.2020</c:v>
                </c:pt>
                <c:pt idx="17">
                  <c:v>03.02.2020</c:v>
                </c:pt>
                <c:pt idx="18">
                  <c:v>10.02.2020</c:v>
                </c:pt>
                <c:pt idx="19">
                  <c:v>17.02.2020</c:v>
                </c:pt>
                <c:pt idx="20">
                  <c:v>24.02.2020</c:v>
                </c:pt>
                <c:pt idx="21">
                  <c:v>02.03.2020</c:v>
                </c:pt>
                <c:pt idx="22">
                  <c:v>09.03.2020</c:v>
                </c:pt>
                <c:pt idx="23">
                  <c:v>16.03.2020</c:v>
                </c:pt>
                <c:pt idx="24">
                  <c:v>23.03.2020</c:v>
                </c:pt>
                <c:pt idx="25">
                  <c:v>30.03.2020</c:v>
                </c:pt>
                <c:pt idx="26">
                  <c:v>06.04.2020</c:v>
                </c:pt>
                <c:pt idx="27">
                  <c:v>13.04.2020</c:v>
                </c:pt>
                <c:pt idx="28">
                  <c:v>20.04.2020</c:v>
                </c:pt>
                <c:pt idx="29">
                  <c:v>27.04.2020</c:v>
                </c:pt>
                <c:pt idx="30">
                  <c:v>04.05.2020</c:v>
                </c:pt>
                <c:pt idx="31">
                  <c:v>11.05.2020</c:v>
                </c:pt>
                <c:pt idx="32">
                  <c:v>18.05.2020</c:v>
                </c:pt>
                <c:pt idx="33">
                  <c:v>25.05.2020</c:v>
                </c:pt>
                <c:pt idx="34">
                  <c:v>01.06.2020</c:v>
                </c:pt>
                <c:pt idx="35">
                  <c:v>08.06.2020</c:v>
                </c:pt>
                <c:pt idx="36">
                  <c:v>15.06.2020</c:v>
                </c:pt>
                <c:pt idx="37">
                  <c:v>22.06.2020</c:v>
                </c:pt>
                <c:pt idx="38">
                  <c:v>29.06.2020</c:v>
                </c:pt>
                <c:pt idx="39">
                  <c:v>06.07.2020</c:v>
                </c:pt>
                <c:pt idx="40">
                  <c:v>13.07.2020</c:v>
                </c:pt>
                <c:pt idx="41">
                  <c:v>20.07.2020</c:v>
                </c:pt>
                <c:pt idx="42">
                  <c:v>27.07.2020</c:v>
                </c:pt>
                <c:pt idx="43">
                  <c:v>03.08.2020</c:v>
                </c:pt>
                <c:pt idx="44">
                  <c:v>10.08.2020</c:v>
                </c:pt>
                <c:pt idx="45">
                  <c:v>17.08.2020</c:v>
                </c:pt>
                <c:pt idx="46">
                  <c:v>24.08.2020</c:v>
                </c:pt>
                <c:pt idx="47">
                  <c:v>31.08.2020</c:v>
                </c:pt>
                <c:pt idx="48">
                  <c:v>07.09.2020</c:v>
                </c:pt>
                <c:pt idx="49">
                  <c:v>14.09.2020</c:v>
                </c:pt>
                <c:pt idx="50">
                  <c:v>21.09.2020</c:v>
                </c:pt>
                <c:pt idx="51">
                  <c:v>28.09.2020</c:v>
                </c:pt>
                <c:pt idx="52">
                  <c:v>05.10.2020</c:v>
                </c:pt>
                <c:pt idx="53">
                  <c:v>12.10.2020</c:v>
                </c:pt>
                <c:pt idx="54">
                  <c:v>19.10.2020</c:v>
                </c:pt>
                <c:pt idx="55">
                  <c:v>26.10.2020</c:v>
                </c:pt>
                <c:pt idx="56">
                  <c:v>02.11.2020</c:v>
                </c:pt>
                <c:pt idx="57">
                  <c:v>09.11.2020</c:v>
                </c:pt>
                <c:pt idx="58">
                  <c:v>16.11.2020</c:v>
                </c:pt>
                <c:pt idx="59">
                  <c:v>23.11.2020</c:v>
                </c:pt>
                <c:pt idx="60">
                  <c:v>30.11.2020</c:v>
                </c:pt>
                <c:pt idx="61">
                  <c:v>07.12.2020</c:v>
                </c:pt>
                <c:pt idx="62">
                  <c:v>14.12.2020</c:v>
                </c:pt>
                <c:pt idx="63">
                  <c:v>21.12.2020</c:v>
                </c:pt>
                <c:pt idx="64">
                  <c:v>28.12.2020</c:v>
                </c:pt>
                <c:pt idx="65">
                  <c:v>04.01.2021</c:v>
                </c:pt>
                <c:pt idx="66">
                  <c:v>11.01.2021</c:v>
                </c:pt>
                <c:pt idx="67">
                  <c:v>18.01.2021</c:v>
                </c:pt>
                <c:pt idx="68">
                  <c:v>25.01.2021</c:v>
                </c:pt>
                <c:pt idx="69">
                  <c:v>01.02.2021</c:v>
                </c:pt>
                <c:pt idx="70">
                  <c:v>08.02.2021</c:v>
                </c:pt>
                <c:pt idx="71">
                  <c:v>15.02.2021</c:v>
                </c:pt>
                <c:pt idx="72">
                  <c:v>22.02.2021</c:v>
                </c:pt>
                <c:pt idx="73">
                  <c:v>01.03.2021</c:v>
                </c:pt>
                <c:pt idx="74">
                  <c:v>08.03.2021</c:v>
                </c:pt>
                <c:pt idx="75">
                  <c:v>15.03.2021</c:v>
                </c:pt>
                <c:pt idx="76">
                  <c:v>22.03.2021</c:v>
                </c:pt>
                <c:pt idx="77">
                  <c:v>29.03.2021</c:v>
                </c:pt>
                <c:pt idx="78">
                  <c:v>05.04.2021</c:v>
                </c:pt>
                <c:pt idx="79">
                  <c:v>12.04.2021</c:v>
                </c:pt>
                <c:pt idx="80">
                  <c:v>19.04.2021</c:v>
                </c:pt>
                <c:pt idx="81">
                  <c:v>26.04.2021</c:v>
                </c:pt>
                <c:pt idx="82">
                  <c:v>03.05.2021</c:v>
                </c:pt>
                <c:pt idx="83">
                  <c:v>10.05.2021</c:v>
                </c:pt>
                <c:pt idx="84">
                  <c:v>17.05.2021</c:v>
                </c:pt>
                <c:pt idx="85">
                  <c:v>24.05.2021</c:v>
                </c:pt>
                <c:pt idx="86">
                  <c:v>31.05.2021</c:v>
                </c:pt>
                <c:pt idx="87">
                  <c:v>07.06.2021</c:v>
                </c:pt>
                <c:pt idx="88">
                  <c:v>14.06.2021</c:v>
                </c:pt>
                <c:pt idx="89">
                  <c:v>21.06.2021</c:v>
                </c:pt>
                <c:pt idx="90">
                  <c:v>28.06.2021</c:v>
                </c:pt>
                <c:pt idx="91">
                  <c:v>05.07.2021</c:v>
                </c:pt>
                <c:pt idx="92">
                  <c:v>12.07.2021</c:v>
                </c:pt>
                <c:pt idx="93">
                  <c:v>19.07.2021</c:v>
                </c:pt>
                <c:pt idx="94">
                  <c:v>26.07.2021</c:v>
                </c:pt>
                <c:pt idx="95">
                  <c:v>02.08.2021</c:v>
                </c:pt>
                <c:pt idx="96">
                  <c:v>09.08.2021</c:v>
                </c:pt>
                <c:pt idx="97">
                  <c:v>16.08.2021</c:v>
                </c:pt>
                <c:pt idx="98">
                  <c:v>23.08.2021</c:v>
                </c:pt>
                <c:pt idx="99">
                  <c:v>30.08.2021</c:v>
                </c:pt>
                <c:pt idx="100">
                  <c:v>06.09.2021</c:v>
                </c:pt>
                <c:pt idx="101">
                  <c:v>13.09.2021</c:v>
                </c:pt>
                <c:pt idx="102">
                  <c:v>20.09.2021</c:v>
                </c:pt>
                <c:pt idx="103">
                  <c:v>27.09.2021</c:v>
                </c:pt>
                <c:pt idx="104">
                  <c:v>04.10.2021</c:v>
                </c:pt>
                <c:pt idx="105">
                  <c:v>11.10.2021</c:v>
                </c:pt>
                <c:pt idx="106">
                  <c:v>18.10.2021</c:v>
                </c:pt>
                <c:pt idx="107">
                  <c:v>25.10.2021</c:v>
                </c:pt>
                <c:pt idx="108">
                  <c:v>01.11.2021</c:v>
                </c:pt>
                <c:pt idx="109">
                  <c:v>08.11.2021</c:v>
                </c:pt>
                <c:pt idx="110">
                  <c:v>15.11.2021</c:v>
                </c:pt>
                <c:pt idx="111">
                  <c:v>22.11.2021</c:v>
                </c:pt>
                <c:pt idx="112">
                  <c:v>29.11.2021</c:v>
                </c:pt>
                <c:pt idx="113">
                  <c:v>06.12.2021</c:v>
                </c:pt>
                <c:pt idx="114">
                  <c:v>13.12.2021</c:v>
                </c:pt>
                <c:pt idx="115">
                  <c:v>20.12.2021</c:v>
                </c:pt>
                <c:pt idx="116">
                  <c:v>27.12.2021</c:v>
                </c:pt>
                <c:pt idx="117">
                  <c:v>03.01.2022</c:v>
                </c:pt>
                <c:pt idx="118">
                  <c:v>10.01.2022</c:v>
                </c:pt>
                <c:pt idx="119">
                  <c:v>17.01.2022</c:v>
                </c:pt>
                <c:pt idx="120">
                  <c:v>24.01.2022</c:v>
                </c:pt>
                <c:pt idx="121">
                  <c:v>31.01.2022</c:v>
                </c:pt>
                <c:pt idx="122">
                  <c:v>07.02.2022</c:v>
                </c:pt>
                <c:pt idx="123">
                  <c:v>14.02.2022</c:v>
                </c:pt>
                <c:pt idx="124">
                  <c:v>21.02.2022</c:v>
                </c:pt>
                <c:pt idx="125">
                  <c:v>28.02.2022</c:v>
                </c:pt>
                <c:pt idx="126">
                  <c:v>07.03.2022</c:v>
                </c:pt>
                <c:pt idx="127">
                  <c:v>14.03.2022</c:v>
                </c:pt>
                <c:pt idx="128">
                  <c:v>21.03.2022</c:v>
                </c:pt>
                <c:pt idx="129">
                  <c:v>28.03.2022</c:v>
                </c:pt>
                <c:pt idx="130">
                  <c:v>04.04.2022</c:v>
                </c:pt>
                <c:pt idx="131">
                  <c:v>11.04.2022</c:v>
                </c:pt>
                <c:pt idx="132">
                  <c:v>18.04.2022</c:v>
                </c:pt>
                <c:pt idx="133">
                  <c:v>25.04.2022</c:v>
                </c:pt>
                <c:pt idx="134">
                  <c:v>02.05.2022</c:v>
                </c:pt>
                <c:pt idx="135">
                  <c:v>09.05.2022</c:v>
                </c:pt>
                <c:pt idx="136">
                  <c:v>16.05.2022</c:v>
                </c:pt>
                <c:pt idx="137">
                  <c:v>23.05.2022</c:v>
                </c:pt>
                <c:pt idx="138">
                  <c:v>30.05.2022</c:v>
                </c:pt>
                <c:pt idx="139">
                  <c:v>06.06.2022</c:v>
                </c:pt>
                <c:pt idx="140">
                  <c:v>13.06.2022</c:v>
                </c:pt>
                <c:pt idx="141">
                  <c:v>20.06.2022</c:v>
                </c:pt>
                <c:pt idx="142">
                  <c:v>27.06.2022</c:v>
                </c:pt>
                <c:pt idx="143">
                  <c:v>04.07.2022</c:v>
                </c:pt>
                <c:pt idx="144">
                  <c:v>11.07.2022</c:v>
                </c:pt>
                <c:pt idx="145">
                  <c:v>18.07.2022</c:v>
                </c:pt>
                <c:pt idx="146">
                  <c:v>25.07.2022</c:v>
                </c:pt>
                <c:pt idx="147">
                  <c:v>01.08.2022</c:v>
                </c:pt>
                <c:pt idx="148">
                  <c:v>08.08.2022</c:v>
                </c:pt>
                <c:pt idx="149">
                  <c:v>15.08.2022</c:v>
                </c:pt>
                <c:pt idx="150">
                  <c:v>22.08.2022</c:v>
                </c:pt>
                <c:pt idx="151">
                  <c:v>29.08.2022</c:v>
                </c:pt>
                <c:pt idx="152">
                  <c:v>05.09.2022</c:v>
                </c:pt>
                <c:pt idx="153">
                  <c:v>12.09.2022</c:v>
                </c:pt>
                <c:pt idx="154">
                  <c:v>19.09.2022</c:v>
                </c:pt>
                <c:pt idx="155">
                  <c:v>26.09.2022</c:v>
                </c:pt>
                <c:pt idx="156">
                  <c:v>03.10.2022</c:v>
                </c:pt>
                <c:pt idx="157">
                  <c:v>10.10.2022</c:v>
                </c:pt>
                <c:pt idx="158">
                  <c:v>17.10.2022</c:v>
                </c:pt>
                <c:pt idx="159">
                  <c:v>24.10.2022</c:v>
                </c:pt>
                <c:pt idx="160">
                  <c:v>31.10.2022</c:v>
                </c:pt>
                <c:pt idx="161">
                  <c:v>07.11.2022</c:v>
                </c:pt>
                <c:pt idx="162">
                  <c:v>14.11.2022</c:v>
                </c:pt>
                <c:pt idx="163">
                  <c:v>21.11.2022</c:v>
                </c:pt>
                <c:pt idx="164">
                  <c:v>28.11.2022</c:v>
                </c:pt>
                <c:pt idx="165">
                  <c:v>05.12.2022</c:v>
                </c:pt>
                <c:pt idx="166">
                  <c:v>12.12.2022</c:v>
                </c:pt>
                <c:pt idx="167">
                  <c:v>19.12.2022</c:v>
                </c:pt>
                <c:pt idx="168">
                  <c:v>26.12.2022</c:v>
                </c:pt>
                <c:pt idx="169">
                  <c:v>02.01.2023</c:v>
                </c:pt>
                <c:pt idx="170">
                  <c:v>09.01.2023</c:v>
                </c:pt>
                <c:pt idx="171">
                  <c:v>16.01.2023</c:v>
                </c:pt>
                <c:pt idx="172">
                  <c:v>23.01.2023</c:v>
                </c:pt>
                <c:pt idx="173">
                  <c:v>30.01.2023</c:v>
                </c:pt>
                <c:pt idx="174">
                  <c:v>06.02.2023</c:v>
                </c:pt>
                <c:pt idx="175">
                  <c:v>13.02.2023</c:v>
                </c:pt>
                <c:pt idx="176">
                  <c:v>20.02.2023</c:v>
                </c:pt>
                <c:pt idx="177">
                  <c:v>27.02.2023</c:v>
                </c:pt>
                <c:pt idx="178">
                  <c:v>06.03.2023</c:v>
                </c:pt>
                <c:pt idx="179">
                  <c:v>13.03.2023</c:v>
                </c:pt>
                <c:pt idx="180">
                  <c:v>20.03.2023</c:v>
                </c:pt>
                <c:pt idx="181">
                  <c:v>27.03.2023</c:v>
                </c:pt>
                <c:pt idx="182">
                  <c:v>03.04.2023</c:v>
                </c:pt>
                <c:pt idx="183">
                  <c:v>10.04.2023</c:v>
                </c:pt>
                <c:pt idx="184">
                  <c:v>17.04.2023</c:v>
                </c:pt>
                <c:pt idx="185">
                  <c:v>24.04.2023</c:v>
                </c:pt>
                <c:pt idx="186">
                  <c:v>01.05.2023</c:v>
                </c:pt>
                <c:pt idx="187">
                  <c:v>08.05.2023</c:v>
                </c:pt>
                <c:pt idx="188">
                  <c:v>15.05.2023</c:v>
                </c:pt>
                <c:pt idx="189">
                  <c:v>22.05.2023</c:v>
                </c:pt>
                <c:pt idx="190">
                  <c:v>29.05.2023</c:v>
                </c:pt>
                <c:pt idx="191">
                  <c:v>05.06.2023</c:v>
                </c:pt>
                <c:pt idx="192">
                  <c:v>12.06.2023</c:v>
                </c:pt>
                <c:pt idx="193">
                  <c:v>19.06.2023</c:v>
                </c:pt>
                <c:pt idx="194">
                  <c:v>26.06.2023</c:v>
                </c:pt>
                <c:pt idx="195">
                  <c:v>03.07.2023</c:v>
                </c:pt>
                <c:pt idx="196">
                  <c:v>10.07.2023</c:v>
                </c:pt>
                <c:pt idx="197">
                  <c:v>17.07.2023</c:v>
                </c:pt>
                <c:pt idx="198">
                  <c:v>24.07.2023</c:v>
                </c:pt>
                <c:pt idx="199">
                  <c:v>31.07.2023</c:v>
                </c:pt>
                <c:pt idx="200">
                  <c:v>07.08.2023</c:v>
                </c:pt>
                <c:pt idx="201">
                  <c:v>14.08.2023</c:v>
                </c:pt>
                <c:pt idx="202">
                  <c:v>21.08.2023</c:v>
                </c:pt>
                <c:pt idx="203">
                  <c:v>28.08.2023</c:v>
                </c:pt>
                <c:pt idx="204">
                  <c:v>04.09.2023</c:v>
                </c:pt>
                <c:pt idx="205">
                  <c:v>11.09.2023</c:v>
                </c:pt>
                <c:pt idx="206">
                  <c:v>18.09.2023</c:v>
                </c:pt>
                <c:pt idx="207">
                  <c:v>25.09.2023</c:v>
                </c:pt>
                <c:pt idx="208">
                  <c:v>02.10.2023</c:v>
                </c:pt>
                <c:pt idx="209">
                  <c:v>09.10.2023</c:v>
                </c:pt>
                <c:pt idx="210">
                  <c:v>16.10.2023</c:v>
                </c:pt>
                <c:pt idx="211">
                  <c:v>23.10.2023</c:v>
                </c:pt>
              </c:strCache>
            </c:strRef>
          </c:cat>
          <c:val>
            <c:numRef>
              <c:f>SapIbpChartFeeder!$C$4:$HF$4</c:f>
              <c:numCache>
                <c:formatCode>General</c:formatCode>
                <c:ptCount val="212"/>
                <c:pt idx="0">
                  <c:v>190476.88509299999</c:v>
                </c:pt>
                <c:pt idx="1">
                  <c:v>189682.97307499999</c:v>
                </c:pt>
                <c:pt idx="2">
                  <c:v>187783.00126300001</c:v>
                </c:pt>
                <c:pt idx="3">
                  <c:v>185378.64535400001</c:v>
                </c:pt>
                <c:pt idx="4">
                  <c:v>185752.19375599999</c:v>
                </c:pt>
                <c:pt idx="5">
                  <c:v>191231.450155</c:v>
                </c:pt>
                <c:pt idx="6">
                  <c:v>186628.26204900001</c:v>
                </c:pt>
                <c:pt idx="7">
                  <c:v>185330.48708799999</c:v>
                </c:pt>
                <c:pt idx="8">
                  <c:v>184805.25427400001</c:v>
                </c:pt>
                <c:pt idx="9">
                  <c:v>184514.076271</c:v>
                </c:pt>
                <c:pt idx="10">
                  <c:v>180055.46086799999</c:v>
                </c:pt>
                <c:pt idx="11">
                  <c:v>174829.56284699999</c:v>
                </c:pt>
                <c:pt idx="12">
                  <c:v>188424.109077</c:v>
                </c:pt>
                <c:pt idx="13">
                  <c:v>189442.612987</c:v>
                </c:pt>
                <c:pt idx="14">
                  <c:v>183840.635369</c:v>
                </c:pt>
                <c:pt idx="15">
                  <c:v>186732.85537599999</c:v>
                </c:pt>
                <c:pt idx="16">
                  <c:v>196078.08728599999</c:v>
                </c:pt>
                <c:pt idx="17">
                  <c:v>196233.06592200001</c:v>
                </c:pt>
                <c:pt idx="18">
                  <c:v>194349.71479999999</c:v>
                </c:pt>
                <c:pt idx="19">
                  <c:v>192842.088296</c:v>
                </c:pt>
                <c:pt idx="20">
                  <c:v>199717.08431599999</c:v>
                </c:pt>
                <c:pt idx="21">
                  <c:v>208322.09089799999</c:v>
                </c:pt>
                <c:pt idx="22">
                  <c:v>204279.97907199999</c:v>
                </c:pt>
                <c:pt idx="23">
                  <c:v>230552.96079499999</c:v>
                </c:pt>
                <c:pt idx="24">
                  <c:v>217520.11804200002</c:v>
                </c:pt>
                <c:pt idx="25">
                  <c:v>203593.31355599998</c:v>
                </c:pt>
                <c:pt idx="26">
                  <c:v>202142.81164699999</c:v>
                </c:pt>
                <c:pt idx="27">
                  <c:v>208530.84679600003</c:v>
                </c:pt>
                <c:pt idx="28">
                  <c:v>199530.07836900002</c:v>
                </c:pt>
                <c:pt idx="29">
                  <c:v>198027.10246999998</c:v>
                </c:pt>
                <c:pt idx="30">
                  <c:v>198420.19057899999</c:v>
                </c:pt>
                <c:pt idx="31">
                  <c:v>197594.78306799999</c:v>
                </c:pt>
                <c:pt idx="32">
                  <c:v>202826.57646900002</c:v>
                </c:pt>
                <c:pt idx="33">
                  <c:v>189782.46984100001</c:v>
                </c:pt>
                <c:pt idx="34">
                  <c:v>194067.69402900001</c:v>
                </c:pt>
                <c:pt idx="35">
                  <c:v>192441.67391199997</c:v>
                </c:pt>
                <c:pt idx="36">
                  <c:v>193475.433773</c:v>
                </c:pt>
                <c:pt idx="37">
                  <c:v>195546.55686499999</c:v>
                </c:pt>
                <c:pt idx="38">
                  <c:v>197290.08068500002</c:v>
                </c:pt>
                <c:pt idx="39">
                  <c:v>202467.04764599999</c:v>
                </c:pt>
                <c:pt idx="40">
                  <c:v>198821.67628999997</c:v>
                </c:pt>
                <c:pt idx="41">
                  <c:v>200892.687114</c:v>
                </c:pt>
                <c:pt idx="42">
                  <c:v>199579.55223299999</c:v>
                </c:pt>
                <c:pt idx="43">
                  <c:v>194872.74823299999</c:v>
                </c:pt>
                <c:pt idx="44">
                  <c:v>199776.23253899999</c:v>
                </c:pt>
                <c:pt idx="45">
                  <c:v>201331.60241999998</c:v>
                </c:pt>
                <c:pt idx="46">
                  <c:v>205544.384311</c:v>
                </c:pt>
                <c:pt idx="47">
                  <c:v>207458.109119</c:v>
                </c:pt>
                <c:pt idx="48">
                  <c:v>207608.448577</c:v>
                </c:pt>
                <c:pt idx="49">
                  <c:v>209724.93545699999</c:v>
                </c:pt>
                <c:pt idx="50">
                  <c:v>210819.57497000002</c:v>
                </c:pt>
                <c:pt idx="51">
                  <c:v>209898.27848199999</c:v>
                </c:pt>
                <c:pt idx="52">
                  <c:v>214890.46147100002</c:v>
                </c:pt>
                <c:pt idx="53">
                  <c:v>216819.84487299999</c:v>
                </c:pt>
                <c:pt idx="54">
                  <c:v>213904.17804600002</c:v>
                </c:pt>
                <c:pt idx="55">
                  <c:v>212948.33489700002</c:v>
                </c:pt>
                <c:pt idx="56">
                  <c:v>213538.36000300001</c:v>
                </c:pt>
                <c:pt idx="57">
                  <c:v>211284.57325699998</c:v>
                </c:pt>
                <c:pt idx="58">
                  <c:v>218546.536081</c:v>
                </c:pt>
                <c:pt idx="59">
                  <c:v>219923.81659</c:v>
                </c:pt>
                <c:pt idx="60">
                  <c:v>216249.91882000002</c:v>
                </c:pt>
                <c:pt idx="61">
                  <c:v>220285.30241900001</c:v>
                </c:pt>
                <c:pt idx="62">
                  <c:v>205472.39484599998</c:v>
                </c:pt>
                <c:pt idx="63">
                  <c:v>220086.025452</c:v>
                </c:pt>
                <c:pt idx="64">
                  <c:v>215407.29355500001</c:v>
                </c:pt>
                <c:pt idx="65">
                  <c:v>217564.29677800002</c:v>
                </c:pt>
                <c:pt idx="66">
                  <c:v>215439.32484699998</c:v>
                </c:pt>
                <c:pt idx="67">
                  <c:v>217203.28305</c:v>
                </c:pt>
                <c:pt idx="68">
                  <c:v>218492.998789</c:v>
                </c:pt>
                <c:pt idx="69">
                  <c:v>219361.33398</c:v>
                </c:pt>
                <c:pt idx="70">
                  <c:v>224787.54707999999</c:v>
                </c:pt>
                <c:pt idx="71">
                  <c:v>219821.93706200001</c:v>
                </c:pt>
                <c:pt idx="72">
                  <c:v>218287.43114999999</c:v>
                </c:pt>
                <c:pt idx="73">
                  <c:v>219614.160753</c:v>
                </c:pt>
                <c:pt idx="74">
                  <c:v>220690.73941499999</c:v>
                </c:pt>
                <c:pt idx="75">
                  <c:v>221562.27351299999</c:v>
                </c:pt>
                <c:pt idx="76">
                  <c:v>221658.04165000003</c:v>
                </c:pt>
                <c:pt idx="77">
                  <c:v>218062.474151</c:v>
                </c:pt>
                <c:pt idx="78">
                  <c:v>221949.99219699999</c:v>
                </c:pt>
                <c:pt idx="79">
                  <c:v>217332.117658</c:v>
                </c:pt>
                <c:pt idx="80">
                  <c:v>217440.716637</c:v>
                </c:pt>
                <c:pt idx="81">
                  <c:v>223028.250849</c:v>
                </c:pt>
                <c:pt idx="82">
                  <c:v>219211.19269</c:v>
                </c:pt>
                <c:pt idx="83">
                  <c:v>214926.61849299999</c:v>
                </c:pt>
                <c:pt idx="84">
                  <c:v>220611.33710999999</c:v>
                </c:pt>
                <c:pt idx="85">
                  <c:v>224606.57780700002</c:v>
                </c:pt>
                <c:pt idx="86">
                  <c:v>221530.35689300002</c:v>
                </c:pt>
                <c:pt idx="87">
                  <c:v>219638.80854299999</c:v>
                </c:pt>
                <c:pt idx="88">
                  <c:v>218562.35416299998</c:v>
                </c:pt>
                <c:pt idx="89">
                  <c:v>221142.395583</c:v>
                </c:pt>
                <c:pt idx="90">
                  <c:v>218786.28672</c:v>
                </c:pt>
                <c:pt idx="91">
                  <c:v>219225.43865900001</c:v>
                </c:pt>
                <c:pt idx="92">
                  <c:v>222880.219893</c:v>
                </c:pt>
                <c:pt idx="93">
                  <c:v>222504.933865</c:v>
                </c:pt>
                <c:pt idx="94">
                  <c:v>222577.83651600001</c:v>
                </c:pt>
                <c:pt idx="95">
                  <c:v>223302.478523</c:v>
                </c:pt>
                <c:pt idx="96">
                  <c:v>226139.15257500001</c:v>
                </c:pt>
                <c:pt idx="97">
                  <c:v>221833.01340200001</c:v>
                </c:pt>
                <c:pt idx="98">
                  <c:v>224500.24442999999</c:v>
                </c:pt>
                <c:pt idx="99">
                  <c:v>222135.08503800002</c:v>
                </c:pt>
                <c:pt idx="100">
                  <c:v>219511.27852000002</c:v>
                </c:pt>
                <c:pt idx="101">
                  <c:v>222143.35087899998</c:v>
                </c:pt>
                <c:pt idx="102">
                  <c:v>225963.057038</c:v>
                </c:pt>
                <c:pt idx="103">
                  <c:v>216910.07987700001</c:v>
                </c:pt>
                <c:pt idx="104">
                  <c:v>228845.55069699997</c:v>
                </c:pt>
                <c:pt idx="105">
                  <c:v>217466</c:v>
                </c:pt>
                <c:pt idx="106">
                  <c:v>254239</c:v>
                </c:pt>
                <c:pt idx="107">
                  <c:v>146</c:v>
                </c:pt>
                <c:pt idx="108">
                  <c:v>3</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numCache>
            </c:numRef>
          </c:val>
          <c:extLst>
            <c:ext xmlns:c16="http://schemas.microsoft.com/office/drawing/2014/chart" uri="{C3380CC4-5D6E-409C-BE32-E72D297353CC}">
              <c16:uniqueId val="{00000000-1E05-4D36-B083-579CDC86F057}"/>
            </c:ext>
          </c:extLst>
        </c:ser>
        <c:ser>
          <c:idx val="1"/>
          <c:order val="1"/>
          <c:tx>
            <c:v>Baseline Adjusted</c:v>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SapIbpChartFeeder!$C$3:$HF$3</c:f>
              <c:strCache>
                <c:ptCount val="212"/>
                <c:pt idx="0">
                  <c:v>07.10.2019</c:v>
                </c:pt>
                <c:pt idx="1">
                  <c:v>14.10.2019</c:v>
                </c:pt>
                <c:pt idx="2">
                  <c:v>21.10.2019</c:v>
                </c:pt>
                <c:pt idx="3">
                  <c:v>28.10.2019</c:v>
                </c:pt>
                <c:pt idx="4">
                  <c:v>04.11.2019</c:v>
                </c:pt>
                <c:pt idx="5">
                  <c:v>11.11.2019</c:v>
                </c:pt>
                <c:pt idx="6">
                  <c:v>18.11.2019</c:v>
                </c:pt>
                <c:pt idx="7">
                  <c:v>25.11.2019</c:v>
                </c:pt>
                <c:pt idx="8">
                  <c:v>02.12.2019</c:v>
                </c:pt>
                <c:pt idx="9">
                  <c:v>09.12.2019</c:v>
                </c:pt>
                <c:pt idx="10">
                  <c:v>16.12.2019</c:v>
                </c:pt>
                <c:pt idx="11">
                  <c:v>23.12.2019</c:v>
                </c:pt>
                <c:pt idx="12">
                  <c:v>30.12.2019</c:v>
                </c:pt>
                <c:pt idx="13">
                  <c:v>06.01.2020</c:v>
                </c:pt>
                <c:pt idx="14">
                  <c:v>13.01.2020</c:v>
                </c:pt>
                <c:pt idx="15">
                  <c:v>20.01.2020</c:v>
                </c:pt>
                <c:pt idx="16">
                  <c:v>27.01.2020</c:v>
                </c:pt>
                <c:pt idx="17">
                  <c:v>03.02.2020</c:v>
                </c:pt>
                <c:pt idx="18">
                  <c:v>10.02.2020</c:v>
                </c:pt>
                <c:pt idx="19">
                  <c:v>17.02.2020</c:v>
                </c:pt>
                <c:pt idx="20">
                  <c:v>24.02.2020</c:v>
                </c:pt>
                <c:pt idx="21">
                  <c:v>02.03.2020</c:v>
                </c:pt>
                <c:pt idx="22">
                  <c:v>09.03.2020</c:v>
                </c:pt>
                <c:pt idx="23">
                  <c:v>16.03.2020</c:v>
                </c:pt>
                <c:pt idx="24">
                  <c:v>23.03.2020</c:v>
                </c:pt>
                <c:pt idx="25">
                  <c:v>30.03.2020</c:v>
                </c:pt>
                <c:pt idx="26">
                  <c:v>06.04.2020</c:v>
                </c:pt>
                <c:pt idx="27">
                  <c:v>13.04.2020</c:v>
                </c:pt>
                <c:pt idx="28">
                  <c:v>20.04.2020</c:v>
                </c:pt>
                <c:pt idx="29">
                  <c:v>27.04.2020</c:v>
                </c:pt>
                <c:pt idx="30">
                  <c:v>04.05.2020</c:v>
                </c:pt>
                <c:pt idx="31">
                  <c:v>11.05.2020</c:v>
                </c:pt>
                <c:pt idx="32">
                  <c:v>18.05.2020</c:v>
                </c:pt>
                <c:pt idx="33">
                  <c:v>25.05.2020</c:v>
                </c:pt>
                <c:pt idx="34">
                  <c:v>01.06.2020</c:v>
                </c:pt>
                <c:pt idx="35">
                  <c:v>08.06.2020</c:v>
                </c:pt>
                <c:pt idx="36">
                  <c:v>15.06.2020</c:v>
                </c:pt>
                <c:pt idx="37">
                  <c:v>22.06.2020</c:v>
                </c:pt>
                <c:pt idx="38">
                  <c:v>29.06.2020</c:v>
                </c:pt>
                <c:pt idx="39">
                  <c:v>06.07.2020</c:v>
                </c:pt>
                <c:pt idx="40">
                  <c:v>13.07.2020</c:v>
                </c:pt>
                <c:pt idx="41">
                  <c:v>20.07.2020</c:v>
                </c:pt>
                <c:pt idx="42">
                  <c:v>27.07.2020</c:v>
                </c:pt>
                <c:pt idx="43">
                  <c:v>03.08.2020</c:v>
                </c:pt>
                <c:pt idx="44">
                  <c:v>10.08.2020</c:v>
                </c:pt>
                <c:pt idx="45">
                  <c:v>17.08.2020</c:v>
                </c:pt>
                <c:pt idx="46">
                  <c:v>24.08.2020</c:v>
                </c:pt>
                <c:pt idx="47">
                  <c:v>31.08.2020</c:v>
                </c:pt>
                <c:pt idx="48">
                  <c:v>07.09.2020</c:v>
                </c:pt>
                <c:pt idx="49">
                  <c:v>14.09.2020</c:v>
                </c:pt>
                <c:pt idx="50">
                  <c:v>21.09.2020</c:v>
                </c:pt>
                <c:pt idx="51">
                  <c:v>28.09.2020</c:v>
                </c:pt>
                <c:pt idx="52">
                  <c:v>05.10.2020</c:v>
                </c:pt>
                <c:pt idx="53">
                  <c:v>12.10.2020</c:v>
                </c:pt>
                <c:pt idx="54">
                  <c:v>19.10.2020</c:v>
                </c:pt>
                <c:pt idx="55">
                  <c:v>26.10.2020</c:v>
                </c:pt>
                <c:pt idx="56">
                  <c:v>02.11.2020</c:v>
                </c:pt>
                <c:pt idx="57">
                  <c:v>09.11.2020</c:v>
                </c:pt>
                <c:pt idx="58">
                  <c:v>16.11.2020</c:v>
                </c:pt>
                <c:pt idx="59">
                  <c:v>23.11.2020</c:v>
                </c:pt>
                <c:pt idx="60">
                  <c:v>30.11.2020</c:v>
                </c:pt>
                <c:pt idx="61">
                  <c:v>07.12.2020</c:v>
                </c:pt>
                <c:pt idx="62">
                  <c:v>14.12.2020</c:v>
                </c:pt>
                <c:pt idx="63">
                  <c:v>21.12.2020</c:v>
                </c:pt>
                <c:pt idx="64">
                  <c:v>28.12.2020</c:v>
                </c:pt>
                <c:pt idx="65">
                  <c:v>04.01.2021</c:v>
                </c:pt>
                <c:pt idx="66">
                  <c:v>11.01.2021</c:v>
                </c:pt>
                <c:pt idx="67">
                  <c:v>18.01.2021</c:v>
                </c:pt>
                <c:pt idx="68">
                  <c:v>25.01.2021</c:v>
                </c:pt>
                <c:pt idx="69">
                  <c:v>01.02.2021</c:v>
                </c:pt>
                <c:pt idx="70">
                  <c:v>08.02.2021</c:v>
                </c:pt>
                <c:pt idx="71">
                  <c:v>15.02.2021</c:v>
                </c:pt>
                <c:pt idx="72">
                  <c:v>22.02.2021</c:v>
                </c:pt>
                <c:pt idx="73">
                  <c:v>01.03.2021</c:v>
                </c:pt>
                <c:pt idx="74">
                  <c:v>08.03.2021</c:v>
                </c:pt>
                <c:pt idx="75">
                  <c:v>15.03.2021</c:v>
                </c:pt>
                <c:pt idx="76">
                  <c:v>22.03.2021</c:v>
                </c:pt>
                <c:pt idx="77">
                  <c:v>29.03.2021</c:v>
                </c:pt>
                <c:pt idx="78">
                  <c:v>05.04.2021</c:v>
                </c:pt>
                <c:pt idx="79">
                  <c:v>12.04.2021</c:v>
                </c:pt>
                <c:pt idx="80">
                  <c:v>19.04.2021</c:v>
                </c:pt>
                <c:pt idx="81">
                  <c:v>26.04.2021</c:v>
                </c:pt>
                <c:pt idx="82">
                  <c:v>03.05.2021</c:v>
                </c:pt>
                <c:pt idx="83">
                  <c:v>10.05.2021</c:v>
                </c:pt>
                <c:pt idx="84">
                  <c:v>17.05.2021</c:v>
                </c:pt>
                <c:pt idx="85">
                  <c:v>24.05.2021</c:v>
                </c:pt>
                <c:pt idx="86">
                  <c:v>31.05.2021</c:v>
                </c:pt>
                <c:pt idx="87">
                  <c:v>07.06.2021</c:v>
                </c:pt>
                <c:pt idx="88">
                  <c:v>14.06.2021</c:v>
                </c:pt>
                <c:pt idx="89">
                  <c:v>21.06.2021</c:v>
                </c:pt>
                <c:pt idx="90">
                  <c:v>28.06.2021</c:v>
                </c:pt>
                <c:pt idx="91">
                  <c:v>05.07.2021</c:v>
                </c:pt>
                <c:pt idx="92">
                  <c:v>12.07.2021</c:v>
                </c:pt>
                <c:pt idx="93">
                  <c:v>19.07.2021</c:v>
                </c:pt>
                <c:pt idx="94">
                  <c:v>26.07.2021</c:v>
                </c:pt>
                <c:pt idx="95">
                  <c:v>02.08.2021</c:v>
                </c:pt>
                <c:pt idx="96">
                  <c:v>09.08.2021</c:v>
                </c:pt>
                <c:pt idx="97">
                  <c:v>16.08.2021</c:v>
                </c:pt>
                <c:pt idx="98">
                  <c:v>23.08.2021</c:v>
                </c:pt>
                <c:pt idx="99">
                  <c:v>30.08.2021</c:v>
                </c:pt>
                <c:pt idx="100">
                  <c:v>06.09.2021</c:v>
                </c:pt>
                <c:pt idx="101">
                  <c:v>13.09.2021</c:v>
                </c:pt>
                <c:pt idx="102">
                  <c:v>20.09.2021</c:v>
                </c:pt>
                <c:pt idx="103">
                  <c:v>27.09.2021</c:v>
                </c:pt>
                <c:pt idx="104">
                  <c:v>04.10.2021</c:v>
                </c:pt>
                <c:pt idx="105">
                  <c:v>11.10.2021</c:v>
                </c:pt>
                <c:pt idx="106">
                  <c:v>18.10.2021</c:v>
                </c:pt>
                <c:pt idx="107">
                  <c:v>25.10.2021</c:v>
                </c:pt>
                <c:pt idx="108">
                  <c:v>01.11.2021</c:v>
                </c:pt>
                <c:pt idx="109">
                  <c:v>08.11.2021</c:v>
                </c:pt>
                <c:pt idx="110">
                  <c:v>15.11.2021</c:v>
                </c:pt>
                <c:pt idx="111">
                  <c:v>22.11.2021</c:v>
                </c:pt>
                <c:pt idx="112">
                  <c:v>29.11.2021</c:v>
                </c:pt>
                <c:pt idx="113">
                  <c:v>06.12.2021</c:v>
                </c:pt>
                <c:pt idx="114">
                  <c:v>13.12.2021</c:v>
                </c:pt>
                <c:pt idx="115">
                  <c:v>20.12.2021</c:v>
                </c:pt>
                <c:pt idx="116">
                  <c:v>27.12.2021</c:v>
                </c:pt>
                <c:pt idx="117">
                  <c:v>03.01.2022</c:v>
                </c:pt>
                <c:pt idx="118">
                  <c:v>10.01.2022</c:v>
                </c:pt>
                <c:pt idx="119">
                  <c:v>17.01.2022</c:v>
                </c:pt>
                <c:pt idx="120">
                  <c:v>24.01.2022</c:v>
                </c:pt>
                <c:pt idx="121">
                  <c:v>31.01.2022</c:v>
                </c:pt>
                <c:pt idx="122">
                  <c:v>07.02.2022</c:v>
                </c:pt>
                <c:pt idx="123">
                  <c:v>14.02.2022</c:v>
                </c:pt>
                <c:pt idx="124">
                  <c:v>21.02.2022</c:v>
                </c:pt>
                <c:pt idx="125">
                  <c:v>28.02.2022</c:v>
                </c:pt>
                <c:pt idx="126">
                  <c:v>07.03.2022</c:v>
                </c:pt>
                <c:pt idx="127">
                  <c:v>14.03.2022</c:v>
                </c:pt>
                <c:pt idx="128">
                  <c:v>21.03.2022</c:v>
                </c:pt>
                <c:pt idx="129">
                  <c:v>28.03.2022</c:v>
                </c:pt>
                <c:pt idx="130">
                  <c:v>04.04.2022</c:v>
                </c:pt>
                <c:pt idx="131">
                  <c:v>11.04.2022</c:v>
                </c:pt>
                <c:pt idx="132">
                  <c:v>18.04.2022</c:v>
                </c:pt>
                <c:pt idx="133">
                  <c:v>25.04.2022</c:v>
                </c:pt>
                <c:pt idx="134">
                  <c:v>02.05.2022</c:v>
                </c:pt>
                <c:pt idx="135">
                  <c:v>09.05.2022</c:v>
                </c:pt>
                <c:pt idx="136">
                  <c:v>16.05.2022</c:v>
                </c:pt>
                <c:pt idx="137">
                  <c:v>23.05.2022</c:v>
                </c:pt>
                <c:pt idx="138">
                  <c:v>30.05.2022</c:v>
                </c:pt>
                <c:pt idx="139">
                  <c:v>06.06.2022</c:v>
                </c:pt>
                <c:pt idx="140">
                  <c:v>13.06.2022</c:v>
                </c:pt>
                <c:pt idx="141">
                  <c:v>20.06.2022</c:v>
                </c:pt>
                <c:pt idx="142">
                  <c:v>27.06.2022</c:v>
                </c:pt>
                <c:pt idx="143">
                  <c:v>04.07.2022</c:v>
                </c:pt>
                <c:pt idx="144">
                  <c:v>11.07.2022</c:v>
                </c:pt>
                <c:pt idx="145">
                  <c:v>18.07.2022</c:v>
                </c:pt>
                <c:pt idx="146">
                  <c:v>25.07.2022</c:v>
                </c:pt>
                <c:pt idx="147">
                  <c:v>01.08.2022</c:v>
                </c:pt>
                <c:pt idx="148">
                  <c:v>08.08.2022</c:v>
                </c:pt>
                <c:pt idx="149">
                  <c:v>15.08.2022</c:v>
                </c:pt>
                <c:pt idx="150">
                  <c:v>22.08.2022</c:v>
                </c:pt>
                <c:pt idx="151">
                  <c:v>29.08.2022</c:v>
                </c:pt>
                <c:pt idx="152">
                  <c:v>05.09.2022</c:v>
                </c:pt>
                <c:pt idx="153">
                  <c:v>12.09.2022</c:v>
                </c:pt>
                <c:pt idx="154">
                  <c:v>19.09.2022</c:v>
                </c:pt>
                <c:pt idx="155">
                  <c:v>26.09.2022</c:v>
                </c:pt>
                <c:pt idx="156">
                  <c:v>03.10.2022</c:v>
                </c:pt>
                <c:pt idx="157">
                  <c:v>10.10.2022</c:v>
                </c:pt>
                <c:pt idx="158">
                  <c:v>17.10.2022</c:v>
                </c:pt>
                <c:pt idx="159">
                  <c:v>24.10.2022</c:v>
                </c:pt>
                <c:pt idx="160">
                  <c:v>31.10.2022</c:v>
                </c:pt>
                <c:pt idx="161">
                  <c:v>07.11.2022</c:v>
                </c:pt>
                <c:pt idx="162">
                  <c:v>14.11.2022</c:v>
                </c:pt>
                <c:pt idx="163">
                  <c:v>21.11.2022</c:v>
                </c:pt>
                <c:pt idx="164">
                  <c:v>28.11.2022</c:v>
                </c:pt>
                <c:pt idx="165">
                  <c:v>05.12.2022</c:v>
                </c:pt>
                <c:pt idx="166">
                  <c:v>12.12.2022</c:v>
                </c:pt>
                <c:pt idx="167">
                  <c:v>19.12.2022</c:v>
                </c:pt>
                <c:pt idx="168">
                  <c:v>26.12.2022</c:v>
                </c:pt>
                <c:pt idx="169">
                  <c:v>02.01.2023</c:v>
                </c:pt>
                <c:pt idx="170">
                  <c:v>09.01.2023</c:v>
                </c:pt>
                <c:pt idx="171">
                  <c:v>16.01.2023</c:v>
                </c:pt>
                <c:pt idx="172">
                  <c:v>23.01.2023</c:v>
                </c:pt>
                <c:pt idx="173">
                  <c:v>30.01.2023</c:v>
                </c:pt>
                <c:pt idx="174">
                  <c:v>06.02.2023</c:v>
                </c:pt>
                <c:pt idx="175">
                  <c:v>13.02.2023</c:v>
                </c:pt>
                <c:pt idx="176">
                  <c:v>20.02.2023</c:v>
                </c:pt>
                <c:pt idx="177">
                  <c:v>27.02.2023</c:v>
                </c:pt>
                <c:pt idx="178">
                  <c:v>06.03.2023</c:v>
                </c:pt>
                <c:pt idx="179">
                  <c:v>13.03.2023</c:v>
                </c:pt>
                <c:pt idx="180">
                  <c:v>20.03.2023</c:v>
                </c:pt>
                <c:pt idx="181">
                  <c:v>27.03.2023</c:v>
                </c:pt>
                <c:pt idx="182">
                  <c:v>03.04.2023</c:v>
                </c:pt>
                <c:pt idx="183">
                  <c:v>10.04.2023</c:v>
                </c:pt>
                <c:pt idx="184">
                  <c:v>17.04.2023</c:v>
                </c:pt>
                <c:pt idx="185">
                  <c:v>24.04.2023</c:v>
                </c:pt>
                <c:pt idx="186">
                  <c:v>01.05.2023</c:v>
                </c:pt>
                <c:pt idx="187">
                  <c:v>08.05.2023</c:v>
                </c:pt>
                <c:pt idx="188">
                  <c:v>15.05.2023</c:v>
                </c:pt>
                <c:pt idx="189">
                  <c:v>22.05.2023</c:v>
                </c:pt>
                <c:pt idx="190">
                  <c:v>29.05.2023</c:v>
                </c:pt>
                <c:pt idx="191">
                  <c:v>05.06.2023</c:v>
                </c:pt>
                <c:pt idx="192">
                  <c:v>12.06.2023</c:v>
                </c:pt>
                <c:pt idx="193">
                  <c:v>19.06.2023</c:v>
                </c:pt>
                <c:pt idx="194">
                  <c:v>26.06.2023</c:v>
                </c:pt>
                <c:pt idx="195">
                  <c:v>03.07.2023</c:v>
                </c:pt>
                <c:pt idx="196">
                  <c:v>10.07.2023</c:v>
                </c:pt>
                <c:pt idx="197">
                  <c:v>17.07.2023</c:v>
                </c:pt>
                <c:pt idx="198">
                  <c:v>24.07.2023</c:v>
                </c:pt>
                <c:pt idx="199">
                  <c:v>31.07.2023</c:v>
                </c:pt>
                <c:pt idx="200">
                  <c:v>07.08.2023</c:v>
                </c:pt>
                <c:pt idx="201">
                  <c:v>14.08.2023</c:v>
                </c:pt>
                <c:pt idx="202">
                  <c:v>21.08.2023</c:v>
                </c:pt>
                <c:pt idx="203">
                  <c:v>28.08.2023</c:v>
                </c:pt>
                <c:pt idx="204">
                  <c:v>04.09.2023</c:v>
                </c:pt>
                <c:pt idx="205">
                  <c:v>11.09.2023</c:v>
                </c:pt>
                <c:pt idx="206">
                  <c:v>18.09.2023</c:v>
                </c:pt>
                <c:pt idx="207">
                  <c:v>25.09.2023</c:v>
                </c:pt>
                <c:pt idx="208">
                  <c:v>02.10.2023</c:v>
                </c:pt>
                <c:pt idx="209">
                  <c:v>09.10.2023</c:v>
                </c:pt>
                <c:pt idx="210">
                  <c:v>16.10.2023</c:v>
                </c:pt>
                <c:pt idx="211">
                  <c:v>23.10.2023</c:v>
                </c:pt>
              </c:strCache>
            </c:strRef>
          </c:cat>
          <c:val>
            <c:numRef>
              <c:f>SapIbpChartFeeder!$C$5:$HF$5</c:f>
              <c:numCache>
                <c:formatCode>General</c:formatCode>
                <c:ptCount val="2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90214.319237000003</c:v>
                </c:pt>
                <c:pt idx="99">
                  <c:v>220088.73748900002</c:v>
                </c:pt>
                <c:pt idx="100">
                  <c:v>214153.83896199998</c:v>
                </c:pt>
                <c:pt idx="101">
                  <c:v>213534.27210399997</c:v>
                </c:pt>
                <c:pt idx="102">
                  <c:v>214424.55278500001</c:v>
                </c:pt>
                <c:pt idx="103">
                  <c:v>214772.72025499999</c:v>
                </c:pt>
                <c:pt idx="104">
                  <c:v>215470.57465900001</c:v>
                </c:pt>
                <c:pt idx="105">
                  <c:v>216401.815241</c:v>
                </c:pt>
                <c:pt idx="106">
                  <c:v>218932.84455799998</c:v>
                </c:pt>
                <c:pt idx="107">
                  <c:v>217207.14964400002</c:v>
                </c:pt>
                <c:pt idx="108">
                  <c:v>217148.75885899999</c:v>
                </c:pt>
                <c:pt idx="109">
                  <c:v>217536.138641</c:v>
                </c:pt>
                <c:pt idx="110">
                  <c:v>218419.70828599998</c:v>
                </c:pt>
                <c:pt idx="111">
                  <c:v>216540.52733400001</c:v>
                </c:pt>
                <c:pt idx="112">
                  <c:v>216624.54284100002</c:v>
                </c:pt>
                <c:pt idx="113">
                  <c:v>216687.66586799998</c:v>
                </c:pt>
                <c:pt idx="114">
                  <c:v>202304.57450599998</c:v>
                </c:pt>
                <c:pt idx="115">
                  <c:v>215239.28417300002</c:v>
                </c:pt>
                <c:pt idx="116">
                  <c:v>213449.63901999997</c:v>
                </c:pt>
                <c:pt idx="117">
                  <c:v>217866.73881499999</c:v>
                </c:pt>
                <c:pt idx="118">
                  <c:v>215415.32983699997</c:v>
                </c:pt>
                <c:pt idx="119">
                  <c:v>215956.41693000001</c:v>
                </c:pt>
                <c:pt idx="120">
                  <c:v>217613.19590800002</c:v>
                </c:pt>
                <c:pt idx="121">
                  <c:v>217298.07981199995</c:v>
                </c:pt>
                <c:pt idx="122">
                  <c:v>217936.11956699999</c:v>
                </c:pt>
                <c:pt idx="123">
                  <c:v>216912.33345500001</c:v>
                </c:pt>
                <c:pt idx="124">
                  <c:v>218201.10375399998</c:v>
                </c:pt>
                <c:pt idx="125">
                  <c:v>221394.201191</c:v>
                </c:pt>
                <c:pt idx="126">
                  <c:v>221169.336117</c:v>
                </c:pt>
                <c:pt idx="127">
                  <c:v>223120.26817700002</c:v>
                </c:pt>
                <c:pt idx="128">
                  <c:v>222238.31279299999</c:v>
                </c:pt>
                <c:pt idx="129">
                  <c:v>214628.38947699999</c:v>
                </c:pt>
                <c:pt idx="130">
                  <c:v>220004.02923300001</c:v>
                </c:pt>
                <c:pt idx="131">
                  <c:v>225305.31521599999</c:v>
                </c:pt>
                <c:pt idx="132">
                  <c:v>220187.677241</c:v>
                </c:pt>
                <c:pt idx="133">
                  <c:v>221961.30743000002</c:v>
                </c:pt>
                <c:pt idx="134">
                  <c:v>220720.96978700001</c:v>
                </c:pt>
                <c:pt idx="135">
                  <c:v>219407.95188000004</c:v>
                </c:pt>
                <c:pt idx="136">
                  <c:v>223594.59865</c:v>
                </c:pt>
                <c:pt idx="137">
                  <c:v>215140.55184200002</c:v>
                </c:pt>
                <c:pt idx="138">
                  <c:v>213783.550246</c:v>
                </c:pt>
                <c:pt idx="139">
                  <c:v>211927.60325099999</c:v>
                </c:pt>
                <c:pt idx="140">
                  <c:v>212735.15197500002</c:v>
                </c:pt>
                <c:pt idx="141">
                  <c:v>214251.95223900001</c:v>
                </c:pt>
                <c:pt idx="142">
                  <c:v>214525.90388100001</c:v>
                </c:pt>
                <c:pt idx="143">
                  <c:v>216978.48156300001</c:v>
                </c:pt>
                <c:pt idx="144">
                  <c:v>217221.77912399999</c:v>
                </c:pt>
                <c:pt idx="145">
                  <c:v>216656.90252999999</c:v>
                </c:pt>
                <c:pt idx="146">
                  <c:v>216529.88122899996</c:v>
                </c:pt>
                <c:pt idx="147">
                  <c:v>216818.53907699999</c:v>
                </c:pt>
                <c:pt idx="148">
                  <c:v>217390.37181700004</c:v>
                </c:pt>
                <c:pt idx="149">
                  <c:v>216473.26806900001</c:v>
                </c:pt>
                <c:pt idx="150">
                  <c:v>217542.22914899996</c:v>
                </c:pt>
                <c:pt idx="151">
                  <c:v>218584.25514099997</c:v>
                </c:pt>
                <c:pt idx="152">
                  <c:v>217097.273498</c:v>
                </c:pt>
                <c:pt idx="153">
                  <c:v>218092.05509100002</c:v>
                </c:pt>
                <c:pt idx="154">
                  <c:v>219579.98525500001</c:v>
                </c:pt>
                <c:pt idx="155">
                  <c:v>215997.877527</c:v>
                </c:pt>
                <c:pt idx="156">
                  <c:v>217037.71029799999</c:v>
                </c:pt>
                <c:pt idx="157">
                  <c:v>217265.53474900001</c:v>
                </c:pt>
                <c:pt idx="158">
                  <c:v>218682.62608500003</c:v>
                </c:pt>
                <c:pt idx="159">
                  <c:v>216972.94108299998</c:v>
                </c:pt>
                <c:pt idx="160">
                  <c:v>216927.34757799999</c:v>
                </c:pt>
                <c:pt idx="161">
                  <c:v>217324.82928200002</c:v>
                </c:pt>
                <c:pt idx="162">
                  <c:v>218224.15264299998</c:v>
                </c:pt>
                <c:pt idx="163">
                  <c:v>216347.02726500001</c:v>
                </c:pt>
                <c:pt idx="164">
                  <c:v>216443.04382600001</c:v>
                </c:pt>
                <c:pt idx="165">
                  <c:v>216514.400643</c:v>
                </c:pt>
                <c:pt idx="166">
                  <c:v>202187.74337400001</c:v>
                </c:pt>
                <c:pt idx="167">
                  <c:v>215086.77378900003</c:v>
                </c:pt>
                <c:pt idx="168">
                  <c:v>217283.18858799999</c:v>
                </c:pt>
                <c:pt idx="169">
                  <c:v>217733.42375299998</c:v>
                </c:pt>
                <c:pt idx="170">
                  <c:v>215289.04777800001</c:v>
                </c:pt>
                <c:pt idx="171">
                  <c:v>215834.46429899998</c:v>
                </c:pt>
                <c:pt idx="172">
                  <c:v>217496.46781199999</c:v>
                </c:pt>
                <c:pt idx="173">
                  <c:v>217186.38495199999</c:v>
                </c:pt>
                <c:pt idx="174">
                  <c:v>217827.74067699999</c:v>
                </c:pt>
                <c:pt idx="175">
                  <c:v>216811.25780500003</c:v>
                </c:pt>
                <c:pt idx="176">
                  <c:v>218105.21734800001</c:v>
                </c:pt>
                <c:pt idx="177">
                  <c:v>221303.16430900001</c:v>
                </c:pt>
                <c:pt idx="178">
                  <c:v>221081.62173000001</c:v>
                </c:pt>
                <c:pt idx="179">
                  <c:v>223039.49776400003</c:v>
                </c:pt>
                <c:pt idx="180">
                  <c:v>222162.48466900003</c:v>
                </c:pt>
                <c:pt idx="181">
                  <c:v>214567.02116500001</c:v>
                </c:pt>
                <c:pt idx="182">
                  <c:v>219935.49111300003</c:v>
                </c:pt>
                <c:pt idx="183">
                  <c:v>225233.231975</c:v>
                </c:pt>
                <c:pt idx="184">
                  <c:v>220123.29490800001</c:v>
                </c:pt>
                <c:pt idx="185">
                  <c:v>221898.41445899999</c:v>
                </c:pt>
                <c:pt idx="186">
                  <c:v>220662.71953499998</c:v>
                </c:pt>
                <c:pt idx="187">
                  <c:v>219352.63822299999</c:v>
                </c:pt>
                <c:pt idx="188">
                  <c:v>223536.099288</c:v>
                </c:pt>
                <c:pt idx="189">
                  <c:v>215091.30388200004</c:v>
                </c:pt>
                <c:pt idx="190">
                  <c:v>213738.69876</c:v>
                </c:pt>
                <c:pt idx="191">
                  <c:v>211883.571367</c:v>
                </c:pt>
                <c:pt idx="192">
                  <c:v>212693.84768899999</c:v>
                </c:pt>
                <c:pt idx="193">
                  <c:v>214212.23898399997</c:v>
                </c:pt>
                <c:pt idx="194">
                  <c:v>214486.355198</c:v>
                </c:pt>
                <c:pt idx="195">
                  <c:v>216940.02095999999</c:v>
                </c:pt>
                <c:pt idx="196">
                  <c:v>217185.92459599997</c:v>
                </c:pt>
                <c:pt idx="197">
                  <c:v>216622.747519</c:v>
                </c:pt>
                <c:pt idx="198">
                  <c:v>216497.11747300002</c:v>
                </c:pt>
                <c:pt idx="199">
                  <c:v>216787.47732899999</c:v>
                </c:pt>
                <c:pt idx="200">
                  <c:v>217361.06994199997</c:v>
                </c:pt>
                <c:pt idx="201">
                  <c:v>216445.62405500002</c:v>
                </c:pt>
                <c:pt idx="202">
                  <c:v>217516.07610499999</c:v>
                </c:pt>
                <c:pt idx="203">
                  <c:v>218559.53690900005</c:v>
                </c:pt>
                <c:pt idx="204">
                  <c:v>217073.75220499997</c:v>
                </c:pt>
                <c:pt idx="205">
                  <c:v>218069.86112000002</c:v>
                </c:pt>
                <c:pt idx="206">
                  <c:v>219559.00844200002</c:v>
                </c:pt>
                <c:pt idx="207">
                  <c:v>215979.64156599998</c:v>
                </c:pt>
                <c:pt idx="208">
                  <c:v>0</c:v>
                </c:pt>
                <c:pt idx="209">
                  <c:v>0</c:v>
                </c:pt>
                <c:pt idx="210">
                  <c:v>0</c:v>
                </c:pt>
                <c:pt idx="211">
                  <c:v>0</c:v>
                </c:pt>
              </c:numCache>
            </c:numRef>
          </c:val>
          <c:extLst>
            <c:ext xmlns:c16="http://schemas.microsoft.com/office/drawing/2014/chart" uri="{C3380CC4-5D6E-409C-BE32-E72D297353CC}">
              <c16:uniqueId val="{00000001-66C0-407F-AA27-B696651A406E}"/>
            </c:ext>
          </c:extLst>
        </c:ser>
        <c:ser>
          <c:idx val="2"/>
          <c:order val="2"/>
          <c:tx>
            <c:v>Net Forecast</c:v>
          </c:tx>
          <c:spPr>
            <a:solidFill>
              <a:schemeClr val="accent5"/>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SapIbpChartFeeder!$C$3:$HF$3</c:f>
              <c:strCache>
                <c:ptCount val="212"/>
                <c:pt idx="0">
                  <c:v>07.10.2019</c:v>
                </c:pt>
                <c:pt idx="1">
                  <c:v>14.10.2019</c:v>
                </c:pt>
                <c:pt idx="2">
                  <c:v>21.10.2019</c:v>
                </c:pt>
                <c:pt idx="3">
                  <c:v>28.10.2019</c:v>
                </c:pt>
                <c:pt idx="4">
                  <c:v>04.11.2019</c:v>
                </c:pt>
                <c:pt idx="5">
                  <c:v>11.11.2019</c:v>
                </c:pt>
                <c:pt idx="6">
                  <c:v>18.11.2019</c:v>
                </c:pt>
                <c:pt idx="7">
                  <c:v>25.11.2019</c:v>
                </c:pt>
                <c:pt idx="8">
                  <c:v>02.12.2019</c:v>
                </c:pt>
                <c:pt idx="9">
                  <c:v>09.12.2019</c:v>
                </c:pt>
                <c:pt idx="10">
                  <c:v>16.12.2019</c:v>
                </c:pt>
                <c:pt idx="11">
                  <c:v>23.12.2019</c:v>
                </c:pt>
                <c:pt idx="12">
                  <c:v>30.12.2019</c:v>
                </c:pt>
                <c:pt idx="13">
                  <c:v>06.01.2020</c:v>
                </c:pt>
                <c:pt idx="14">
                  <c:v>13.01.2020</c:v>
                </c:pt>
                <c:pt idx="15">
                  <c:v>20.01.2020</c:v>
                </c:pt>
                <c:pt idx="16">
                  <c:v>27.01.2020</c:v>
                </c:pt>
                <c:pt idx="17">
                  <c:v>03.02.2020</c:v>
                </c:pt>
                <c:pt idx="18">
                  <c:v>10.02.2020</c:v>
                </c:pt>
                <c:pt idx="19">
                  <c:v>17.02.2020</c:v>
                </c:pt>
                <c:pt idx="20">
                  <c:v>24.02.2020</c:v>
                </c:pt>
                <c:pt idx="21">
                  <c:v>02.03.2020</c:v>
                </c:pt>
                <c:pt idx="22">
                  <c:v>09.03.2020</c:v>
                </c:pt>
                <c:pt idx="23">
                  <c:v>16.03.2020</c:v>
                </c:pt>
                <c:pt idx="24">
                  <c:v>23.03.2020</c:v>
                </c:pt>
                <c:pt idx="25">
                  <c:v>30.03.2020</c:v>
                </c:pt>
                <c:pt idx="26">
                  <c:v>06.04.2020</c:v>
                </c:pt>
                <c:pt idx="27">
                  <c:v>13.04.2020</c:v>
                </c:pt>
                <c:pt idx="28">
                  <c:v>20.04.2020</c:v>
                </c:pt>
                <c:pt idx="29">
                  <c:v>27.04.2020</c:v>
                </c:pt>
                <c:pt idx="30">
                  <c:v>04.05.2020</c:v>
                </c:pt>
                <c:pt idx="31">
                  <c:v>11.05.2020</c:v>
                </c:pt>
                <c:pt idx="32">
                  <c:v>18.05.2020</c:v>
                </c:pt>
                <c:pt idx="33">
                  <c:v>25.05.2020</c:v>
                </c:pt>
                <c:pt idx="34">
                  <c:v>01.06.2020</c:v>
                </c:pt>
                <c:pt idx="35">
                  <c:v>08.06.2020</c:v>
                </c:pt>
                <c:pt idx="36">
                  <c:v>15.06.2020</c:v>
                </c:pt>
                <c:pt idx="37">
                  <c:v>22.06.2020</c:v>
                </c:pt>
                <c:pt idx="38">
                  <c:v>29.06.2020</c:v>
                </c:pt>
                <c:pt idx="39">
                  <c:v>06.07.2020</c:v>
                </c:pt>
                <c:pt idx="40">
                  <c:v>13.07.2020</c:v>
                </c:pt>
                <c:pt idx="41">
                  <c:v>20.07.2020</c:v>
                </c:pt>
                <c:pt idx="42">
                  <c:v>27.07.2020</c:v>
                </c:pt>
                <c:pt idx="43">
                  <c:v>03.08.2020</c:v>
                </c:pt>
                <c:pt idx="44">
                  <c:v>10.08.2020</c:v>
                </c:pt>
                <c:pt idx="45">
                  <c:v>17.08.2020</c:v>
                </c:pt>
                <c:pt idx="46">
                  <c:v>24.08.2020</c:v>
                </c:pt>
                <c:pt idx="47">
                  <c:v>31.08.2020</c:v>
                </c:pt>
                <c:pt idx="48">
                  <c:v>07.09.2020</c:v>
                </c:pt>
                <c:pt idx="49">
                  <c:v>14.09.2020</c:v>
                </c:pt>
                <c:pt idx="50">
                  <c:v>21.09.2020</c:v>
                </c:pt>
                <c:pt idx="51">
                  <c:v>28.09.2020</c:v>
                </c:pt>
                <c:pt idx="52">
                  <c:v>05.10.2020</c:v>
                </c:pt>
                <c:pt idx="53">
                  <c:v>12.10.2020</c:v>
                </c:pt>
                <c:pt idx="54">
                  <c:v>19.10.2020</c:v>
                </c:pt>
                <c:pt idx="55">
                  <c:v>26.10.2020</c:v>
                </c:pt>
                <c:pt idx="56">
                  <c:v>02.11.2020</c:v>
                </c:pt>
                <c:pt idx="57">
                  <c:v>09.11.2020</c:v>
                </c:pt>
                <c:pt idx="58">
                  <c:v>16.11.2020</c:v>
                </c:pt>
                <c:pt idx="59">
                  <c:v>23.11.2020</c:v>
                </c:pt>
                <c:pt idx="60">
                  <c:v>30.11.2020</c:v>
                </c:pt>
                <c:pt idx="61">
                  <c:v>07.12.2020</c:v>
                </c:pt>
                <c:pt idx="62">
                  <c:v>14.12.2020</c:v>
                </c:pt>
                <c:pt idx="63">
                  <c:v>21.12.2020</c:v>
                </c:pt>
                <c:pt idx="64">
                  <c:v>28.12.2020</c:v>
                </c:pt>
                <c:pt idx="65">
                  <c:v>04.01.2021</c:v>
                </c:pt>
                <c:pt idx="66">
                  <c:v>11.01.2021</c:v>
                </c:pt>
                <c:pt idx="67">
                  <c:v>18.01.2021</c:v>
                </c:pt>
                <c:pt idx="68">
                  <c:v>25.01.2021</c:v>
                </c:pt>
                <c:pt idx="69">
                  <c:v>01.02.2021</c:v>
                </c:pt>
                <c:pt idx="70">
                  <c:v>08.02.2021</c:v>
                </c:pt>
                <c:pt idx="71">
                  <c:v>15.02.2021</c:v>
                </c:pt>
                <c:pt idx="72">
                  <c:v>22.02.2021</c:v>
                </c:pt>
                <c:pt idx="73">
                  <c:v>01.03.2021</c:v>
                </c:pt>
                <c:pt idx="74">
                  <c:v>08.03.2021</c:v>
                </c:pt>
                <c:pt idx="75">
                  <c:v>15.03.2021</c:v>
                </c:pt>
                <c:pt idx="76">
                  <c:v>22.03.2021</c:v>
                </c:pt>
                <c:pt idx="77">
                  <c:v>29.03.2021</c:v>
                </c:pt>
                <c:pt idx="78">
                  <c:v>05.04.2021</c:v>
                </c:pt>
                <c:pt idx="79">
                  <c:v>12.04.2021</c:v>
                </c:pt>
                <c:pt idx="80">
                  <c:v>19.04.2021</c:v>
                </c:pt>
                <c:pt idx="81">
                  <c:v>26.04.2021</c:v>
                </c:pt>
                <c:pt idx="82">
                  <c:v>03.05.2021</c:v>
                </c:pt>
                <c:pt idx="83">
                  <c:v>10.05.2021</c:v>
                </c:pt>
                <c:pt idx="84">
                  <c:v>17.05.2021</c:v>
                </c:pt>
                <c:pt idx="85">
                  <c:v>24.05.2021</c:v>
                </c:pt>
                <c:pt idx="86">
                  <c:v>31.05.2021</c:v>
                </c:pt>
                <c:pt idx="87">
                  <c:v>07.06.2021</c:v>
                </c:pt>
                <c:pt idx="88">
                  <c:v>14.06.2021</c:v>
                </c:pt>
                <c:pt idx="89">
                  <c:v>21.06.2021</c:v>
                </c:pt>
                <c:pt idx="90">
                  <c:v>28.06.2021</c:v>
                </c:pt>
                <c:pt idx="91">
                  <c:v>05.07.2021</c:v>
                </c:pt>
                <c:pt idx="92">
                  <c:v>12.07.2021</c:v>
                </c:pt>
                <c:pt idx="93">
                  <c:v>19.07.2021</c:v>
                </c:pt>
                <c:pt idx="94">
                  <c:v>26.07.2021</c:v>
                </c:pt>
                <c:pt idx="95">
                  <c:v>02.08.2021</c:v>
                </c:pt>
                <c:pt idx="96">
                  <c:v>09.08.2021</c:v>
                </c:pt>
                <c:pt idx="97">
                  <c:v>16.08.2021</c:v>
                </c:pt>
                <c:pt idx="98">
                  <c:v>23.08.2021</c:v>
                </c:pt>
                <c:pt idx="99">
                  <c:v>30.08.2021</c:v>
                </c:pt>
                <c:pt idx="100">
                  <c:v>06.09.2021</c:v>
                </c:pt>
                <c:pt idx="101">
                  <c:v>13.09.2021</c:v>
                </c:pt>
                <c:pt idx="102">
                  <c:v>20.09.2021</c:v>
                </c:pt>
                <c:pt idx="103">
                  <c:v>27.09.2021</c:v>
                </c:pt>
                <c:pt idx="104">
                  <c:v>04.10.2021</c:v>
                </c:pt>
                <c:pt idx="105">
                  <c:v>11.10.2021</c:v>
                </c:pt>
                <c:pt idx="106">
                  <c:v>18.10.2021</c:v>
                </c:pt>
                <c:pt idx="107">
                  <c:v>25.10.2021</c:v>
                </c:pt>
                <c:pt idx="108">
                  <c:v>01.11.2021</c:v>
                </c:pt>
                <c:pt idx="109">
                  <c:v>08.11.2021</c:v>
                </c:pt>
                <c:pt idx="110">
                  <c:v>15.11.2021</c:v>
                </c:pt>
                <c:pt idx="111">
                  <c:v>22.11.2021</c:v>
                </c:pt>
                <c:pt idx="112">
                  <c:v>29.11.2021</c:v>
                </c:pt>
                <c:pt idx="113">
                  <c:v>06.12.2021</c:v>
                </c:pt>
                <c:pt idx="114">
                  <c:v>13.12.2021</c:v>
                </c:pt>
                <c:pt idx="115">
                  <c:v>20.12.2021</c:v>
                </c:pt>
                <c:pt idx="116">
                  <c:v>27.12.2021</c:v>
                </c:pt>
                <c:pt idx="117">
                  <c:v>03.01.2022</c:v>
                </c:pt>
                <c:pt idx="118">
                  <c:v>10.01.2022</c:v>
                </c:pt>
                <c:pt idx="119">
                  <c:v>17.01.2022</c:v>
                </c:pt>
                <c:pt idx="120">
                  <c:v>24.01.2022</c:v>
                </c:pt>
                <c:pt idx="121">
                  <c:v>31.01.2022</c:v>
                </c:pt>
                <c:pt idx="122">
                  <c:v>07.02.2022</c:v>
                </c:pt>
                <c:pt idx="123">
                  <c:v>14.02.2022</c:v>
                </c:pt>
                <c:pt idx="124">
                  <c:v>21.02.2022</c:v>
                </c:pt>
                <c:pt idx="125">
                  <c:v>28.02.2022</c:v>
                </c:pt>
                <c:pt idx="126">
                  <c:v>07.03.2022</c:v>
                </c:pt>
                <c:pt idx="127">
                  <c:v>14.03.2022</c:v>
                </c:pt>
                <c:pt idx="128">
                  <c:v>21.03.2022</c:v>
                </c:pt>
                <c:pt idx="129">
                  <c:v>28.03.2022</c:v>
                </c:pt>
                <c:pt idx="130">
                  <c:v>04.04.2022</c:v>
                </c:pt>
                <c:pt idx="131">
                  <c:v>11.04.2022</c:v>
                </c:pt>
                <c:pt idx="132">
                  <c:v>18.04.2022</c:v>
                </c:pt>
                <c:pt idx="133">
                  <c:v>25.04.2022</c:v>
                </c:pt>
                <c:pt idx="134">
                  <c:v>02.05.2022</c:v>
                </c:pt>
                <c:pt idx="135">
                  <c:v>09.05.2022</c:v>
                </c:pt>
                <c:pt idx="136">
                  <c:v>16.05.2022</c:v>
                </c:pt>
                <c:pt idx="137">
                  <c:v>23.05.2022</c:v>
                </c:pt>
                <c:pt idx="138">
                  <c:v>30.05.2022</c:v>
                </c:pt>
                <c:pt idx="139">
                  <c:v>06.06.2022</c:v>
                </c:pt>
                <c:pt idx="140">
                  <c:v>13.06.2022</c:v>
                </c:pt>
                <c:pt idx="141">
                  <c:v>20.06.2022</c:v>
                </c:pt>
                <c:pt idx="142">
                  <c:v>27.06.2022</c:v>
                </c:pt>
                <c:pt idx="143">
                  <c:v>04.07.2022</c:v>
                </c:pt>
                <c:pt idx="144">
                  <c:v>11.07.2022</c:v>
                </c:pt>
                <c:pt idx="145">
                  <c:v>18.07.2022</c:v>
                </c:pt>
                <c:pt idx="146">
                  <c:v>25.07.2022</c:v>
                </c:pt>
                <c:pt idx="147">
                  <c:v>01.08.2022</c:v>
                </c:pt>
                <c:pt idx="148">
                  <c:v>08.08.2022</c:v>
                </c:pt>
                <c:pt idx="149">
                  <c:v>15.08.2022</c:v>
                </c:pt>
                <c:pt idx="150">
                  <c:v>22.08.2022</c:v>
                </c:pt>
                <c:pt idx="151">
                  <c:v>29.08.2022</c:v>
                </c:pt>
                <c:pt idx="152">
                  <c:v>05.09.2022</c:v>
                </c:pt>
                <c:pt idx="153">
                  <c:v>12.09.2022</c:v>
                </c:pt>
                <c:pt idx="154">
                  <c:v>19.09.2022</c:v>
                </c:pt>
                <c:pt idx="155">
                  <c:v>26.09.2022</c:v>
                </c:pt>
                <c:pt idx="156">
                  <c:v>03.10.2022</c:v>
                </c:pt>
                <c:pt idx="157">
                  <c:v>10.10.2022</c:v>
                </c:pt>
                <c:pt idx="158">
                  <c:v>17.10.2022</c:v>
                </c:pt>
                <c:pt idx="159">
                  <c:v>24.10.2022</c:v>
                </c:pt>
                <c:pt idx="160">
                  <c:v>31.10.2022</c:v>
                </c:pt>
                <c:pt idx="161">
                  <c:v>07.11.2022</c:v>
                </c:pt>
                <c:pt idx="162">
                  <c:v>14.11.2022</c:v>
                </c:pt>
                <c:pt idx="163">
                  <c:v>21.11.2022</c:v>
                </c:pt>
                <c:pt idx="164">
                  <c:v>28.11.2022</c:v>
                </c:pt>
                <c:pt idx="165">
                  <c:v>05.12.2022</c:v>
                </c:pt>
                <c:pt idx="166">
                  <c:v>12.12.2022</c:v>
                </c:pt>
                <c:pt idx="167">
                  <c:v>19.12.2022</c:v>
                </c:pt>
                <c:pt idx="168">
                  <c:v>26.12.2022</c:v>
                </c:pt>
                <c:pt idx="169">
                  <c:v>02.01.2023</c:v>
                </c:pt>
                <c:pt idx="170">
                  <c:v>09.01.2023</c:v>
                </c:pt>
                <c:pt idx="171">
                  <c:v>16.01.2023</c:v>
                </c:pt>
                <c:pt idx="172">
                  <c:v>23.01.2023</c:v>
                </c:pt>
                <c:pt idx="173">
                  <c:v>30.01.2023</c:v>
                </c:pt>
                <c:pt idx="174">
                  <c:v>06.02.2023</c:v>
                </c:pt>
                <c:pt idx="175">
                  <c:v>13.02.2023</c:v>
                </c:pt>
                <c:pt idx="176">
                  <c:v>20.02.2023</c:v>
                </c:pt>
                <c:pt idx="177">
                  <c:v>27.02.2023</c:v>
                </c:pt>
                <c:pt idx="178">
                  <c:v>06.03.2023</c:v>
                </c:pt>
                <c:pt idx="179">
                  <c:v>13.03.2023</c:v>
                </c:pt>
                <c:pt idx="180">
                  <c:v>20.03.2023</c:v>
                </c:pt>
                <c:pt idx="181">
                  <c:v>27.03.2023</c:v>
                </c:pt>
                <c:pt idx="182">
                  <c:v>03.04.2023</c:v>
                </c:pt>
                <c:pt idx="183">
                  <c:v>10.04.2023</c:v>
                </c:pt>
                <c:pt idx="184">
                  <c:v>17.04.2023</c:v>
                </c:pt>
                <c:pt idx="185">
                  <c:v>24.04.2023</c:v>
                </c:pt>
                <c:pt idx="186">
                  <c:v>01.05.2023</c:v>
                </c:pt>
                <c:pt idx="187">
                  <c:v>08.05.2023</c:v>
                </c:pt>
                <c:pt idx="188">
                  <c:v>15.05.2023</c:v>
                </c:pt>
                <c:pt idx="189">
                  <c:v>22.05.2023</c:v>
                </c:pt>
                <c:pt idx="190">
                  <c:v>29.05.2023</c:v>
                </c:pt>
                <c:pt idx="191">
                  <c:v>05.06.2023</c:v>
                </c:pt>
                <c:pt idx="192">
                  <c:v>12.06.2023</c:v>
                </c:pt>
                <c:pt idx="193">
                  <c:v>19.06.2023</c:v>
                </c:pt>
                <c:pt idx="194">
                  <c:v>26.06.2023</c:v>
                </c:pt>
                <c:pt idx="195">
                  <c:v>03.07.2023</c:v>
                </c:pt>
                <c:pt idx="196">
                  <c:v>10.07.2023</c:v>
                </c:pt>
                <c:pt idx="197">
                  <c:v>17.07.2023</c:v>
                </c:pt>
                <c:pt idx="198">
                  <c:v>24.07.2023</c:v>
                </c:pt>
                <c:pt idx="199">
                  <c:v>31.07.2023</c:v>
                </c:pt>
                <c:pt idx="200">
                  <c:v>07.08.2023</c:v>
                </c:pt>
                <c:pt idx="201">
                  <c:v>14.08.2023</c:v>
                </c:pt>
                <c:pt idx="202">
                  <c:v>21.08.2023</c:v>
                </c:pt>
                <c:pt idx="203">
                  <c:v>28.08.2023</c:v>
                </c:pt>
                <c:pt idx="204">
                  <c:v>04.09.2023</c:v>
                </c:pt>
                <c:pt idx="205">
                  <c:v>11.09.2023</c:v>
                </c:pt>
                <c:pt idx="206">
                  <c:v>18.09.2023</c:v>
                </c:pt>
                <c:pt idx="207">
                  <c:v>25.09.2023</c:v>
                </c:pt>
                <c:pt idx="208">
                  <c:v>02.10.2023</c:v>
                </c:pt>
                <c:pt idx="209">
                  <c:v>09.10.2023</c:v>
                </c:pt>
                <c:pt idx="210">
                  <c:v>16.10.2023</c:v>
                </c:pt>
                <c:pt idx="211">
                  <c:v>23.10.2023</c:v>
                </c:pt>
              </c:strCache>
            </c:strRef>
          </c:cat>
          <c:val>
            <c:numRef>
              <c:f>SapIbpChartFeeder!$C$6:$HF$6</c:f>
              <c:numCache>
                <c:formatCode>General</c:formatCode>
                <c:ptCount val="2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90214.319237000003</c:v>
                </c:pt>
                <c:pt idx="99">
                  <c:v>220088.73748900002</c:v>
                </c:pt>
                <c:pt idx="100">
                  <c:v>214153.83896199998</c:v>
                </c:pt>
                <c:pt idx="101">
                  <c:v>213534.27210399997</c:v>
                </c:pt>
                <c:pt idx="102">
                  <c:v>214424.55278500001</c:v>
                </c:pt>
                <c:pt idx="103">
                  <c:v>214772.72025499999</c:v>
                </c:pt>
                <c:pt idx="104">
                  <c:v>222798.18945600002</c:v>
                </c:pt>
                <c:pt idx="105">
                  <c:v>223729.430185</c:v>
                </c:pt>
                <c:pt idx="106">
                  <c:v>226260.459348</c:v>
                </c:pt>
                <c:pt idx="107">
                  <c:v>224534.76454899998</c:v>
                </c:pt>
                <c:pt idx="108">
                  <c:v>224476.37384199997</c:v>
                </c:pt>
                <c:pt idx="109">
                  <c:v>224863.75360900001</c:v>
                </c:pt>
                <c:pt idx="110">
                  <c:v>218419.70828599998</c:v>
                </c:pt>
                <c:pt idx="111">
                  <c:v>216540.52733400001</c:v>
                </c:pt>
                <c:pt idx="112">
                  <c:v>216624.54284100002</c:v>
                </c:pt>
                <c:pt idx="113">
                  <c:v>216687.66586799998</c:v>
                </c:pt>
                <c:pt idx="114">
                  <c:v>202304.57450599998</c:v>
                </c:pt>
                <c:pt idx="115">
                  <c:v>215239.28417300002</c:v>
                </c:pt>
                <c:pt idx="116">
                  <c:v>213449.63901999997</c:v>
                </c:pt>
                <c:pt idx="117">
                  <c:v>217866.73881499999</c:v>
                </c:pt>
                <c:pt idx="118">
                  <c:v>215415.32983699997</c:v>
                </c:pt>
                <c:pt idx="119">
                  <c:v>215956.41693000001</c:v>
                </c:pt>
                <c:pt idx="120">
                  <c:v>217613.19590800002</c:v>
                </c:pt>
                <c:pt idx="121">
                  <c:v>217298.07981199995</c:v>
                </c:pt>
                <c:pt idx="122">
                  <c:v>217936.11956699999</c:v>
                </c:pt>
                <c:pt idx="123">
                  <c:v>216912.33345500001</c:v>
                </c:pt>
                <c:pt idx="124">
                  <c:v>218201.10375399998</c:v>
                </c:pt>
                <c:pt idx="125">
                  <c:v>221394.201191</c:v>
                </c:pt>
                <c:pt idx="126">
                  <c:v>221169.336117</c:v>
                </c:pt>
                <c:pt idx="127">
                  <c:v>223120.26817700002</c:v>
                </c:pt>
                <c:pt idx="128">
                  <c:v>222238.31279299999</c:v>
                </c:pt>
                <c:pt idx="129">
                  <c:v>214628.38947699999</c:v>
                </c:pt>
                <c:pt idx="130">
                  <c:v>220004.02923300001</c:v>
                </c:pt>
                <c:pt idx="131">
                  <c:v>225305.31521599999</c:v>
                </c:pt>
                <c:pt idx="132">
                  <c:v>220187.677241</c:v>
                </c:pt>
                <c:pt idx="133">
                  <c:v>221961.30743000002</c:v>
                </c:pt>
                <c:pt idx="134">
                  <c:v>220720.96978700001</c:v>
                </c:pt>
                <c:pt idx="135">
                  <c:v>219407.95188000004</c:v>
                </c:pt>
                <c:pt idx="136">
                  <c:v>223594.59865</c:v>
                </c:pt>
                <c:pt idx="137">
                  <c:v>215140.55184200002</c:v>
                </c:pt>
                <c:pt idx="138">
                  <c:v>213783.550246</c:v>
                </c:pt>
                <c:pt idx="139">
                  <c:v>211927.60325099999</c:v>
                </c:pt>
                <c:pt idx="140">
                  <c:v>212735.15197500002</c:v>
                </c:pt>
                <c:pt idx="141">
                  <c:v>214251.95223900001</c:v>
                </c:pt>
                <c:pt idx="142">
                  <c:v>214525.90388100001</c:v>
                </c:pt>
                <c:pt idx="143">
                  <c:v>216978.48156300001</c:v>
                </c:pt>
                <c:pt idx="144">
                  <c:v>217221.77912399999</c:v>
                </c:pt>
                <c:pt idx="145">
                  <c:v>216656.90252999999</c:v>
                </c:pt>
                <c:pt idx="146">
                  <c:v>216529.88122899996</c:v>
                </c:pt>
                <c:pt idx="147">
                  <c:v>216818.53907699999</c:v>
                </c:pt>
                <c:pt idx="148">
                  <c:v>217390.37181700004</c:v>
                </c:pt>
                <c:pt idx="149">
                  <c:v>216473.26806900001</c:v>
                </c:pt>
                <c:pt idx="150">
                  <c:v>217542.22914899996</c:v>
                </c:pt>
                <c:pt idx="151">
                  <c:v>218584.25514099997</c:v>
                </c:pt>
                <c:pt idx="152">
                  <c:v>217097.273498</c:v>
                </c:pt>
                <c:pt idx="153">
                  <c:v>218092.05509100002</c:v>
                </c:pt>
                <c:pt idx="154">
                  <c:v>219579.98525500001</c:v>
                </c:pt>
                <c:pt idx="155">
                  <c:v>215997.877527</c:v>
                </c:pt>
                <c:pt idx="156">
                  <c:v>217037.71029799999</c:v>
                </c:pt>
                <c:pt idx="157">
                  <c:v>217265.53474900001</c:v>
                </c:pt>
                <c:pt idx="158">
                  <c:v>218682.62608500003</c:v>
                </c:pt>
                <c:pt idx="159">
                  <c:v>216972.94108299998</c:v>
                </c:pt>
                <c:pt idx="160">
                  <c:v>216927.34757799999</c:v>
                </c:pt>
                <c:pt idx="161">
                  <c:v>217324.82928200002</c:v>
                </c:pt>
                <c:pt idx="162">
                  <c:v>218224.15264299998</c:v>
                </c:pt>
                <c:pt idx="163">
                  <c:v>216347.02726500001</c:v>
                </c:pt>
                <c:pt idx="164">
                  <c:v>216443.04382600001</c:v>
                </c:pt>
                <c:pt idx="165">
                  <c:v>216514.400643</c:v>
                </c:pt>
                <c:pt idx="166">
                  <c:v>202187.74337400001</c:v>
                </c:pt>
                <c:pt idx="167">
                  <c:v>215086.77378900003</c:v>
                </c:pt>
                <c:pt idx="168">
                  <c:v>217283.18858799999</c:v>
                </c:pt>
                <c:pt idx="169">
                  <c:v>217733.42375299998</c:v>
                </c:pt>
                <c:pt idx="170">
                  <c:v>215289.04777800001</c:v>
                </c:pt>
                <c:pt idx="171">
                  <c:v>215834.46429899998</c:v>
                </c:pt>
                <c:pt idx="172">
                  <c:v>217496.46781199999</c:v>
                </c:pt>
                <c:pt idx="173">
                  <c:v>217186.38495199999</c:v>
                </c:pt>
                <c:pt idx="174">
                  <c:v>217827.74067699999</c:v>
                </c:pt>
                <c:pt idx="175">
                  <c:v>216811.25780500003</c:v>
                </c:pt>
                <c:pt idx="176">
                  <c:v>218105.21734800001</c:v>
                </c:pt>
                <c:pt idx="177">
                  <c:v>221303.16430900001</c:v>
                </c:pt>
                <c:pt idx="178">
                  <c:v>221081.62173000001</c:v>
                </c:pt>
                <c:pt idx="179">
                  <c:v>223039.49776400003</c:v>
                </c:pt>
                <c:pt idx="180">
                  <c:v>222162.48466900003</c:v>
                </c:pt>
                <c:pt idx="181">
                  <c:v>214567.02116500001</c:v>
                </c:pt>
                <c:pt idx="182">
                  <c:v>219935.49111300003</c:v>
                </c:pt>
                <c:pt idx="183">
                  <c:v>225233.231975</c:v>
                </c:pt>
                <c:pt idx="184">
                  <c:v>220123.29490800001</c:v>
                </c:pt>
                <c:pt idx="185">
                  <c:v>221898.41445899999</c:v>
                </c:pt>
                <c:pt idx="186">
                  <c:v>220662.71953499998</c:v>
                </c:pt>
                <c:pt idx="187">
                  <c:v>219352.63822299999</c:v>
                </c:pt>
                <c:pt idx="188">
                  <c:v>223536.099288</c:v>
                </c:pt>
                <c:pt idx="189">
                  <c:v>215091.30388200004</c:v>
                </c:pt>
                <c:pt idx="190">
                  <c:v>213738.69876</c:v>
                </c:pt>
                <c:pt idx="191">
                  <c:v>211883.571367</c:v>
                </c:pt>
                <c:pt idx="192">
                  <c:v>212693.84768899999</c:v>
                </c:pt>
                <c:pt idx="193">
                  <c:v>214212.23898399997</c:v>
                </c:pt>
                <c:pt idx="194">
                  <c:v>214486.355198</c:v>
                </c:pt>
                <c:pt idx="195">
                  <c:v>216940.02095999999</c:v>
                </c:pt>
                <c:pt idx="196">
                  <c:v>217185.92459599997</c:v>
                </c:pt>
                <c:pt idx="197">
                  <c:v>216622.747519</c:v>
                </c:pt>
                <c:pt idx="198">
                  <c:v>216497.11747300002</c:v>
                </c:pt>
                <c:pt idx="199">
                  <c:v>216787.47732899999</c:v>
                </c:pt>
                <c:pt idx="200">
                  <c:v>217361.06994199997</c:v>
                </c:pt>
                <c:pt idx="201">
                  <c:v>216445.62405500002</c:v>
                </c:pt>
                <c:pt idx="202">
                  <c:v>217516.07610499999</c:v>
                </c:pt>
                <c:pt idx="203">
                  <c:v>218559.53690900005</c:v>
                </c:pt>
                <c:pt idx="204">
                  <c:v>217073.75220499997</c:v>
                </c:pt>
                <c:pt idx="205">
                  <c:v>218069.86112000002</c:v>
                </c:pt>
                <c:pt idx="206">
                  <c:v>219559.00844200002</c:v>
                </c:pt>
                <c:pt idx="207">
                  <c:v>215979.64156599998</c:v>
                </c:pt>
                <c:pt idx="208">
                  <c:v>0</c:v>
                </c:pt>
                <c:pt idx="209">
                  <c:v>0</c:v>
                </c:pt>
                <c:pt idx="210">
                  <c:v>0</c:v>
                </c:pt>
                <c:pt idx="211">
                  <c:v>0</c:v>
                </c:pt>
              </c:numCache>
            </c:numRef>
          </c:val>
          <c:extLst>
            <c:ext xmlns:c16="http://schemas.microsoft.com/office/drawing/2014/chart" uri="{C3380CC4-5D6E-409C-BE32-E72D297353CC}">
              <c16:uniqueId val="{00000002-66C0-407F-AA27-B696651A406E}"/>
            </c:ext>
          </c:extLst>
        </c:ser>
        <c:ser>
          <c:idx val="3"/>
          <c:order val="3"/>
          <c:tx>
            <c:v>Approved Forecast</c:v>
          </c:tx>
          <c:spPr>
            <a:solidFill>
              <a:schemeClr val="accent1">
                <a:lumMod val="60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SapIbpChartFeeder!$C$3:$HF$3</c:f>
              <c:strCache>
                <c:ptCount val="212"/>
                <c:pt idx="0">
                  <c:v>07.10.2019</c:v>
                </c:pt>
                <c:pt idx="1">
                  <c:v>14.10.2019</c:v>
                </c:pt>
                <c:pt idx="2">
                  <c:v>21.10.2019</c:v>
                </c:pt>
                <c:pt idx="3">
                  <c:v>28.10.2019</c:v>
                </c:pt>
                <c:pt idx="4">
                  <c:v>04.11.2019</c:v>
                </c:pt>
                <c:pt idx="5">
                  <c:v>11.11.2019</c:v>
                </c:pt>
                <c:pt idx="6">
                  <c:v>18.11.2019</c:v>
                </c:pt>
                <c:pt idx="7">
                  <c:v>25.11.2019</c:v>
                </c:pt>
                <c:pt idx="8">
                  <c:v>02.12.2019</c:v>
                </c:pt>
                <c:pt idx="9">
                  <c:v>09.12.2019</c:v>
                </c:pt>
                <c:pt idx="10">
                  <c:v>16.12.2019</c:v>
                </c:pt>
                <c:pt idx="11">
                  <c:v>23.12.2019</c:v>
                </c:pt>
                <c:pt idx="12">
                  <c:v>30.12.2019</c:v>
                </c:pt>
                <c:pt idx="13">
                  <c:v>06.01.2020</c:v>
                </c:pt>
                <c:pt idx="14">
                  <c:v>13.01.2020</c:v>
                </c:pt>
                <c:pt idx="15">
                  <c:v>20.01.2020</c:v>
                </c:pt>
                <c:pt idx="16">
                  <c:v>27.01.2020</c:v>
                </c:pt>
                <c:pt idx="17">
                  <c:v>03.02.2020</c:v>
                </c:pt>
                <c:pt idx="18">
                  <c:v>10.02.2020</c:v>
                </c:pt>
                <c:pt idx="19">
                  <c:v>17.02.2020</c:v>
                </c:pt>
                <c:pt idx="20">
                  <c:v>24.02.2020</c:v>
                </c:pt>
                <c:pt idx="21">
                  <c:v>02.03.2020</c:v>
                </c:pt>
                <c:pt idx="22">
                  <c:v>09.03.2020</c:v>
                </c:pt>
                <c:pt idx="23">
                  <c:v>16.03.2020</c:v>
                </c:pt>
                <c:pt idx="24">
                  <c:v>23.03.2020</c:v>
                </c:pt>
                <c:pt idx="25">
                  <c:v>30.03.2020</c:v>
                </c:pt>
                <c:pt idx="26">
                  <c:v>06.04.2020</c:v>
                </c:pt>
                <c:pt idx="27">
                  <c:v>13.04.2020</c:v>
                </c:pt>
                <c:pt idx="28">
                  <c:v>20.04.2020</c:v>
                </c:pt>
                <c:pt idx="29">
                  <c:v>27.04.2020</c:v>
                </c:pt>
                <c:pt idx="30">
                  <c:v>04.05.2020</c:v>
                </c:pt>
                <c:pt idx="31">
                  <c:v>11.05.2020</c:v>
                </c:pt>
                <c:pt idx="32">
                  <c:v>18.05.2020</c:v>
                </c:pt>
                <c:pt idx="33">
                  <c:v>25.05.2020</c:v>
                </c:pt>
                <c:pt idx="34">
                  <c:v>01.06.2020</c:v>
                </c:pt>
                <c:pt idx="35">
                  <c:v>08.06.2020</c:v>
                </c:pt>
                <c:pt idx="36">
                  <c:v>15.06.2020</c:v>
                </c:pt>
                <c:pt idx="37">
                  <c:v>22.06.2020</c:v>
                </c:pt>
                <c:pt idx="38">
                  <c:v>29.06.2020</c:v>
                </c:pt>
                <c:pt idx="39">
                  <c:v>06.07.2020</c:v>
                </c:pt>
                <c:pt idx="40">
                  <c:v>13.07.2020</c:v>
                </c:pt>
                <c:pt idx="41">
                  <c:v>20.07.2020</c:v>
                </c:pt>
                <c:pt idx="42">
                  <c:v>27.07.2020</c:v>
                </c:pt>
                <c:pt idx="43">
                  <c:v>03.08.2020</c:v>
                </c:pt>
                <c:pt idx="44">
                  <c:v>10.08.2020</c:v>
                </c:pt>
                <c:pt idx="45">
                  <c:v>17.08.2020</c:v>
                </c:pt>
                <c:pt idx="46">
                  <c:v>24.08.2020</c:v>
                </c:pt>
                <c:pt idx="47">
                  <c:v>31.08.2020</c:v>
                </c:pt>
                <c:pt idx="48">
                  <c:v>07.09.2020</c:v>
                </c:pt>
                <c:pt idx="49">
                  <c:v>14.09.2020</c:v>
                </c:pt>
                <c:pt idx="50">
                  <c:v>21.09.2020</c:v>
                </c:pt>
                <c:pt idx="51">
                  <c:v>28.09.2020</c:v>
                </c:pt>
                <c:pt idx="52">
                  <c:v>05.10.2020</c:v>
                </c:pt>
                <c:pt idx="53">
                  <c:v>12.10.2020</c:v>
                </c:pt>
                <c:pt idx="54">
                  <c:v>19.10.2020</c:v>
                </c:pt>
                <c:pt idx="55">
                  <c:v>26.10.2020</c:v>
                </c:pt>
                <c:pt idx="56">
                  <c:v>02.11.2020</c:v>
                </c:pt>
                <c:pt idx="57">
                  <c:v>09.11.2020</c:v>
                </c:pt>
                <c:pt idx="58">
                  <c:v>16.11.2020</c:v>
                </c:pt>
                <c:pt idx="59">
                  <c:v>23.11.2020</c:v>
                </c:pt>
                <c:pt idx="60">
                  <c:v>30.11.2020</c:v>
                </c:pt>
                <c:pt idx="61">
                  <c:v>07.12.2020</c:v>
                </c:pt>
                <c:pt idx="62">
                  <c:v>14.12.2020</c:v>
                </c:pt>
                <c:pt idx="63">
                  <c:v>21.12.2020</c:v>
                </c:pt>
                <c:pt idx="64">
                  <c:v>28.12.2020</c:v>
                </c:pt>
                <c:pt idx="65">
                  <c:v>04.01.2021</c:v>
                </c:pt>
                <c:pt idx="66">
                  <c:v>11.01.2021</c:v>
                </c:pt>
                <c:pt idx="67">
                  <c:v>18.01.2021</c:v>
                </c:pt>
                <c:pt idx="68">
                  <c:v>25.01.2021</c:v>
                </c:pt>
                <c:pt idx="69">
                  <c:v>01.02.2021</c:v>
                </c:pt>
                <c:pt idx="70">
                  <c:v>08.02.2021</c:v>
                </c:pt>
                <c:pt idx="71">
                  <c:v>15.02.2021</c:v>
                </c:pt>
                <c:pt idx="72">
                  <c:v>22.02.2021</c:v>
                </c:pt>
                <c:pt idx="73">
                  <c:v>01.03.2021</c:v>
                </c:pt>
                <c:pt idx="74">
                  <c:v>08.03.2021</c:v>
                </c:pt>
                <c:pt idx="75">
                  <c:v>15.03.2021</c:v>
                </c:pt>
                <c:pt idx="76">
                  <c:v>22.03.2021</c:v>
                </c:pt>
                <c:pt idx="77">
                  <c:v>29.03.2021</c:v>
                </c:pt>
                <c:pt idx="78">
                  <c:v>05.04.2021</c:v>
                </c:pt>
                <c:pt idx="79">
                  <c:v>12.04.2021</c:v>
                </c:pt>
                <c:pt idx="80">
                  <c:v>19.04.2021</c:v>
                </c:pt>
                <c:pt idx="81">
                  <c:v>26.04.2021</c:v>
                </c:pt>
                <c:pt idx="82">
                  <c:v>03.05.2021</c:v>
                </c:pt>
                <c:pt idx="83">
                  <c:v>10.05.2021</c:v>
                </c:pt>
                <c:pt idx="84">
                  <c:v>17.05.2021</c:v>
                </c:pt>
                <c:pt idx="85">
                  <c:v>24.05.2021</c:v>
                </c:pt>
                <c:pt idx="86">
                  <c:v>31.05.2021</c:v>
                </c:pt>
                <c:pt idx="87">
                  <c:v>07.06.2021</c:v>
                </c:pt>
                <c:pt idx="88">
                  <c:v>14.06.2021</c:v>
                </c:pt>
                <c:pt idx="89">
                  <c:v>21.06.2021</c:v>
                </c:pt>
                <c:pt idx="90">
                  <c:v>28.06.2021</c:v>
                </c:pt>
                <c:pt idx="91">
                  <c:v>05.07.2021</c:v>
                </c:pt>
                <c:pt idx="92">
                  <c:v>12.07.2021</c:v>
                </c:pt>
                <c:pt idx="93">
                  <c:v>19.07.2021</c:v>
                </c:pt>
                <c:pt idx="94">
                  <c:v>26.07.2021</c:v>
                </c:pt>
                <c:pt idx="95">
                  <c:v>02.08.2021</c:v>
                </c:pt>
                <c:pt idx="96">
                  <c:v>09.08.2021</c:v>
                </c:pt>
                <c:pt idx="97">
                  <c:v>16.08.2021</c:v>
                </c:pt>
                <c:pt idx="98">
                  <c:v>23.08.2021</c:v>
                </c:pt>
                <c:pt idx="99">
                  <c:v>30.08.2021</c:v>
                </c:pt>
                <c:pt idx="100">
                  <c:v>06.09.2021</c:v>
                </c:pt>
                <c:pt idx="101">
                  <c:v>13.09.2021</c:v>
                </c:pt>
                <c:pt idx="102">
                  <c:v>20.09.2021</c:v>
                </c:pt>
                <c:pt idx="103">
                  <c:v>27.09.2021</c:v>
                </c:pt>
                <c:pt idx="104">
                  <c:v>04.10.2021</c:v>
                </c:pt>
                <c:pt idx="105">
                  <c:v>11.10.2021</c:v>
                </c:pt>
                <c:pt idx="106">
                  <c:v>18.10.2021</c:v>
                </c:pt>
                <c:pt idx="107">
                  <c:v>25.10.2021</c:v>
                </c:pt>
                <c:pt idx="108">
                  <c:v>01.11.2021</c:v>
                </c:pt>
                <c:pt idx="109">
                  <c:v>08.11.2021</c:v>
                </c:pt>
                <c:pt idx="110">
                  <c:v>15.11.2021</c:v>
                </c:pt>
                <c:pt idx="111">
                  <c:v>22.11.2021</c:v>
                </c:pt>
                <c:pt idx="112">
                  <c:v>29.11.2021</c:v>
                </c:pt>
                <c:pt idx="113">
                  <c:v>06.12.2021</c:v>
                </c:pt>
                <c:pt idx="114">
                  <c:v>13.12.2021</c:v>
                </c:pt>
                <c:pt idx="115">
                  <c:v>20.12.2021</c:v>
                </c:pt>
                <c:pt idx="116">
                  <c:v>27.12.2021</c:v>
                </c:pt>
                <c:pt idx="117">
                  <c:v>03.01.2022</c:v>
                </c:pt>
                <c:pt idx="118">
                  <c:v>10.01.2022</c:v>
                </c:pt>
                <c:pt idx="119">
                  <c:v>17.01.2022</c:v>
                </c:pt>
                <c:pt idx="120">
                  <c:v>24.01.2022</c:v>
                </c:pt>
                <c:pt idx="121">
                  <c:v>31.01.2022</c:v>
                </c:pt>
                <c:pt idx="122">
                  <c:v>07.02.2022</c:v>
                </c:pt>
                <c:pt idx="123">
                  <c:v>14.02.2022</c:v>
                </c:pt>
                <c:pt idx="124">
                  <c:v>21.02.2022</c:v>
                </c:pt>
                <c:pt idx="125">
                  <c:v>28.02.2022</c:v>
                </c:pt>
                <c:pt idx="126">
                  <c:v>07.03.2022</c:v>
                </c:pt>
                <c:pt idx="127">
                  <c:v>14.03.2022</c:v>
                </c:pt>
                <c:pt idx="128">
                  <c:v>21.03.2022</c:v>
                </c:pt>
                <c:pt idx="129">
                  <c:v>28.03.2022</c:v>
                </c:pt>
                <c:pt idx="130">
                  <c:v>04.04.2022</c:v>
                </c:pt>
                <c:pt idx="131">
                  <c:v>11.04.2022</c:v>
                </c:pt>
                <c:pt idx="132">
                  <c:v>18.04.2022</c:v>
                </c:pt>
                <c:pt idx="133">
                  <c:v>25.04.2022</c:v>
                </c:pt>
                <c:pt idx="134">
                  <c:v>02.05.2022</c:v>
                </c:pt>
                <c:pt idx="135">
                  <c:v>09.05.2022</c:v>
                </c:pt>
                <c:pt idx="136">
                  <c:v>16.05.2022</c:v>
                </c:pt>
                <c:pt idx="137">
                  <c:v>23.05.2022</c:v>
                </c:pt>
                <c:pt idx="138">
                  <c:v>30.05.2022</c:v>
                </c:pt>
                <c:pt idx="139">
                  <c:v>06.06.2022</c:v>
                </c:pt>
                <c:pt idx="140">
                  <c:v>13.06.2022</c:v>
                </c:pt>
                <c:pt idx="141">
                  <c:v>20.06.2022</c:v>
                </c:pt>
                <c:pt idx="142">
                  <c:v>27.06.2022</c:v>
                </c:pt>
                <c:pt idx="143">
                  <c:v>04.07.2022</c:v>
                </c:pt>
                <c:pt idx="144">
                  <c:v>11.07.2022</c:v>
                </c:pt>
                <c:pt idx="145">
                  <c:v>18.07.2022</c:v>
                </c:pt>
                <c:pt idx="146">
                  <c:v>25.07.2022</c:v>
                </c:pt>
                <c:pt idx="147">
                  <c:v>01.08.2022</c:v>
                </c:pt>
                <c:pt idx="148">
                  <c:v>08.08.2022</c:v>
                </c:pt>
                <c:pt idx="149">
                  <c:v>15.08.2022</c:v>
                </c:pt>
                <c:pt idx="150">
                  <c:v>22.08.2022</c:v>
                </c:pt>
                <c:pt idx="151">
                  <c:v>29.08.2022</c:v>
                </c:pt>
                <c:pt idx="152">
                  <c:v>05.09.2022</c:v>
                </c:pt>
                <c:pt idx="153">
                  <c:v>12.09.2022</c:v>
                </c:pt>
                <c:pt idx="154">
                  <c:v>19.09.2022</c:v>
                </c:pt>
                <c:pt idx="155">
                  <c:v>26.09.2022</c:v>
                </c:pt>
                <c:pt idx="156">
                  <c:v>03.10.2022</c:v>
                </c:pt>
                <c:pt idx="157">
                  <c:v>10.10.2022</c:v>
                </c:pt>
                <c:pt idx="158">
                  <c:v>17.10.2022</c:v>
                </c:pt>
                <c:pt idx="159">
                  <c:v>24.10.2022</c:v>
                </c:pt>
                <c:pt idx="160">
                  <c:v>31.10.2022</c:v>
                </c:pt>
                <c:pt idx="161">
                  <c:v>07.11.2022</c:v>
                </c:pt>
                <c:pt idx="162">
                  <c:v>14.11.2022</c:v>
                </c:pt>
                <c:pt idx="163">
                  <c:v>21.11.2022</c:v>
                </c:pt>
                <c:pt idx="164">
                  <c:v>28.11.2022</c:v>
                </c:pt>
                <c:pt idx="165">
                  <c:v>05.12.2022</c:v>
                </c:pt>
                <c:pt idx="166">
                  <c:v>12.12.2022</c:v>
                </c:pt>
                <c:pt idx="167">
                  <c:v>19.12.2022</c:v>
                </c:pt>
                <c:pt idx="168">
                  <c:v>26.12.2022</c:v>
                </c:pt>
                <c:pt idx="169">
                  <c:v>02.01.2023</c:v>
                </c:pt>
                <c:pt idx="170">
                  <c:v>09.01.2023</c:v>
                </c:pt>
                <c:pt idx="171">
                  <c:v>16.01.2023</c:v>
                </c:pt>
                <c:pt idx="172">
                  <c:v>23.01.2023</c:v>
                </c:pt>
                <c:pt idx="173">
                  <c:v>30.01.2023</c:v>
                </c:pt>
                <c:pt idx="174">
                  <c:v>06.02.2023</c:v>
                </c:pt>
                <c:pt idx="175">
                  <c:v>13.02.2023</c:v>
                </c:pt>
                <c:pt idx="176">
                  <c:v>20.02.2023</c:v>
                </c:pt>
                <c:pt idx="177">
                  <c:v>27.02.2023</c:v>
                </c:pt>
                <c:pt idx="178">
                  <c:v>06.03.2023</c:v>
                </c:pt>
                <c:pt idx="179">
                  <c:v>13.03.2023</c:v>
                </c:pt>
                <c:pt idx="180">
                  <c:v>20.03.2023</c:v>
                </c:pt>
                <c:pt idx="181">
                  <c:v>27.03.2023</c:v>
                </c:pt>
                <c:pt idx="182">
                  <c:v>03.04.2023</c:v>
                </c:pt>
                <c:pt idx="183">
                  <c:v>10.04.2023</c:v>
                </c:pt>
                <c:pt idx="184">
                  <c:v>17.04.2023</c:v>
                </c:pt>
                <c:pt idx="185">
                  <c:v>24.04.2023</c:v>
                </c:pt>
                <c:pt idx="186">
                  <c:v>01.05.2023</c:v>
                </c:pt>
                <c:pt idx="187">
                  <c:v>08.05.2023</c:v>
                </c:pt>
                <c:pt idx="188">
                  <c:v>15.05.2023</c:v>
                </c:pt>
                <c:pt idx="189">
                  <c:v>22.05.2023</c:v>
                </c:pt>
                <c:pt idx="190">
                  <c:v>29.05.2023</c:v>
                </c:pt>
                <c:pt idx="191">
                  <c:v>05.06.2023</c:v>
                </c:pt>
                <c:pt idx="192">
                  <c:v>12.06.2023</c:v>
                </c:pt>
                <c:pt idx="193">
                  <c:v>19.06.2023</c:v>
                </c:pt>
                <c:pt idx="194">
                  <c:v>26.06.2023</c:v>
                </c:pt>
                <c:pt idx="195">
                  <c:v>03.07.2023</c:v>
                </c:pt>
                <c:pt idx="196">
                  <c:v>10.07.2023</c:v>
                </c:pt>
                <c:pt idx="197">
                  <c:v>17.07.2023</c:v>
                </c:pt>
                <c:pt idx="198">
                  <c:v>24.07.2023</c:v>
                </c:pt>
                <c:pt idx="199">
                  <c:v>31.07.2023</c:v>
                </c:pt>
                <c:pt idx="200">
                  <c:v>07.08.2023</c:v>
                </c:pt>
                <c:pt idx="201">
                  <c:v>14.08.2023</c:v>
                </c:pt>
                <c:pt idx="202">
                  <c:v>21.08.2023</c:v>
                </c:pt>
                <c:pt idx="203">
                  <c:v>28.08.2023</c:v>
                </c:pt>
                <c:pt idx="204">
                  <c:v>04.09.2023</c:v>
                </c:pt>
                <c:pt idx="205">
                  <c:v>11.09.2023</c:v>
                </c:pt>
                <c:pt idx="206">
                  <c:v>18.09.2023</c:v>
                </c:pt>
                <c:pt idx="207">
                  <c:v>25.09.2023</c:v>
                </c:pt>
                <c:pt idx="208">
                  <c:v>02.10.2023</c:v>
                </c:pt>
                <c:pt idx="209">
                  <c:v>09.10.2023</c:v>
                </c:pt>
                <c:pt idx="210">
                  <c:v>16.10.2023</c:v>
                </c:pt>
                <c:pt idx="211">
                  <c:v>23.10.2023</c:v>
                </c:pt>
              </c:strCache>
            </c:strRef>
          </c:cat>
          <c:val>
            <c:numRef>
              <c:f>SapIbpChartFeeder!$C$7:$HF$7</c:f>
              <c:numCache>
                <c:formatCode>General</c:formatCode>
                <c:ptCount val="2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214104.991943</c:v>
                </c:pt>
                <c:pt idx="101">
                  <c:v>213626.36130399999</c:v>
                </c:pt>
                <c:pt idx="102">
                  <c:v>231136.02954900003</c:v>
                </c:pt>
                <c:pt idx="103">
                  <c:v>239587.53417699999</c:v>
                </c:pt>
                <c:pt idx="104">
                  <c:v>240116.58496499999</c:v>
                </c:pt>
                <c:pt idx="105">
                  <c:v>240410.52282300001</c:v>
                </c:pt>
                <c:pt idx="106">
                  <c:v>244790.49243100002</c:v>
                </c:pt>
                <c:pt idx="107">
                  <c:v>247417.45316200002</c:v>
                </c:pt>
                <c:pt idx="108">
                  <c:v>247282.985307</c:v>
                </c:pt>
                <c:pt idx="109">
                  <c:v>247843.50468299998</c:v>
                </c:pt>
                <c:pt idx="110">
                  <c:v>239611.588078</c:v>
                </c:pt>
                <c:pt idx="111">
                  <c:v>237504.37738600001</c:v>
                </c:pt>
                <c:pt idx="112">
                  <c:v>237625.989279</c:v>
                </c:pt>
                <c:pt idx="113">
                  <c:v>237667.60180600002</c:v>
                </c:pt>
                <c:pt idx="114">
                  <c:v>222053.06799700001</c:v>
                </c:pt>
                <c:pt idx="115">
                  <c:v>237177.348065</c:v>
                </c:pt>
                <c:pt idx="116">
                  <c:v>235693.98173599999</c:v>
                </c:pt>
                <c:pt idx="117">
                  <c:v>239023.53107500001</c:v>
                </c:pt>
                <c:pt idx="118">
                  <c:v>236324.79935299998</c:v>
                </c:pt>
                <c:pt idx="119">
                  <c:v>236891.70538900001</c:v>
                </c:pt>
                <c:pt idx="120">
                  <c:v>238737.467386</c:v>
                </c:pt>
                <c:pt idx="121">
                  <c:v>238368.66909799998</c:v>
                </c:pt>
                <c:pt idx="122">
                  <c:v>239057.758665</c:v>
                </c:pt>
                <c:pt idx="123">
                  <c:v>237944.21227199998</c:v>
                </c:pt>
                <c:pt idx="124">
                  <c:v>239354.47408000004</c:v>
                </c:pt>
                <c:pt idx="125">
                  <c:v>242892.62680900001</c:v>
                </c:pt>
                <c:pt idx="126">
                  <c:v>242622.21713800001</c:v>
                </c:pt>
                <c:pt idx="127">
                  <c:v>244796.78031799998</c:v>
                </c:pt>
                <c:pt idx="128">
                  <c:v>243834.07177899999</c:v>
                </c:pt>
                <c:pt idx="129">
                  <c:v>235550.15143</c:v>
                </c:pt>
                <c:pt idx="130">
                  <c:v>241358.17068000001</c:v>
                </c:pt>
                <c:pt idx="131">
                  <c:v>247114.86936299998</c:v>
                </c:pt>
                <c:pt idx="132">
                  <c:v>241521.701523</c:v>
                </c:pt>
                <c:pt idx="133">
                  <c:v>243438.57572200001</c:v>
                </c:pt>
                <c:pt idx="134">
                  <c:v>242101.95809699997</c:v>
                </c:pt>
                <c:pt idx="135">
                  <c:v>240649.51359300001</c:v>
                </c:pt>
                <c:pt idx="136">
                  <c:v>245163.55689999997</c:v>
                </c:pt>
                <c:pt idx="137">
                  <c:v>235953.01662400001</c:v>
                </c:pt>
                <c:pt idx="138">
                  <c:v>234534.753038</c:v>
                </c:pt>
                <c:pt idx="139">
                  <c:v>232437.74027499999</c:v>
                </c:pt>
                <c:pt idx="140">
                  <c:v>233354.08226300002</c:v>
                </c:pt>
                <c:pt idx="141">
                  <c:v>235009.76607300004</c:v>
                </c:pt>
                <c:pt idx="142">
                  <c:v>235312.29337000003</c:v>
                </c:pt>
                <c:pt idx="143">
                  <c:v>237959.63715900001</c:v>
                </c:pt>
                <c:pt idx="144">
                  <c:v>238259.12273800003</c:v>
                </c:pt>
                <c:pt idx="145">
                  <c:v>237630.05514099999</c:v>
                </c:pt>
                <c:pt idx="146">
                  <c:v>237472.28962300002</c:v>
                </c:pt>
                <c:pt idx="147">
                  <c:v>237807.863939</c:v>
                </c:pt>
                <c:pt idx="148">
                  <c:v>238426.12244499999</c:v>
                </c:pt>
                <c:pt idx="149">
                  <c:v>237447.89792800002</c:v>
                </c:pt>
                <c:pt idx="150">
                  <c:v>238621.840352</c:v>
                </c:pt>
                <c:pt idx="151">
                  <c:v>239785.06666099999</c:v>
                </c:pt>
                <c:pt idx="152">
                  <c:v>238180.74312299999</c:v>
                </c:pt>
                <c:pt idx="153">
                  <c:v>239274.57197700001</c:v>
                </c:pt>
                <c:pt idx="154">
                  <c:v>240788.81399099997</c:v>
                </c:pt>
                <c:pt idx="155">
                  <c:v>237043.79893699999</c:v>
                </c:pt>
                <c:pt idx="156">
                  <c:v>238109.42157900002</c:v>
                </c:pt>
                <c:pt idx="157">
                  <c:v>238360.43713400001</c:v>
                </c:pt>
                <c:pt idx="158">
                  <c:v>239864.69097900001</c:v>
                </c:pt>
                <c:pt idx="159">
                  <c:v>237985.00244800004</c:v>
                </c:pt>
                <c:pt idx="160">
                  <c:v>237969.37228300003</c:v>
                </c:pt>
                <c:pt idx="161">
                  <c:v>238409.88845899998</c:v>
                </c:pt>
                <c:pt idx="162">
                  <c:v>239409.99593199999</c:v>
                </c:pt>
                <c:pt idx="163">
                  <c:v>237304.11545700001</c:v>
                </c:pt>
                <c:pt idx="164">
                  <c:v>237438.36025600004</c:v>
                </c:pt>
                <c:pt idx="165">
                  <c:v>237488.39399800001</c:v>
                </c:pt>
                <c:pt idx="166">
                  <c:v>221934.66656299998</c:v>
                </c:pt>
                <c:pt idx="167">
                  <c:v>235942.27692800001</c:v>
                </c:pt>
                <c:pt idx="168">
                  <c:v>238414.97102500001</c:v>
                </c:pt>
                <c:pt idx="169">
                  <c:v>238886.28743399997</c:v>
                </c:pt>
                <c:pt idx="170">
                  <c:v>236194.81769599998</c:v>
                </c:pt>
                <c:pt idx="171">
                  <c:v>236765.96851099998</c:v>
                </c:pt>
                <c:pt idx="172">
                  <c:v>238617.05551299997</c:v>
                </c:pt>
                <c:pt idx="173">
                  <c:v>238253.38289199999</c:v>
                </c:pt>
                <c:pt idx="174">
                  <c:v>238945.757725</c:v>
                </c:pt>
                <c:pt idx="175">
                  <c:v>237839.88633900002</c:v>
                </c:pt>
                <c:pt idx="176">
                  <c:v>239255.48419799996</c:v>
                </c:pt>
                <c:pt idx="177">
                  <c:v>242798.63494400002</c:v>
                </c:pt>
                <c:pt idx="178">
                  <c:v>242531.56860700002</c:v>
                </c:pt>
                <c:pt idx="179">
                  <c:v>244713.444995</c:v>
                </c:pt>
                <c:pt idx="180">
                  <c:v>243755.94629900003</c:v>
                </c:pt>
                <c:pt idx="181">
                  <c:v>235487.53359900002</c:v>
                </c:pt>
                <c:pt idx="182">
                  <c:v>241287.56563</c:v>
                </c:pt>
                <c:pt idx="183">
                  <c:v>247040.18263600001</c:v>
                </c:pt>
                <c:pt idx="184">
                  <c:v>241455.27867100001</c:v>
                </c:pt>
                <c:pt idx="185">
                  <c:v>243373.623074</c:v>
                </c:pt>
                <c:pt idx="186">
                  <c:v>242041.84021900001</c:v>
                </c:pt>
                <c:pt idx="187">
                  <c:v>240592.41140600003</c:v>
                </c:pt>
                <c:pt idx="188">
                  <c:v>245102.83224000005</c:v>
                </c:pt>
                <c:pt idx="189">
                  <c:v>235902.18012900001</c:v>
                </c:pt>
                <c:pt idx="190">
                  <c:v>234488.57563400001</c:v>
                </c:pt>
                <c:pt idx="191">
                  <c:v>232392.29753000001</c:v>
                </c:pt>
                <c:pt idx="192">
                  <c:v>233311.47430100001</c:v>
                </c:pt>
                <c:pt idx="193">
                  <c:v>234968.79803899999</c:v>
                </c:pt>
                <c:pt idx="194">
                  <c:v>235271.359536</c:v>
                </c:pt>
                <c:pt idx="195">
                  <c:v>237919.79276899996</c:v>
                </c:pt>
                <c:pt idx="196">
                  <c:v>238222.03709900001</c:v>
                </c:pt>
                <c:pt idx="197">
                  <c:v>237594.70094399998</c:v>
                </c:pt>
                <c:pt idx="198">
                  <c:v>237438.348157</c:v>
                </c:pt>
                <c:pt idx="199">
                  <c:v>237775.68674400001</c:v>
                </c:pt>
                <c:pt idx="200">
                  <c:v>238395.77919</c:v>
                </c:pt>
                <c:pt idx="201">
                  <c:v>237419.27486999999</c:v>
                </c:pt>
                <c:pt idx="202">
                  <c:v>238594.77688399999</c:v>
                </c:pt>
                <c:pt idx="203">
                  <c:v>239759.53361799999</c:v>
                </c:pt>
                <c:pt idx="204">
                  <c:v>238156.45964099999</c:v>
                </c:pt>
                <c:pt idx="205">
                  <c:v>239251.67599399999</c:v>
                </c:pt>
                <c:pt idx="206">
                  <c:v>240767.18610299999</c:v>
                </c:pt>
                <c:pt idx="207">
                  <c:v>237025.20230499998</c:v>
                </c:pt>
                <c:pt idx="208">
                  <c:v>0</c:v>
                </c:pt>
                <c:pt idx="209">
                  <c:v>0</c:v>
                </c:pt>
                <c:pt idx="210">
                  <c:v>0</c:v>
                </c:pt>
                <c:pt idx="211">
                  <c:v>0</c:v>
                </c:pt>
              </c:numCache>
            </c:numRef>
          </c:val>
          <c:extLst>
            <c:ext xmlns:c16="http://schemas.microsoft.com/office/drawing/2014/chart" uri="{C3380CC4-5D6E-409C-BE32-E72D297353CC}">
              <c16:uniqueId val="{00000003-66C0-407F-AA27-B696651A406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3.4681707249888491E-2"/>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6.jpeg"/><Relationship Id="rId2" Type="http://schemas.openxmlformats.org/officeDocument/2006/relationships/image" Target="../media/image25.png"/><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23.emf"/><Relationship Id="rId18" Type="http://schemas.openxmlformats.org/officeDocument/2006/relationships/image" Target="../media/image7.emf"/><Relationship Id="rId3" Type="http://schemas.openxmlformats.org/officeDocument/2006/relationships/image" Target="../media/image18.emf"/><Relationship Id="rId7" Type="http://schemas.openxmlformats.org/officeDocument/2006/relationships/image" Target="../media/image22.emf"/><Relationship Id="rId12" Type="http://schemas.openxmlformats.org/officeDocument/2006/relationships/image" Target="../media/image11.emf"/><Relationship Id="rId17" Type="http://schemas.openxmlformats.org/officeDocument/2006/relationships/image" Target="../media/image8.emf"/><Relationship Id="rId2" Type="http://schemas.openxmlformats.org/officeDocument/2006/relationships/image" Target="../media/image17.emf"/><Relationship Id="rId16" Type="http://schemas.openxmlformats.org/officeDocument/2006/relationships/image" Target="../media/image9.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12.emf"/><Relationship Id="rId5" Type="http://schemas.openxmlformats.org/officeDocument/2006/relationships/image" Target="../media/image20.emf"/><Relationship Id="rId15" Type="http://schemas.openxmlformats.org/officeDocument/2006/relationships/image" Target="../media/image10.emf"/><Relationship Id="rId10" Type="http://schemas.openxmlformats.org/officeDocument/2006/relationships/image" Target="../media/image13.emf"/><Relationship Id="rId19" Type="http://schemas.openxmlformats.org/officeDocument/2006/relationships/image" Target="../media/image6.emf"/><Relationship Id="rId4" Type="http://schemas.openxmlformats.org/officeDocument/2006/relationships/image" Target="../media/image19.emf"/><Relationship Id="rId9" Type="http://schemas.openxmlformats.org/officeDocument/2006/relationships/image" Target="../media/image15.emf"/><Relationship Id="rId14"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9525</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66675</xdr:rowOff>
        </xdr:from>
        <xdr:to>
          <xdr:col>7</xdr:col>
          <xdr:colOff>1609725</xdr:colOff>
          <xdr:row>4</xdr:row>
          <xdr:rowOff>342900</xdr:rowOff>
        </xdr:to>
        <xdr:sp macro="" textlink="">
          <xdr:nvSpPr>
            <xdr:cNvPr id="18433" name="cbApplyLevelFormatting"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18434" name="Group Box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2619375</xdr:colOff>
          <xdr:row>5</xdr:row>
          <xdr:rowOff>276225</xdr:rowOff>
        </xdr:to>
        <xdr:sp macro="" textlink="">
          <xdr:nvSpPr>
            <xdr:cNvPr id="18435" name="obLevelRowFirst"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18436" name="obLevelColumnFirst"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2752725</xdr:colOff>
          <xdr:row>5</xdr:row>
          <xdr:rowOff>0</xdr:rowOff>
        </xdr:from>
        <xdr:to>
          <xdr:col>8</xdr:col>
          <xdr:colOff>180975</xdr:colOff>
          <xdr:row>6</xdr:row>
          <xdr:rowOff>0</xdr:rowOff>
        </xdr:to>
        <xdr:sp macro="" textlink="">
          <xdr:nvSpPr>
            <xdr:cNvPr id="18437" name="Group Box 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12</xdr:row>
          <xdr:rowOff>0</xdr:rowOff>
        </xdr:from>
        <xdr:to>
          <xdr:col>12</xdr:col>
          <xdr:colOff>0</xdr:colOff>
          <xdr:row>14</xdr:row>
          <xdr:rowOff>0</xdr:rowOff>
        </xdr:to>
        <xdr:sp macro="" textlink="">
          <xdr:nvSpPr>
            <xdr:cNvPr id="18442" name="Group Box 10"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14</xdr:row>
          <xdr:rowOff>200025</xdr:rowOff>
        </xdr:from>
        <xdr:to>
          <xdr:col>2</xdr:col>
          <xdr:colOff>1019175</xdr:colOff>
          <xdr:row>17</xdr:row>
          <xdr:rowOff>38100</xdr:rowOff>
        </xdr:to>
        <xdr:sp macro="" textlink="">
          <xdr:nvSpPr>
            <xdr:cNvPr id="18445" name="cbUseDefaultLevelFirst" hidden="1">
              <a:extLst>
                <a:ext uri="{63B3BB69-23CF-44E3-9099-C40C66FF867C}">
                  <a14:compatExt spid="_x0000_s18445"/>
                </a:ext>
                <a:ext uri="{FF2B5EF4-FFF2-40B4-BE49-F238E27FC236}">
                  <a16:creationId xmlns:a16="http://schemas.microsoft.com/office/drawing/2014/main" id="{00000000-0008-0000-0100-00000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6</xdr:row>
          <xdr:rowOff>0</xdr:rowOff>
        </xdr:from>
        <xdr:to>
          <xdr:col>12</xdr:col>
          <xdr:colOff>0</xdr:colOff>
          <xdr:row>8</xdr:row>
          <xdr:rowOff>0</xdr:rowOff>
        </xdr:to>
        <xdr:sp macro="" textlink="">
          <xdr:nvSpPr>
            <xdr:cNvPr id="18451" name="Group Box 19" hidden="1">
              <a:extLst>
                <a:ext uri="{63B3BB69-23CF-44E3-9099-C40C66FF867C}">
                  <a14:compatExt spid="_x0000_s18451"/>
                </a:ext>
                <a:ext uri="{FF2B5EF4-FFF2-40B4-BE49-F238E27FC236}">
                  <a16:creationId xmlns:a16="http://schemas.microsoft.com/office/drawing/2014/main" id="{00000000-0008-0000-0100-000013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38100</xdr:rowOff>
        </xdr:to>
        <xdr:sp macro="" textlink="">
          <xdr:nvSpPr>
            <xdr:cNvPr id="18454" name="cbUseDefaultLevelSecond" hidden="1">
              <a:extLst>
                <a:ext uri="{63B3BB69-23CF-44E3-9099-C40C66FF867C}">
                  <a14:compatExt spid="_x0000_s18454"/>
                </a:ext>
                <a:ext uri="{FF2B5EF4-FFF2-40B4-BE49-F238E27FC236}">
                  <a16:creationId xmlns:a16="http://schemas.microsoft.com/office/drawing/2014/main" id="{00000000-0008-0000-0100-00001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21</xdr:row>
          <xdr:rowOff>66675</xdr:rowOff>
        </xdr:from>
        <xdr:to>
          <xdr:col>9</xdr:col>
          <xdr:colOff>600075</xdr:colOff>
          <xdr:row>21</xdr:row>
          <xdr:rowOff>342900</xdr:rowOff>
        </xdr:to>
        <xdr:sp macro="" textlink="">
          <xdr:nvSpPr>
            <xdr:cNvPr id="18459" name="cbApplyMemberFormatting" hidden="1">
              <a:extLst>
                <a:ext uri="{63B3BB69-23CF-44E3-9099-C40C66FF867C}">
                  <a14:compatExt spid="_x0000_s18459"/>
                </a:ext>
                <a:ext uri="{FF2B5EF4-FFF2-40B4-BE49-F238E27FC236}">
                  <a16:creationId xmlns:a16="http://schemas.microsoft.com/office/drawing/2014/main" id="{00000000-0008-0000-01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1276350</xdr:colOff>
          <xdr:row>23</xdr:row>
          <xdr:rowOff>0</xdr:rowOff>
        </xdr:to>
        <xdr:sp macro="" textlink="">
          <xdr:nvSpPr>
            <xdr:cNvPr id="18460" name="Group Box 28" hidden="1">
              <a:extLst>
                <a:ext uri="{63B3BB69-23CF-44E3-9099-C40C66FF867C}">
                  <a14:compatExt spid="_x0000_s18460"/>
                </a:ext>
                <a:ext uri="{FF2B5EF4-FFF2-40B4-BE49-F238E27FC236}">
                  <a16:creationId xmlns:a16="http://schemas.microsoft.com/office/drawing/2014/main" id="{00000000-0008-0000-0100-00001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22</xdr:row>
          <xdr:rowOff>57150</xdr:rowOff>
        </xdr:from>
        <xdr:to>
          <xdr:col>3</xdr:col>
          <xdr:colOff>2619375</xdr:colOff>
          <xdr:row>22</xdr:row>
          <xdr:rowOff>276225</xdr:rowOff>
        </xdr:to>
        <xdr:sp macro="" textlink="">
          <xdr:nvSpPr>
            <xdr:cNvPr id="18461" name="obMemberRowFirst" hidden="1">
              <a:extLst>
                <a:ext uri="{63B3BB69-23CF-44E3-9099-C40C66FF867C}">
                  <a14:compatExt spid="_x0000_s18461"/>
                </a:ext>
                <a:ext uri="{FF2B5EF4-FFF2-40B4-BE49-F238E27FC236}">
                  <a16:creationId xmlns:a16="http://schemas.microsoft.com/office/drawing/2014/main" id="{00000000-0008-0000-0100-00001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22</xdr:row>
          <xdr:rowOff>57150</xdr:rowOff>
        </xdr:from>
        <xdr:to>
          <xdr:col>3</xdr:col>
          <xdr:colOff>447675</xdr:colOff>
          <xdr:row>22</xdr:row>
          <xdr:rowOff>276225</xdr:rowOff>
        </xdr:to>
        <xdr:sp macro="" textlink="">
          <xdr:nvSpPr>
            <xdr:cNvPr id="18462" name="obMemberColumnFirst" hidden="1">
              <a:extLst>
                <a:ext uri="{63B3BB69-23CF-44E3-9099-C40C66FF867C}">
                  <a14:compatExt spid="_x0000_s18462"/>
                </a:ext>
                <a:ext uri="{FF2B5EF4-FFF2-40B4-BE49-F238E27FC236}">
                  <a16:creationId xmlns:a16="http://schemas.microsoft.com/office/drawing/2014/main" id="{00000000-0008-0000-0100-00001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25</xdr:row>
          <xdr:rowOff>0</xdr:rowOff>
        </xdr:from>
        <xdr:to>
          <xdr:col>2</xdr:col>
          <xdr:colOff>1019175</xdr:colOff>
          <xdr:row>28</xdr:row>
          <xdr:rowOff>0</xdr:rowOff>
        </xdr:to>
        <xdr:sp macro="" textlink="">
          <xdr:nvSpPr>
            <xdr:cNvPr id="18464" name="cbApplyCalculatedMemberFirst" hidden="1">
              <a:extLst>
                <a:ext uri="{63B3BB69-23CF-44E3-9099-C40C66FF867C}">
                  <a14:compatExt spid="_x0000_s18464"/>
                </a:ext>
                <a:ext uri="{FF2B5EF4-FFF2-40B4-BE49-F238E27FC236}">
                  <a16:creationId xmlns:a16="http://schemas.microsoft.com/office/drawing/2014/main" id="{00000000-0008-0000-0100-00002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28</xdr:row>
          <xdr:rowOff>0</xdr:rowOff>
        </xdr:from>
        <xdr:to>
          <xdr:col>2</xdr:col>
          <xdr:colOff>1019175</xdr:colOff>
          <xdr:row>30</xdr:row>
          <xdr:rowOff>38100</xdr:rowOff>
        </xdr:to>
        <xdr:sp macro="" textlink="">
          <xdr:nvSpPr>
            <xdr:cNvPr id="18465" name="cbApplyImputableMemberFirst" hidden="1">
              <a:extLst>
                <a:ext uri="{63B3BB69-23CF-44E3-9099-C40C66FF867C}">
                  <a14:compatExt spid="_x0000_s18465"/>
                </a:ext>
                <a:ext uri="{FF2B5EF4-FFF2-40B4-BE49-F238E27FC236}">
                  <a16:creationId xmlns:a16="http://schemas.microsoft.com/office/drawing/2014/main" id="{00000000-0008-0000-0100-00002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31</xdr:row>
          <xdr:rowOff>0</xdr:rowOff>
        </xdr:from>
        <xdr:to>
          <xdr:col>2</xdr:col>
          <xdr:colOff>1019175</xdr:colOff>
          <xdr:row>33</xdr:row>
          <xdr:rowOff>38100</xdr:rowOff>
        </xdr:to>
        <xdr:sp macro="" textlink="">
          <xdr:nvSpPr>
            <xdr:cNvPr id="18466" name="cbApplyLocalMemberFirst" hidden="1">
              <a:extLst>
                <a:ext uri="{63B3BB69-23CF-44E3-9099-C40C66FF867C}">
                  <a14:compatExt spid="_x0000_s18466"/>
                </a:ext>
                <a:ext uri="{FF2B5EF4-FFF2-40B4-BE49-F238E27FC236}">
                  <a16:creationId xmlns:a16="http://schemas.microsoft.com/office/drawing/2014/main" id="{00000000-0008-0000-0100-00002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34</xdr:row>
          <xdr:rowOff>0</xdr:rowOff>
        </xdr:from>
        <xdr:to>
          <xdr:col>2</xdr:col>
          <xdr:colOff>1019175</xdr:colOff>
          <xdr:row>36</xdr:row>
          <xdr:rowOff>38100</xdr:rowOff>
        </xdr:to>
        <xdr:sp macro="" textlink="">
          <xdr:nvSpPr>
            <xdr:cNvPr id="18467" name="cbApplyChangedMemberFirst" hidden="1">
              <a:extLst>
                <a:ext uri="{63B3BB69-23CF-44E3-9099-C40C66FF867C}">
                  <a14:compatExt spid="_x0000_s18467"/>
                </a:ext>
                <a:ext uri="{FF2B5EF4-FFF2-40B4-BE49-F238E27FC236}">
                  <a16:creationId xmlns:a16="http://schemas.microsoft.com/office/drawing/2014/main" id="{00000000-0008-0000-0100-00002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37</xdr:row>
          <xdr:rowOff>47625</xdr:rowOff>
        </xdr:from>
        <xdr:to>
          <xdr:col>2</xdr:col>
          <xdr:colOff>1019175</xdr:colOff>
          <xdr:row>39</xdr:row>
          <xdr:rowOff>0</xdr:rowOff>
        </xdr:to>
        <xdr:sp macro="" textlink="">
          <xdr:nvSpPr>
            <xdr:cNvPr id="18468" name="cbApplySpecificMemberFirst" hidden="1">
              <a:extLst>
                <a:ext uri="{63B3BB69-23CF-44E3-9099-C40C66FF867C}">
                  <a14:compatExt spid="_x0000_s18468"/>
                </a:ext>
                <a:ext uri="{FF2B5EF4-FFF2-40B4-BE49-F238E27FC236}">
                  <a16:creationId xmlns:a16="http://schemas.microsoft.com/office/drawing/2014/main" id="{00000000-0008-0000-0100-00002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174</xdr:row>
          <xdr:rowOff>19050</xdr:rowOff>
        </xdr:from>
        <xdr:to>
          <xdr:col>3</xdr:col>
          <xdr:colOff>4286250</xdr:colOff>
          <xdr:row>174</xdr:row>
          <xdr:rowOff>266700</xdr:rowOff>
        </xdr:to>
        <xdr:sp macro="" textlink="">
          <xdr:nvSpPr>
            <xdr:cNvPr id="18469" name="AddMemberFirst" hidden="1">
              <a:extLst>
                <a:ext uri="{63B3BB69-23CF-44E3-9099-C40C66FF867C}">
                  <a14:compatExt spid="_x0000_s18469"/>
                </a:ext>
                <a:ext uri="{FF2B5EF4-FFF2-40B4-BE49-F238E27FC236}">
                  <a16:creationId xmlns:a16="http://schemas.microsoft.com/office/drawing/2014/main" id="{00000000-0008-0000-0100-00002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178</xdr:row>
          <xdr:rowOff>0</xdr:rowOff>
        </xdr:from>
        <xdr:to>
          <xdr:col>2</xdr:col>
          <xdr:colOff>1019175</xdr:colOff>
          <xdr:row>180</xdr:row>
          <xdr:rowOff>47625</xdr:rowOff>
        </xdr:to>
        <xdr:sp macro="" textlink="">
          <xdr:nvSpPr>
            <xdr:cNvPr id="18471" name="cbApplyCalculatedMemberSecond" hidden="1">
              <a:extLst>
                <a:ext uri="{63B3BB69-23CF-44E3-9099-C40C66FF867C}">
                  <a14:compatExt spid="_x0000_s18471"/>
                </a:ext>
                <a:ext uri="{FF2B5EF4-FFF2-40B4-BE49-F238E27FC236}">
                  <a16:creationId xmlns:a16="http://schemas.microsoft.com/office/drawing/2014/main" id="{00000000-0008-0000-0100-00002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181</xdr:row>
          <xdr:rowOff>0</xdr:rowOff>
        </xdr:from>
        <xdr:to>
          <xdr:col>2</xdr:col>
          <xdr:colOff>1019175</xdr:colOff>
          <xdr:row>183</xdr:row>
          <xdr:rowOff>38100</xdr:rowOff>
        </xdr:to>
        <xdr:sp macro="" textlink="">
          <xdr:nvSpPr>
            <xdr:cNvPr id="18472" name="cbApplyImputableMemberSecond" hidden="1">
              <a:extLst>
                <a:ext uri="{63B3BB69-23CF-44E3-9099-C40C66FF867C}">
                  <a14:compatExt spid="_x0000_s18472"/>
                </a:ext>
                <a:ext uri="{FF2B5EF4-FFF2-40B4-BE49-F238E27FC236}">
                  <a16:creationId xmlns:a16="http://schemas.microsoft.com/office/drawing/2014/main" id="{00000000-0008-0000-0100-00002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184</xdr:row>
          <xdr:rowOff>0</xdr:rowOff>
        </xdr:from>
        <xdr:to>
          <xdr:col>2</xdr:col>
          <xdr:colOff>1019175</xdr:colOff>
          <xdr:row>186</xdr:row>
          <xdr:rowOff>38100</xdr:rowOff>
        </xdr:to>
        <xdr:sp macro="" textlink="">
          <xdr:nvSpPr>
            <xdr:cNvPr id="18473" name="cbApplyLocalMemberSecond" hidden="1">
              <a:extLst>
                <a:ext uri="{63B3BB69-23CF-44E3-9099-C40C66FF867C}">
                  <a14:compatExt spid="_x0000_s18473"/>
                </a:ext>
                <a:ext uri="{FF2B5EF4-FFF2-40B4-BE49-F238E27FC236}">
                  <a16:creationId xmlns:a16="http://schemas.microsoft.com/office/drawing/2014/main" id="{00000000-0008-0000-0100-00002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187</xdr:row>
          <xdr:rowOff>0</xdr:rowOff>
        </xdr:from>
        <xdr:to>
          <xdr:col>2</xdr:col>
          <xdr:colOff>1019175</xdr:colOff>
          <xdr:row>189</xdr:row>
          <xdr:rowOff>38100</xdr:rowOff>
        </xdr:to>
        <xdr:sp macro="" textlink="">
          <xdr:nvSpPr>
            <xdr:cNvPr id="18474" name="cbApplyChangedMemberSecond" hidden="1">
              <a:extLst>
                <a:ext uri="{63B3BB69-23CF-44E3-9099-C40C66FF867C}">
                  <a14:compatExt spid="_x0000_s18474"/>
                </a:ext>
                <a:ext uri="{FF2B5EF4-FFF2-40B4-BE49-F238E27FC236}">
                  <a16:creationId xmlns:a16="http://schemas.microsoft.com/office/drawing/2014/main" id="{00000000-0008-0000-0100-00002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190</xdr:row>
          <xdr:rowOff>47625</xdr:rowOff>
        </xdr:from>
        <xdr:to>
          <xdr:col>2</xdr:col>
          <xdr:colOff>1019175</xdr:colOff>
          <xdr:row>192</xdr:row>
          <xdr:rowOff>0</xdr:rowOff>
        </xdr:to>
        <xdr:sp macro="" textlink="">
          <xdr:nvSpPr>
            <xdr:cNvPr id="18475" name="cbApplySpecificMemberSecond" hidden="1">
              <a:extLst>
                <a:ext uri="{63B3BB69-23CF-44E3-9099-C40C66FF867C}">
                  <a14:compatExt spid="_x0000_s18475"/>
                </a:ext>
                <a:ext uri="{FF2B5EF4-FFF2-40B4-BE49-F238E27FC236}">
                  <a16:creationId xmlns:a16="http://schemas.microsoft.com/office/drawing/2014/main" id="{00000000-0008-0000-0100-00002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213</xdr:row>
          <xdr:rowOff>19050</xdr:rowOff>
        </xdr:from>
        <xdr:to>
          <xdr:col>3</xdr:col>
          <xdr:colOff>4286250</xdr:colOff>
          <xdr:row>213</xdr:row>
          <xdr:rowOff>266700</xdr:rowOff>
        </xdr:to>
        <xdr:sp macro="" textlink="">
          <xdr:nvSpPr>
            <xdr:cNvPr id="18476" name="AddMemberSecond" hidden="1">
              <a:extLst>
                <a:ext uri="{63B3BB69-23CF-44E3-9099-C40C66FF867C}">
                  <a14:compatExt spid="_x0000_s18476"/>
                </a:ext>
                <a:ext uri="{FF2B5EF4-FFF2-40B4-BE49-F238E27FC236}">
                  <a16:creationId xmlns:a16="http://schemas.microsoft.com/office/drawing/2014/main" id="{00000000-0008-0000-0100-00002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217</xdr:row>
          <xdr:rowOff>66675</xdr:rowOff>
        </xdr:from>
        <xdr:to>
          <xdr:col>7</xdr:col>
          <xdr:colOff>1800225</xdr:colOff>
          <xdr:row>217</xdr:row>
          <xdr:rowOff>342900</xdr:rowOff>
        </xdr:to>
        <xdr:sp macro="" textlink="">
          <xdr:nvSpPr>
            <xdr:cNvPr id="18477" name="cbApplyOddEvenFormatting" hidden="1">
              <a:extLst>
                <a:ext uri="{63B3BB69-23CF-44E3-9099-C40C66FF867C}">
                  <a14:compatExt spid="_x0000_s18477"/>
                </a:ext>
                <a:ext uri="{FF2B5EF4-FFF2-40B4-BE49-F238E27FC236}">
                  <a16:creationId xmlns:a16="http://schemas.microsoft.com/office/drawing/2014/main" id="{00000000-0008-0000-0100-00002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218</xdr:row>
          <xdr:rowOff>0</xdr:rowOff>
        </xdr:from>
        <xdr:to>
          <xdr:col>11</xdr:col>
          <xdr:colOff>1276350</xdr:colOff>
          <xdr:row>219</xdr:row>
          <xdr:rowOff>0</xdr:rowOff>
        </xdr:to>
        <xdr:sp macro="" textlink="">
          <xdr:nvSpPr>
            <xdr:cNvPr id="18478" name="Group Box 46" hidden="1">
              <a:extLst>
                <a:ext uri="{63B3BB69-23CF-44E3-9099-C40C66FF867C}">
                  <a14:compatExt spid="_x0000_s18478"/>
                </a:ext>
                <a:ext uri="{FF2B5EF4-FFF2-40B4-BE49-F238E27FC236}">
                  <a16:creationId xmlns:a16="http://schemas.microsoft.com/office/drawing/2014/main" id="{00000000-0008-0000-0100-00002E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218</xdr:row>
          <xdr:rowOff>66675</xdr:rowOff>
        </xdr:from>
        <xdr:to>
          <xdr:col>3</xdr:col>
          <xdr:colOff>2619375</xdr:colOff>
          <xdr:row>218</xdr:row>
          <xdr:rowOff>276225</xdr:rowOff>
        </xdr:to>
        <xdr:sp macro="" textlink="">
          <xdr:nvSpPr>
            <xdr:cNvPr id="18479" name="obOddEvenRowFirst" hidden="1">
              <a:extLst>
                <a:ext uri="{63B3BB69-23CF-44E3-9099-C40C66FF867C}">
                  <a14:compatExt spid="_x0000_s18479"/>
                </a:ext>
                <a:ext uri="{FF2B5EF4-FFF2-40B4-BE49-F238E27FC236}">
                  <a16:creationId xmlns:a16="http://schemas.microsoft.com/office/drawing/2014/main" id="{00000000-0008-0000-0100-00002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218</xdr:row>
          <xdr:rowOff>66675</xdr:rowOff>
        </xdr:from>
        <xdr:to>
          <xdr:col>3</xdr:col>
          <xdr:colOff>447675</xdr:colOff>
          <xdr:row>218</xdr:row>
          <xdr:rowOff>276225</xdr:rowOff>
        </xdr:to>
        <xdr:sp macro="" textlink="">
          <xdr:nvSpPr>
            <xdr:cNvPr id="18480" name="obOddEvenColumnFirst" hidden="1">
              <a:extLst>
                <a:ext uri="{63B3BB69-23CF-44E3-9099-C40C66FF867C}">
                  <a14:compatExt spid="_x0000_s18480"/>
                </a:ext>
                <a:ext uri="{FF2B5EF4-FFF2-40B4-BE49-F238E27FC236}">
                  <a16:creationId xmlns:a16="http://schemas.microsoft.com/office/drawing/2014/main" id="{00000000-0008-0000-0100-00003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221</xdr:row>
          <xdr:rowOff>0</xdr:rowOff>
        </xdr:from>
        <xdr:to>
          <xdr:col>2</xdr:col>
          <xdr:colOff>1019175</xdr:colOff>
          <xdr:row>223</xdr:row>
          <xdr:rowOff>38100</xdr:rowOff>
        </xdr:to>
        <xdr:sp macro="" textlink="">
          <xdr:nvSpPr>
            <xdr:cNvPr id="18481" name="cbUseOddFirst" hidden="1">
              <a:extLst>
                <a:ext uri="{63B3BB69-23CF-44E3-9099-C40C66FF867C}">
                  <a14:compatExt spid="_x0000_s18481"/>
                </a:ext>
                <a:ext uri="{FF2B5EF4-FFF2-40B4-BE49-F238E27FC236}">
                  <a16:creationId xmlns:a16="http://schemas.microsoft.com/office/drawing/2014/main" id="{00000000-0008-0000-0100-00003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224</xdr:row>
          <xdr:rowOff>0</xdr:rowOff>
        </xdr:from>
        <xdr:to>
          <xdr:col>2</xdr:col>
          <xdr:colOff>1019175</xdr:colOff>
          <xdr:row>226</xdr:row>
          <xdr:rowOff>38100</xdr:rowOff>
        </xdr:to>
        <xdr:sp macro="" textlink="">
          <xdr:nvSpPr>
            <xdr:cNvPr id="18482" name="cbUseEvenFirst" hidden="1">
              <a:extLst>
                <a:ext uri="{63B3BB69-23CF-44E3-9099-C40C66FF867C}">
                  <a14:compatExt spid="_x0000_s18482"/>
                </a:ext>
                <a:ext uri="{FF2B5EF4-FFF2-40B4-BE49-F238E27FC236}">
                  <a16:creationId xmlns:a16="http://schemas.microsoft.com/office/drawing/2014/main" id="{00000000-0008-0000-0100-00003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229</xdr:row>
          <xdr:rowOff>0</xdr:rowOff>
        </xdr:from>
        <xdr:to>
          <xdr:col>2</xdr:col>
          <xdr:colOff>1019175</xdr:colOff>
          <xdr:row>231</xdr:row>
          <xdr:rowOff>38100</xdr:rowOff>
        </xdr:to>
        <xdr:sp macro="" textlink="">
          <xdr:nvSpPr>
            <xdr:cNvPr id="18483" name="cbUseOddSecond" hidden="1">
              <a:extLst>
                <a:ext uri="{63B3BB69-23CF-44E3-9099-C40C66FF867C}">
                  <a14:compatExt spid="_x0000_s18483"/>
                </a:ext>
                <a:ext uri="{FF2B5EF4-FFF2-40B4-BE49-F238E27FC236}">
                  <a16:creationId xmlns:a16="http://schemas.microsoft.com/office/drawing/2014/main" id="{00000000-0008-0000-0100-00003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231</xdr:row>
          <xdr:rowOff>47625</xdr:rowOff>
        </xdr:from>
        <xdr:to>
          <xdr:col>2</xdr:col>
          <xdr:colOff>1019175</xdr:colOff>
          <xdr:row>234</xdr:row>
          <xdr:rowOff>38100</xdr:rowOff>
        </xdr:to>
        <xdr:sp macro="" textlink="">
          <xdr:nvSpPr>
            <xdr:cNvPr id="18484" name="cbUseEvenSecond" hidden="1">
              <a:extLst>
                <a:ext uri="{63B3BB69-23CF-44E3-9099-C40C66FF867C}">
                  <a14:compatExt spid="_x0000_s18484"/>
                </a:ext>
                <a:ext uri="{FF2B5EF4-FFF2-40B4-BE49-F238E27FC236}">
                  <a16:creationId xmlns:a16="http://schemas.microsoft.com/office/drawing/2014/main" id="{00000000-0008-0000-0100-00003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39</xdr:row>
          <xdr:rowOff>47625</xdr:rowOff>
        </xdr:from>
        <xdr:to>
          <xdr:col>12</xdr:col>
          <xdr:colOff>676275</xdr:colOff>
          <xdr:row>40</xdr:row>
          <xdr:rowOff>190500</xdr:rowOff>
        </xdr:to>
        <xdr:sp macro="" textlink="">
          <xdr:nvSpPr>
            <xdr:cNvPr id="18489" name="AddedMember1_1" hidden="1">
              <a:extLst>
                <a:ext uri="{63B3BB69-23CF-44E3-9099-C40C66FF867C}">
                  <a14:compatExt spid="_x0000_s18489"/>
                </a:ext>
                <a:ext uri="{FF2B5EF4-FFF2-40B4-BE49-F238E27FC236}">
                  <a16:creationId xmlns:a16="http://schemas.microsoft.com/office/drawing/2014/main" id="{00000000-0008-0000-0100-00003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39</xdr:row>
          <xdr:rowOff>47625</xdr:rowOff>
        </xdr:from>
        <xdr:to>
          <xdr:col>13</xdr:col>
          <xdr:colOff>685800</xdr:colOff>
          <xdr:row>40</xdr:row>
          <xdr:rowOff>190500</xdr:rowOff>
        </xdr:to>
        <xdr:sp macro="" textlink="">
          <xdr:nvSpPr>
            <xdr:cNvPr id="18490" name="ChangeMember1_1" hidden="1">
              <a:extLst>
                <a:ext uri="{63B3BB69-23CF-44E3-9099-C40C66FF867C}">
                  <a14:compatExt spid="_x0000_s18490"/>
                </a:ext>
                <a:ext uri="{FF2B5EF4-FFF2-40B4-BE49-F238E27FC236}">
                  <a16:creationId xmlns:a16="http://schemas.microsoft.com/office/drawing/2014/main" id="{00000000-0008-0000-0100-00003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47625</xdr:rowOff>
        </xdr:from>
        <xdr:to>
          <xdr:col>14</xdr:col>
          <xdr:colOff>685800</xdr:colOff>
          <xdr:row>40</xdr:row>
          <xdr:rowOff>190500</xdr:rowOff>
        </xdr:to>
        <xdr:sp macro="" textlink="">
          <xdr:nvSpPr>
            <xdr:cNvPr id="18491" name="UpMember1_1" hidden="1">
              <a:extLst>
                <a:ext uri="{63B3BB69-23CF-44E3-9099-C40C66FF867C}">
                  <a14:compatExt spid="_x0000_s18491"/>
                </a:ext>
                <a:ext uri="{FF2B5EF4-FFF2-40B4-BE49-F238E27FC236}">
                  <a16:creationId xmlns:a16="http://schemas.microsoft.com/office/drawing/2014/main" id="{00000000-0008-0000-0100-00003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39</xdr:row>
          <xdr:rowOff>47625</xdr:rowOff>
        </xdr:from>
        <xdr:to>
          <xdr:col>15</xdr:col>
          <xdr:colOff>676275</xdr:colOff>
          <xdr:row>40</xdr:row>
          <xdr:rowOff>190500</xdr:rowOff>
        </xdr:to>
        <xdr:sp macro="" textlink="">
          <xdr:nvSpPr>
            <xdr:cNvPr id="18492" name="DownMember1_1" hidden="1">
              <a:extLst>
                <a:ext uri="{63B3BB69-23CF-44E3-9099-C40C66FF867C}">
                  <a14:compatExt spid="_x0000_s18492"/>
                </a:ext>
                <a:ext uri="{FF2B5EF4-FFF2-40B4-BE49-F238E27FC236}">
                  <a16:creationId xmlns:a16="http://schemas.microsoft.com/office/drawing/2014/main" id="{00000000-0008-0000-0100-00003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42</xdr:row>
          <xdr:rowOff>47625</xdr:rowOff>
        </xdr:from>
        <xdr:to>
          <xdr:col>12</xdr:col>
          <xdr:colOff>676275</xdr:colOff>
          <xdr:row>44</xdr:row>
          <xdr:rowOff>0</xdr:rowOff>
        </xdr:to>
        <xdr:sp macro="" textlink="">
          <xdr:nvSpPr>
            <xdr:cNvPr id="18493" name="AddedMember1_2" hidden="1">
              <a:extLst>
                <a:ext uri="{63B3BB69-23CF-44E3-9099-C40C66FF867C}">
                  <a14:compatExt spid="_x0000_s18493"/>
                </a:ext>
                <a:ext uri="{FF2B5EF4-FFF2-40B4-BE49-F238E27FC236}">
                  <a16:creationId xmlns:a16="http://schemas.microsoft.com/office/drawing/2014/main" id="{00000000-0008-0000-0100-00003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42</xdr:row>
          <xdr:rowOff>47625</xdr:rowOff>
        </xdr:from>
        <xdr:to>
          <xdr:col>13</xdr:col>
          <xdr:colOff>685800</xdr:colOff>
          <xdr:row>44</xdr:row>
          <xdr:rowOff>0</xdr:rowOff>
        </xdr:to>
        <xdr:sp macro="" textlink="">
          <xdr:nvSpPr>
            <xdr:cNvPr id="18494" name="ChangeMember1_2" hidden="1">
              <a:extLst>
                <a:ext uri="{63B3BB69-23CF-44E3-9099-C40C66FF867C}">
                  <a14:compatExt spid="_x0000_s18494"/>
                </a:ext>
                <a:ext uri="{FF2B5EF4-FFF2-40B4-BE49-F238E27FC236}">
                  <a16:creationId xmlns:a16="http://schemas.microsoft.com/office/drawing/2014/main" id="{00000000-0008-0000-0100-00003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47625</xdr:rowOff>
        </xdr:from>
        <xdr:to>
          <xdr:col>14</xdr:col>
          <xdr:colOff>685800</xdr:colOff>
          <xdr:row>44</xdr:row>
          <xdr:rowOff>0</xdr:rowOff>
        </xdr:to>
        <xdr:sp macro="" textlink="">
          <xdr:nvSpPr>
            <xdr:cNvPr id="18495" name="UpMember1_2" hidden="1">
              <a:extLst>
                <a:ext uri="{63B3BB69-23CF-44E3-9099-C40C66FF867C}">
                  <a14:compatExt spid="_x0000_s18495"/>
                </a:ext>
                <a:ext uri="{FF2B5EF4-FFF2-40B4-BE49-F238E27FC236}">
                  <a16:creationId xmlns:a16="http://schemas.microsoft.com/office/drawing/2014/main" id="{00000000-0008-0000-0100-00003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42</xdr:row>
          <xdr:rowOff>47625</xdr:rowOff>
        </xdr:from>
        <xdr:to>
          <xdr:col>15</xdr:col>
          <xdr:colOff>676275</xdr:colOff>
          <xdr:row>44</xdr:row>
          <xdr:rowOff>0</xdr:rowOff>
        </xdr:to>
        <xdr:sp macro="" textlink="">
          <xdr:nvSpPr>
            <xdr:cNvPr id="18496" name="DownMember1_2" hidden="1">
              <a:extLst>
                <a:ext uri="{63B3BB69-23CF-44E3-9099-C40C66FF867C}">
                  <a14:compatExt spid="_x0000_s18496"/>
                </a:ext>
                <a:ext uri="{FF2B5EF4-FFF2-40B4-BE49-F238E27FC236}">
                  <a16:creationId xmlns:a16="http://schemas.microsoft.com/office/drawing/2014/main" id="{00000000-0008-0000-0100-00004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46</xdr:row>
          <xdr:rowOff>0</xdr:rowOff>
        </xdr:from>
        <xdr:to>
          <xdr:col>12</xdr:col>
          <xdr:colOff>676275</xdr:colOff>
          <xdr:row>47</xdr:row>
          <xdr:rowOff>0</xdr:rowOff>
        </xdr:to>
        <xdr:sp macro="" textlink="">
          <xdr:nvSpPr>
            <xdr:cNvPr id="18497" name="AddedMember1_3" hidden="1">
              <a:extLst>
                <a:ext uri="{63B3BB69-23CF-44E3-9099-C40C66FF867C}">
                  <a14:compatExt spid="_x0000_s18497"/>
                </a:ext>
                <a:ext uri="{FF2B5EF4-FFF2-40B4-BE49-F238E27FC236}">
                  <a16:creationId xmlns:a16="http://schemas.microsoft.com/office/drawing/2014/main" id="{00000000-0008-0000-0100-00004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46</xdr:row>
          <xdr:rowOff>0</xdr:rowOff>
        </xdr:from>
        <xdr:to>
          <xdr:col>13</xdr:col>
          <xdr:colOff>685800</xdr:colOff>
          <xdr:row>47</xdr:row>
          <xdr:rowOff>0</xdr:rowOff>
        </xdr:to>
        <xdr:sp macro="" textlink="">
          <xdr:nvSpPr>
            <xdr:cNvPr id="18498" name="ChangeMember1_3" hidden="1">
              <a:extLst>
                <a:ext uri="{63B3BB69-23CF-44E3-9099-C40C66FF867C}">
                  <a14:compatExt spid="_x0000_s18498"/>
                </a:ext>
                <a:ext uri="{FF2B5EF4-FFF2-40B4-BE49-F238E27FC236}">
                  <a16:creationId xmlns:a16="http://schemas.microsoft.com/office/drawing/2014/main" id="{00000000-0008-0000-0100-00004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46</xdr:row>
          <xdr:rowOff>0</xdr:rowOff>
        </xdr:from>
        <xdr:to>
          <xdr:col>14</xdr:col>
          <xdr:colOff>685800</xdr:colOff>
          <xdr:row>47</xdr:row>
          <xdr:rowOff>0</xdr:rowOff>
        </xdr:to>
        <xdr:sp macro="" textlink="">
          <xdr:nvSpPr>
            <xdr:cNvPr id="18499" name="UpMember1_3" hidden="1">
              <a:extLst>
                <a:ext uri="{63B3BB69-23CF-44E3-9099-C40C66FF867C}">
                  <a14:compatExt spid="_x0000_s18499"/>
                </a:ext>
                <a:ext uri="{FF2B5EF4-FFF2-40B4-BE49-F238E27FC236}">
                  <a16:creationId xmlns:a16="http://schemas.microsoft.com/office/drawing/2014/main" id="{00000000-0008-0000-0100-00004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46</xdr:row>
          <xdr:rowOff>0</xdr:rowOff>
        </xdr:from>
        <xdr:to>
          <xdr:col>15</xdr:col>
          <xdr:colOff>676275</xdr:colOff>
          <xdr:row>47</xdr:row>
          <xdr:rowOff>0</xdr:rowOff>
        </xdr:to>
        <xdr:sp macro="" textlink="">
          <xdr:nvSpPr>
            <xdr:cNvPr id="18500" name="DownMember1_3" hidden="1">
              <a:extLst>
                <a:ext uri="{63B3BB69-23CF-44E3-9099-C40C66FF867C}">
                  <a14:compatExt spid="_x0000_s18500"/>
                </a:ext>
                <a:ext uri="{FF2B5EF4-FFF2-40B4-BE49-F238E27FC236}">
                  <a16:creationId xmlns:a16="http://schemas.microsoft.com/office/drawing/2014/main" id="{00000000-0008-0000-0100-00004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49</xdr:row>
          <xdr:rowOff>0</xdr:rowOff>
        </xdr:from>
        <xdr:to>
          <xdr:col>12</xdr:col>
          <xdr:colOff>676275</xdr:colOff>
          <xdr:row>50</xdr:row>
          <xdr:rowOff>0</xdr:rowOff>
        </xdr:to>
        <xdr:sp macro="" textlink="">
          <xdr:nvSpPr>
            <xdr:cNvPr id="18501" name="AddedMember1_4" hidden="1">
              <a:extLst>
                <a:ext uri="{63B3BB69-23CF-44E3-9099-C40C66FF867C}">
                  <a14:compatExt spid="_x0000_s18501"/>
                </a:ext>
                <a:ext uri="{FF2B5EF4-FFF2-40B4-BE49-F238E27FC236}">
                  <a16:creationId xmlns:a16="http://schemas.microsoft.com/office/drawing/2014/main" id="{00000000-0008-0000-0100-00004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49</xdr:row>
          <xdr:rowOff>0</xdr:rowOff>
        </xdr:from>
        <xdr:to>
          <xdr:col>13</xdr:col>
          <xdr:colOff>685800</xdr:colOff>
          <xdr:row>50</xdr:row>
          <xdr:rowOff>0</xdr:rowOff>
        </xdr:to>
        <xdr:sp macro="" textlink="">
          <xdr:nvSpPr>
            <xdr:cNvPr id="18502" name="ChangeMember1_4" hidden="1">
              <a:extLst>
                <a:ext uri="{63B3BB69-23CF-44E3-9099-C40C66FF867C}">
                  <a14:compatExt spid="_x0000_s18502"/>
                </a:ext>
                <a:ext uri="{FF2B5EF4-FFF2-40B4-BE49-F238E27FC236}">
                  <a16:creationId xmlns:a16="http://schemas.microsoft.com/office/drawing/2014/main" id="{00000000-0008-0000-0100-00004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49</xdr:row>
          <xdr:rowOff>0</xdr:rowOff>
        </xdr:from>
        <xdr:to>
          <xdr:col>14</xdr:col>
          <xdr:colOff>685800</xdr:colOff>
          <xdr:row>50</xdr:row>
          <xdr:rowOff>0</xdr:rowOff>
        </xdr:to>
        <xdr:sp macro="" textlink="">
          <xdr:nvSpPr>
            <xdr:cNvPr id="18503" name="UpMember1_4" hidden="1">
              <a:extLst>
                <a:ext uri="{63B3BB69-23CF-44E3-9099-C40C66FF867C}">
                  <a14:compatExt spid="_x0000_s18503"/>
                </a:ext>
                <a:ext uri="{FF2B5EF4-FFF2-40B4-BE49-F238E27FC236}">
                  <a16:creationId xmlns:a16="http://schemas.microsoft.com/office/drawing/2014/main" id="{00000000-0008-0000-0100-00004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49</xdr:row>
          <xdr:rowOff>0</xdr:rowOff>
        </xdr:from>
        <xdr:to>
          <xdr:col>15</xdr:col>
          <xdr:colOff>676275</xdr:colOff>
          <xdr:row>50</xdr:row>
          <xdr:rowOff>0</xdr:rowOff>
        </xdr:to>
        <xdr:sp macro="" textlink="">
          <xdr:nvSpPr>
            <xdr:cNvPr id="18504" name="DownMember1_4" hidden="1">
              <a:extLst>
                <a:ext uri="{63B3BB69-23CF-44E3-9099-C40C66FF867C}">
                  <a14:compatExt spid="_x0000_s18504"/>
                </a:ext>
                <a:ext uri="{FF2B5EF4-FFF2-40B4-BE49-F238E27FC236}">
                  <a16:creationId xmlns:a16="http://schemas.microsoft.com/office/drawing/2014/main" id="{00000000-0008-0000-0100-00004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52</xdr:row>
          <xdr:rowOff>0</xdr:rowOff>
        </xdr:from>
        <xdr:to>
          <xdr:col>12</xdr:col>
          <xdr:colOff>676275</xdr:colOff>
          <xdr:row>53</xdr:row>
          <xdr:rowOff>9525</xdr:rowOff>
        </xdr:to>
        <xdr:sp macro="" textlink="">
          <xdr:nvSpPr>
            <xdr:cNvPr id="18505" name="AddedMember1_5" hidden="1">
              <a:extLst>
                <a:ext uri="{63B3BB69-23CF-44E3-9099-C40C66FF867C}">
                  <a14:compatExt spid="_x0000_s18505"/>
                </a:ext>
                <a:ext uri="{FF2B5EF4-FFF2-40B4-BE49-F238E27FC236}">
                  <a16:creationId xmlns:a16="http://schemas.microsoft.com/office/drawing/2014/main" id="{00000000-0008-0000-0100-00004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52</xdr:row>
          <xdr:rowOff>0</xdr:rowOff>
        </xdr:from>
        <xdr:to>
          <xdr:col>13</xdr:col>
          <xdr:colOff>685800</xdr:colOff>
          <xdr:row>53</xdr:row>
          <xdr:rowOff>9525</xdr:rowOff>
        </xdr:to>
        <xdr:sp macro="" textlink="">
          <xdr:nvSpPr>
            <xdr:cNvPr id="18506" name="ChangeMember1_5" hidden="1">
              <a:extLst>
                <a:ext uri="{63B3BB69-23CF-44E3-9099-C40C66FF867C}">
                  <a14:compatExt spid="_x0000_s18506"/>
                </a:ext>
                <a:ext uri="{FF2B5EF4-FFF2-40B4-BE49-F238E27FC236}">
                  <a16:creationId xmlns:a16="http://schemas.microsoft.com/office/drawing/2014/main" id="{00000000-0008-0000-0100-00004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52</xdr:row>
          <xdr:rowOff>0</xdr:rowOff>
        </xdr:from>
        <xdr:to>
          <xdr:col>14</xdr:col>
          <xdr:colOff>685800</xdr:colOff>
          <xdr:row>53</xdr:row>
          <xdr:rowOff>9525</xdr:rowOff>
        </xdr:to>
        <xdr:sp macro="" textlink="">
          <xdr:nvSpPr>
            <xdr:cNvPr id="18507" name="UpMember1_5" hidden="1">
              <a:extLst>
                <a:ext uri="{63B3BB69-23CF-44E3-9099-C40C66FF867C}">
                  <a14:compatExt spid="_x0000_s18507"/>
                </a:ext>
                <a:ext uri="{FF2B5EF4-FFF2-40B4-BE49-F238E27FC236}">
                  <a16:creationId xmlns:a16="http://schemas.microsoft.com/office/drawing/2014/main" id="{00000000-0008-0000-0100-00004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52</xdr:row>
          <xdr:rowOff>0</xdr:rowOff>
        </xdr:from>
        <xdr:to>
          <xdr:col>15</xdr:col>
          <xdr:colOff>676275</xdr:colOff>
          <xdr:row>53</xdr:row>
          <xdr:rowOff>9525</xdr:rowOff>
        </xdr:to>
        <xdr:sp macro="" textlink="">
          <xdr:nvSpPr>
            <xdr:cNvPr id="18508" name="DownMember1_5" hidden="1">
              <a:extLst>
                <a:ext uri="{63B3BB69-23CF-44E3-9099-C40C66FF867C}">
                  <a14:compatExt spid="_x0000_s18508"/>
                </a:ext>
                <a:ext uri="{FF2B5EF4-FFF2-40B4-BE49-F238E27FC236}">
                  <a16:creationId xmlns:a16="http://schemas.microsoft.com/office/drawing/2014/main" id="{00000000-0008-0000-0100-00004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54</xdr:row>
          <xdr:rowOff>47625</xdr:rowOff>
        </xdr:from>
        <xdr:to>
          <xdr:col>12</xdr:col>
          <xdr:colOff>676275</xdr:colOff>
          <xdr:row>56</xdr:row>
          <xdr:rowOff>0</xdr:rowOff>
        </xdr:to>
        <xdr:sp macro="" textlink="">
          <xdr:nvSpPr>
            <xdr:cNvPr id="18509" name="AddedMember1_6" hidden="1">
              <a:extLst>
                <a:ext uri="{63B3BB69-23CF-44E3-9099-C40C66FF867C}">
                  <a14:compatExt spid="_x0000_s18509"/>
                </a:ext>
                <a:ext uri="{FF2B5EF4-FFF2-40B4-BE49-F238E27FC236}">
                  <a16:creationId xmlns:a16="http://schemas.microsoft.com/office/drawing/2014/main" id="{00000000-0008-0000-0100-00004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54</xdr:row>
          <xdr:rowOff>47625</xdr:rowOff>
        </xdr:from>
        <xdr:to>
          <xdr:col>13</xdr:col>
          <xdr:colOff>685800</xdr:colOff>
          <xdr:row>56</xdr:row>
          <xdr:rowOff>0</xdr:rowOff>
        </xdr:to>
        <xdr:sp macro="" textlink="">
          <xdr:nvSpPr>
            <xdr:cNvPr id="18510" name="ChangeMember1_6" hidden="1">
              <a:extLst>
                <a:ext uri="{63B3BB69-23CF-44E3-9099-C40C66FF867C}">
                  <a14:compatExt spid="_x0000_s18510"/>
                </a:ext>
                <a:ext uri="{FF2B5EF4-FFF2-40B4-BE49-F238E27FC236}">
                  <a16:creationId xmlns:a16="http://schemas.microsoft.com/office/drawing/2014/main" id="{00000000-0008-0000-0100-00004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54</xdr:row>
          <xdr:rowOff>47625</xdr:rowOff>
        </xdr:from>
        <xdr:to>
          <xdr:col>14</xdr:col>
          <xdr:colOff>685800</xdr:colOff>
          <xdr:row>56</xdr:row>
          <xdr:rowOff>0</xdr:rowOff>
        </xdr:to>
        <xdr:sp macro="" textlink="">
          <xdr:nvSpPr>
            <xdr:cNvPr id="18511" name="UpMember1_6" hidden="1">
              <a:extLst>
                <a:ext uri="{63B3BB69-23CF-44E3-9099-C40C66FF867C}">
                  <a14:compatExt spid="_x0000_s18511"/>
                </a:ext>
                <a:ext uri="{FF2B5EF4-FFF2-40B4-BE49-F238E27FC236}">
                  <a16:creationId xmlns:a16="http://schemas.microsoft.com/office/drawing/2014/main" id="{00000000-0008-0000-0100-00004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54</xdr:row>
          <xdr:rowOff>47625</xdr:rowOff>
        </xdr:from>
        <xdr:to>
          <xdr:col>15</xdr:col>
          <xdr:colOff>676275</xdr:colOff>
          <xdr:row>56</xdr:row>
          <xdr:rowOff>0</xdr:rowOff>
        </xdr:to>
        <xdr:sp macro="" textlink="">
          <xdr:nvSpPr>
            <xdr:cNvPr id="18512" name="DownMember1_6" hidden="1">
              <a:extLst>
                <a:ext uri="{63B3BB69-23CF-44E3-9099-C40C66FF867C}">
                  <a14:compatExt spid="_x0000_s18512"/>
                </a:ext>
                <a:ext uri="{FF2B5EF4-FFF2-40B4-BE49-F238E27FC236}">
                  <a16:creationId xmlns:a16="http://schemas.microsoft.com/office/drawing/2014/main" id="{00000000-0008-0000-0100-00005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58</xdr:row>
          <xdr:rowOff>0</xdr:rowOff>
        </xdr:from>
        <xdr:to>
          <xdr:col>12</xdr:col>
          <xdr:colOff>676275</xdr:colOff>
          <xdr:row>59</xdr:row>
          <xdr:rowOff>0</xdr:rowOff>
        </xdr:to>
        <xdr:sp macro="" textlink="">
          <xdr:nvSpPr>
            <xdr:cNvPr id="18513" name="AddedMember1_7" hidden="1">
              <a:extLst>
                <a:ext uri="{63B3BB69-23CF-44E3-9099-C40C66FF867C}">
                  <a14:compatExt spid="_x0000_s18513"/>
                </a:ext>
                <a:ext uri="{FF2B5EF4-FFF2-40B4-BE49-F238E27FC236}">
                  <a16:creationId xmlns:a16="http://schemas.microsoft.com/office/drawing/2014/main" id="{00000000-0008-0000-0100-00005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58</xdr:row>
          <xdr:rowOff>0</xdr:rowOff>
        </xdr:from>
        <xdr:to>
          <xdr:col>13</xdr:col>
          <xdr:colOff>685800</xdr:colOff>
          <xdr:row>59</xdr:row>
          <xdr:rowOff>0</xdr:rowOff>
        </xdr:to>
        <xdr:sp macro="" textlink="">
          <xdr:nvSpPr>
            <xdr:cNvPr id="18514" name="ChangeMember1_7" hidden="1">
              <a:extLst>
                <a:ext uri="{63B3BB69-23CF-44E3-9099-C40C66FF867C}">
                  <a14:compatExt spid="_x0000_s18514"/>
                </a:ext>
                <a:ext uri="{FF2B5EF4-FFF2-40B4-BE49-F238E27FC236}">
                  <a16:creationId xmlns:a16="http://schemas.microsoft.com/office/drawing/2014/main" id="{00000000-0008-0000-0100-00005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685800</xdr:colOff>
          <xdr:row>59</xdr:row>
          <xdr:rowOff>0</xdr:rowOff>
        </xdr:to>
        <xdr:sp macro="" textlink="">
          <xdr:nvSpPr>
            <xdr:cNvPr id="18515" name="UpMember1_7" hidden="1">
              <a:extLst>
                <a:ext uri="{63B3BB69-23CF-44E3-9099-C40C66FF867C}">
                  <a14:compatExt spid="_x0000_s18515"/>
                </a:ext>
                <a:ext uri="{FF2B5EF4-FFF2-40B4-BE49-F238E27FC236}">
                  <a16:creationId xmlns:a16="http://schemas.microsoft.com/office/drawing/2014/main" id="{00000000-0008-0000-0100-00005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58</xdr:row>
          <xdr:rowOff>0</xdr:rowOff>
        </xdr:from>
        <xdr:to>
          <xdr:col>15</xdr:col>
          <xdr:colOff>676275</xdr:colOff>
          <xdr:row>59</xdr:row>
          <xdr:rowOff>0</xdr:rowOff>
        </xdr:to>
        <xdr:sp macro="" textlink="">
          <xdr:nvSpPr>
            <xdr:cNvPr id="18516" name="DownMember1_7" hidden="1">
              <a:extLst>
                <a:ext uri="{63B3BB69-23CF-44E3-9099-C40C66FF867C}">
                  <a14:compatExt spid="_x0000_s18516"/>
                </a:ext>
                <a:ext uri="{FF2B5EF4-FFF2-40B4-BE49-F238E27FC236}">
                  <a16:creationId xmlns:a16="http://schemas.microsoft.com/office/drawing/2014/main" id="{00000000-0008-0000-0100-00005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61</xdr:row>
          <xdr:rowOff>0</xdr:rowOff>
        </xdr:from>
        <xdr:to>
          <xdr:col>12</xdr:col>
          <xdr:colOff>676275</xdr:colOff>
          <xdr:row>62</xdr:row>
          <xdr:rowOff>0</xdr:rowOff>
        </xdr:to>
        <xdr:sp macro="" textlink="">
          <xdr:nvSpPr>
            <xdr:cNvPr id="18517" name="AddedMember1_8" hidden="1">
              <a:extLst>
                <a:ext uri="{63B3BB69-23CF-44E3-9099-C40C66FF867C}">
                  <a14:compatExt spid="_x0000_s18517"/>
                </a:ext>
                <a:ext uri="{FF2B5EF4-FFF2-40B4-BE49-F238E27FC236}">
                  <a16:creationId xmlns:a16="http://schemas.microsoft.com/office/drawing/2014/main" id="{00000000-0008-0000-0100-00005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61</xdr:row>
          <xdr:rowOff>0</xdr:rowOff>
        </xdr:from>
        <xdr:to>
          <xdr:col>13</xdr:col>
          <xdr:colOff>685800</xdr:colOff>
          <xdr:row>62</xdr:row>
          <xdr:rowOff>0</xdr:rowOff>
        </xdr:to>
        <xdr:sp macro="" textlink="">
          <xdr:nvSpPr>
            <xdr:cNvPr id="18518" name="ChangeMember1_8" hidden="1">
              <a:extLst>
                <a:ext uri="{63B3BB69-23CF-44E3-9099-C40C66FF867C}">
                  <a14:compatExt spid="_x0000_s18518"/>
                </a:ext>
                <a:ext uri="{FF2B5EF4-FFF2-40B4-BE49-F238E27FC236}">
                  <a16:creationId xmlns:a16="http://schemas.microsoft.com/office/drawing/2014/main" id="{00000000-0008-0000-0100-00005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61</xdr:row>
          <xdr:rowOff>0</xdr:rowOff>
        </xdr:from>
        <xdr:to>
          <xdr:col>14</xdr:col>
          <xdr:colOff>685800</xdr:colOff>
          <xdr:row>62</xdr:row>
          <xdr:rowOff>0</xdr:rowOff>
        </xdr:to>
        <xdr:sp macro="" textlink="">
          <xdr:nvSpPr>
            <xdr:cNvPr id="18519" name="UpMember1_8" hidden="1">
              <a:extLst>
                <a:ext uri="{63B3BB69-23CF-44E3-9099-C40C66FF867C}">
                  <a14:compatExt spid="_x0000_s18519"/>
                </a:ext>
                <a:ext uri="{FF2B5EF4-FFF2-40B4-BE49-F238E27FC236}">
                  <a16:creationId xmlns:a16="http://schemas.microsoft.com/office/drawing/2014/main" id="{00000000-0008-0000-0100-00005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61</xdr:row>
          <xdr:rowOff>0</xdr:rowOff>
        </xdr:from>
        <xdr:to>
          <xdr:col>15</xdr:col>
          <xdr:colOff>676275</xdr:colOff>
          <xdr:row>62</xdr:row>
          <xdr:rowOff>0</xdr:rowOff>
        </xdr:to>
        <xdr:sp macro="" textlink="">
          <xdr:nvSpPr>
            <xdr:cNvPr id="18520" name="DownMember1_8" hidden="1">
              <a:extLst>
                <a:ext uri="{63B3BB69-23CF-44E3-9099-C40C66FF867C}">
                  <a14:compatExt spid="_x0000_s18520"/>
                </a:ext>
                <a:ext uri="{FF2B5EF4-FFF2-40B4-BE49-F238E27FC236}">
                  <a16:creationId xmlns:a16="http://schemas.microsoft.com/office/drawing/2014/main" id="{00000000-0008-0000-0100-00005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63</xdr:row>
          <xdr:rowOff>47625</xdr:rowOff>
        </xdr:from>
        <xdr:to>
          <xdr:col>12</xdr:col>
          <xdr:colOff>676275</xdr:colOff>
          <xdr:row>64</xdr:row>
          <xdr:rowOff>190500</xdr:rowOff>
        </xdr:to>
        <xdr:sp macro="" textlink="">
          <xdr:nvSpPr>
            <xdr:cNvPr id="18521" name="AddedMember1_9" hidden="1">
              <a:extLst>
                <a:ext uri="{63B3BB69-23CF-44E3-9099-C40C66FF867C}">
                  <a14:compatExt spid="_x0000_s18521"/>
                </a:ext>
                <a:ext uri="{FF2B5EF4-FFF2-40B4-BE49-F238E27FC236}">
                  <a16:creationId xmlns:a16="http://schemas.microsoft.com/office/drawing/2014/main" id="{00000000-0008-0000-0100-00005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63</xdr:row>
          <xdr:rowOff>47625</xdr:rowOff>
        </xdr:from>
        <xdr:to>
          <xdr:col>13</xdr:col>
          <xdr:colOff>685800</xdr:colOff>
          <xdr:row>64</xdr:row>
          <xdr:rowOff>190500</xdr:rowOff>
        </xdr:to>
        <xdr:sp macro="" textlink="">
          <xdr:nvSpPr>
            <xdr:cNvPr id="18522" name="ChangeMember1_9" hidden="1">
              <a:extLst>
                <a:ext uri="{63B3BB69-23CF-44E3-9099-C40C66FF867C}">
                  <a14:compatExt spid="_x0000_s18522"/>
                </a:ext>
                <a:ext uri="{FF2B5EF4-FFF2-40B4-BE49-F238E27FC236}">
                  <a16:creationId xmlns:a16="http://schemas.microsoft.com/office/drawing/2014/main" id="{00000000-0008-0000-0100-00005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47625</xdr:rowOff>
        </xdr:from>
        <xdr:to>
          <xdr:col>14</xdr:col>
          <xdr:colOff>685800</xdr:colOff>
          <xdr:row>64</xdr:row>
          <xdr:rowOff>190500</xdr:rowOff>
        </xdr:to>
        <xdr:sp macro="" textlink="">
          <xdr:nvSpPr>
            <xdr:cNvPr id="18523" name="UpMember1_9" hidden="1">
              <a:extLst>
                <a:ext uri="{63B3BB69-23CF-44E3-9099-C40C66FF867C}">
                  <a14:compatExt spid="_x0000_s18523"/>
                </a:ext>
                <a:ext uri="{FF2B5EF4-FFF2-40B4-BE49-F238E27FC236}">
                  <a16:creationId xmlns:a16="http://schemas.microsoft.com/office/drawing/2014/main" id="{00000000-0008-0000-0100-00005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63</xdr:row>
          <xdr:rowOff>47625</xdr:rowOff>
        </xdr:from>
        <xdr:to>
          <xdr:col>15</xdr:col>
          <xdr:colOff>676275</xdr:colOff>
          <xdr:row>64</xdr:row>
          <xdr:rowOff>190500</xdr:rowOff>
        </xdr:to>
        <xdr:sp macro="" textlink="">
          <xdr:nvSpPr>
            <xdr:cNvPr id="18524" name="DownMember1_9" hidden="1">
              <a:extLst>
                <a:ext uri="{63B3BB69-23CF-44E3-9099-C40C66FF867C}">
                  <a14:compatExt spid="_x0000_s18524"/>
                </a:ext>
                <a:ext uri="{FF2B5EF4-FFF2-40B4-BE49-F238E27FC236}">
                  <a16:creationId xmlns:a16="http://schemas.microsoft.com/office/drawing/2014/main" id="{00000000-0008-0000-0100-00005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66</xdr:row>
          <xdr:rowOff>47625</xdr:rowOff>
        </xdr:from>
        <xdr:to>
          <xdr:col>12</xdr:col>
          <xdr:colOff>676275</xdr:colOff>
          <xdr:row>68</xdr:row>
          <xdr:rowOff>0</xdr:rowOff>
        </xdr:to>
        <xdr:sp macro="" textlink="">
          <xdr:nvSpPr>
            <xdr:cNvPr id="18525" name="AddedMember1_10" hidden="1">
              <a:extLst>
                <a:ext uri="{63B3BB69-23CF-44E3-9099-C40C66FF867C}">
                  <a14:compatExt spid="_x0000_s18525"/>
                </a:ext>
                <a:ext uri="{FF2B5EF4-FFF2-40B4-BE49-F238E27FC236}">
                  <a16:creationId xmlns:a16="http://schemas.microsoft.com/office/drawing/2014/main" id="{00000000-0008-0000-0100-00005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66</xdr:row>
          <xdr:rowOff>47625</xdr:rowOff>
        </xdr:from>
        <xdr:to>
          <xdr:col>13</xdr:col>
          <xdr:colOff>685800</xdr:colOff>
          <xdr:row>68</xdr:row>
          <xdr:rowOff>0</xdr:rowOff>
        </xdr:to>
        <xdr:sp macro="" textlink="">
          <xdr:nvSpPr>
            <xdr:cNvPr id="18526" name="ChangeMember1_10" hidden="1">
              <a:extLst>
                <a:ext uri="{63B3BB69-23CF-44E3-9099-C40C66FF867C}">
                  <a14:compatExt spid="_x0000_s18526"/>
                </a:ext>
                <a:ext uri="{FF2B5EF4-FFF2-40B4-BE49-F238E27FC236}">
                  <a16:creationId xmlns:a16="http://schemas.microsoft.com/office/drawing/2014/main" id="{00000000-0008-0000-0100-00005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47625</xdr:rowOff>
        </xdr:from>
        <xdr:to>
          <xdr:col>14</xdr:col>
          <xdr:colOff>685800</xdr:colOff>
          <xdr:row>68</xdr:row>
          <xdr:rowOff>0</xdr:rowOff>
        </xdr:to>
        <xdr:sp macro="" textlink="">
          <xdr:nvSpPr>
            <xdr:cNvPr id="18527" name="UpMember1_10" hidden="1">
              <a:extLst>
                <a:ext uri="{63B3BB69-23CF-44E3-9099-C40C66FF867C}">
                  <a14:compatExt spid="_x0000_s18527"/>
                </a:ext>
                <a:ext uri="{FF2B5EF4-FFF2-40B4-BE49-F238E27FC236}">
                  <a16:creationId xmlns:a16="http://schemas.microsoft.com/office/drawing/2014/main" id="{00000000-0008-0000-0100-00005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66</xdr:row>
          <xdr:rowOff>47625</xdr:rowOff>
        </xdr:from>
        <xdr:to>
          <xdr:col>15</xdr:col>
          <xdr:colOff>676275</xdr:colOff>
          <xdr:row>68</xdr:row>
          <xdr:rowOff>0</xdr:rowOff>
        </xdr:to>
        <xdr:sp macro="" textlink="">
          <xdr:nvSpPr>
            <xdr:cNvPr id="18528" name="DownMember1_10" hidden="1">
              <a:extLst>
                <a:ext uri="{63B3BB69-23CF-44E3-9099-C40C66FF867C}">
                  <a14:compatExt spid="_x0000_s18528"/>
                </a:ext>
                <a:ext uri="{FF2B5EF4-FFF2-40B4-BE49-F238E27FC236}">
                  <a16:creationId xmlns:a16="http://schemas.microsoft.com/office/drawing/2014/main" id="{00000000-0008-0000-0100-00006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70</xdr:row>
          <xdr:rowOff>0</xdr:rowOff>
        </xdr:from>
        <xdr:to>
          <xdr:col>12</xdr:col>
          <xdr:colOff>676275</xdr:colOff>
          <xdr:row>71</xdr:row>
          <xdr:rowOff>0</xdr:rowOff>
        </xdr:to>
        <xdr:sp macro="" textlink="">
          <xdr:nvSpPr>
            <xdr:cNvPr id="18529" name="AddedMember1_11" hidden="1">
              <a:extLst>
                <a:ext uri="{63B3BB69-23CF-44E3-9099-C40C66FF867C}">
                  <a14:compatExt spid="_x0000_s18529"/>
                </a:ext>
                <a:ext uri="{FF2B5EF4-FFF2-40B4-BE49-F238E27FC236}">
                  <a16:creationId xmlns:a16="http://schemas.microsoft.com/office/drawing/2014/main" id="{00000000-0008-0000-0100-00006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70</xdr:row>
          <xdr:rowOff>0</xdr:rowOff>
        </xdr:from>
        <xdr:to>
          <xdr:col>13</xdr:col>
          <xdr:colOff>685800</xdr:colOff>
          <xdr:row>71</xdr:row>
          <xdr:rowOff>0</xdr:rowOff>
        </xdr:to>
        <xdr:sp macro="" textlink="">
          <xdr:nvSpPr>
            <xdr:cNvPr id="18530" name="ChangeMember1_11" hidden="1">
              <a:extLst>
                <a:ext uri="{63B3BB69-23CF-44E3-9099-C40C66FF867C}">
                  <a14:compatExt spid="_x0000_s18530"/>
                </a:ext>
                <a:ext uri="{FF2B5EF4-FFF2-40B4-BE49-F238E27FC236}">
                  <a16:creationId xmlns:a16="http://schemas.microsoft.com/office/drawing/2014/main" id="{00000000-0008-0000-0100-00006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70</xdr:row>
          <xdr:rowOff>0</xdr:rowOff>
        </xdr:from>
        <xdr:to>
          <xdr:col>14</xdr:col>
          <xdr:colOff>685800</xdr:colOff>
          <xdr:row>71</xdr:row>
          <xdr:rowOff>0</xdr:rowOff>
        </xdr:to>
        <xdr:sp macro="" textlink="">
          <xdr:nvSpPr>
            <xdr:cNvPr id="18531" name="UpMember1_11" hidden="1">
              <a:extLst>
                <a:ext uri="{63B3BB69-23CF-44E3-9099-C40C66FF867C}">
                  <a14:compatExt spid="_x0000_s18531"/>
                </a:ext>
                <a:ext uri="{FF2B5EF4-FFF2-40B4-BE49-F238E27FC236}">
                  <a16:creationId xmlns:a16="http://schemas.microsoft.com/office/drawing/2014/main" id="{00000000-0008-0000-0100-00006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70</xdr:row>
          <xdr:rowOff>0</xdr:rowOff>
        </xdr:from>
        <xdr:to>
          <xdr:col>15</xdr:col>
          <xdr:colOff>676275</xdr:colOff>
          <xdr:row>71</xdr:row>
          <xdr:rowOff>0</xdr:rowOff>
        </xdr:to>
        <xdr:sp macro="" textlink="">
          <xdr:nvSpPr>
            <xdr:cNvPr id="18532" name="DownMember1_11" hidden="1">
              <a:extLst>
                <a:ext uri="{63B3BB69-23CF-44E3-9099-C40C66FF867C}">
                  <a14:compatExt spid="_x0000_s18532"/>
                </a:ext>
                <a:ext uri="{FF2B5EF4-FFF2-40B4-BE49-F238E27FC236}">
                  <a16:creationId xmlns:a16="http://schemas.microsoft.com/office/drawing/2014/main" id="{00000000-0008-0000-0100-00006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73</xdr:row>
          <xdr:rowOff>0</xdr:rowOff>
        </xdr:from>
        <xdr:to>
          <xdr:col>12</xdr:col>
          <xdr:colOff>676275</xdr:colOff>
          <xdr:row>74</xdr:row>
          <xdr:rowOff>0</xdr:rowOff>
        </xdr:to>
        <xdr:sp macro="" textlink="">
          <xdr:nvSpPr>
            <xdr:cNvPr id="18533" name="AddedMember1_12" hidden="1">
              <a:extLst>
                <a:ext uri="{63B3BB69-23CF-44E3-9099-C40C66FF867C}">
                  <a14:compatExt spid="_x0000_s18533"/>
                </a:ext>
                <a:ext uri="{FF2B5EF4-FFF2-40B4-BE49-F238E27FC236}">
                  <a16:creationId xmlns:a16="http://schemas.microsoft.com/office/drawing/2014/main" id="{00000000-0008-0000-0100-00006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73</xdr:row>
          <xdr:rowOff>0</xdr:rowOff>
        </xdr:from>
        <xdr:to>
          <xdr:col>13</xdr:col>
          <xdr:colOff>685800</xdr:colOff>
          <xdr:row>74</xdr:row>
          <xdr:rowOff>0</xdr:rowOff>
        </xdr:to>
        <xdr:sp macro="" textlink="">
          <xdr:nvSpPr>
            <xdr:cNvPr id="18534" name="ChangeMember1_12" hidden="1">
              <a:extLst>
                <a:ext uri="{63B3BB69-23CF-44E3-9099-C40C66FF867C}">
                  <a14:compatExt spid="_x0000_s18534"/>
                </a:ext>
                <a:ext uri="{FF2B5EF4-FFF2-40B4-BE49-F238E27FC236}">
                  <a16:creationId xmlns:a16="http://schemas.microsoft.com/office/drawing/2014/main" id="{00000000-0008-0000-0100-00006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73</xdr:row>
          <xdr:rowOff>0</xdr:rowOff>
        </xdr:from>
        <xdr:to>
          <xdr:col>14</xdr:col>
          <xdr:colOff>685800</xdr:colOff>
          <xdr:row>74</xdr:row>
          <xdr:rowOff>0</xdr:rowOff>
        </xdr:to>
        <xdr:sp macro="" textlink="">
          <xdr:nvSpPr>
            <xdr:cNvPr id="18535" name="UpMember1_12" hidden="1">
              <a:extLst>
                <a:ext uri="{63B3BB69-23CF-44E3-9099-C40C66FF867C}">
                  <a14:compatExt spid="_x0000_s18535"/>
                </a:ext>
                <a:ext uri="{FF2B5EF4-FFF2-40B4-BE49-F238E27FC236}">
                  <a16:creationId xmlns:a16="http://schemas.microsoft.com/office/drawing/2014/main" id="{00000000-0008-0000-0100-00006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73</xdr:row>
          <xdr:rowOff>0</xdr:rowOff>
        </xdr:from>
        <xdr:to>
          <xdr:col>15</xdr:col>
          <xdr:colOff>676275</xdr:colOff>
          <xdr:row>74</xdr:row>
          <xdr:rowOff>0</xdr:rowOff>
        </xdr:to>
        <xdr:sp macro="" textlink="">
          <xdr:nvSpPr>
            <xdr:cNvPr id="18536" name="DownMember1_12" hidden="1">
              <a:extLst>
                <a:ext uri="{63B3BB69-23CF-44E3-9099-C40C66FF867C}">
                  <a14:compatExt spid="_x0000_s18536"/>
                </a:ext>
                <a:ext uri="{FF2B5EF4-FFF2-40B4-BE49-F238E27FC236}">
                  <a16:creationId xmlns:a16="http://schemas.microsoft.com/office/drawing/2014/main" id="{00000000-0008-0000-0100-00006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76</xdr:row>
          <xdr:rowOff>0</xdr:rowOff>
        </xdr:from>
        <xdr:to>
          <xdr:col>12</xdr:col>
          <xdr:colOff>676275</xdr:colOff>
          <xdr:row>77</xdr:row>
          <xdr:rowOff>9525</xdr:rowOff>
        </xdr:to>
        <xdr:sp macro="" textlink="">
          <xdr:nvSpPr>
            <xdr:cNvPr id="18537" name="AddedMember1_13" hidden="1">
              <a:extLst>
                <a:ext uri="{63B3BB69-23CF-44E3-9099-C40C66FF867C}">
                  <a14:compatExt spid="_x0000_s18537"/>
                </a:ext>
                <a:ext uri="{FF2B5EF4-FFF2-40B4-BE49-F238E27FC236}">
                  <a16:creationId xmlns:a16="http://schemas.microsoft.com/office/drawing/2014/main" id="{00000000-0008-0000-0100-00006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76</xdr:row>
          <xdr:rowOff>0</xdr:rowOff>
        </xdr:from>
        <xdr:to>
          <xdr:col>13</xdr:col>
          <xdr:colOff>685800</xdr:colOff>
          <xdr:row>77</xdr:row>
          <xdr:rowOff>9525</xdr:rowOff>
        </xdr:to>
        <xdr:sp macro="" textlink="">
          <xdr:nvSpPr>
            <xdr:cNvPr id="18538" name="ChangeMember1_13" hidden="1">
              <a:extLst>
                <a:ext uri="{63B3BB69-23CF-44E3-9099-C40C66FF867C}">
                  <a14:compatExt spid="_x0000_s18538"/>
                </a:ext>
                <a:ext uri="{FF2B5EF4-FFF2-40B4-BE49-F238E27FC236}">
                  <a16:creationId xmlns:a16="http://schemas.microsoft.com/office/drawing/2014/main" id="{00000000-0008-0000-0100-00006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76</xdr:row>
          <xdr:rowOff>0</xdr:rowOff>
        </xdr:from>
        <xdr:to>
          <xdr:col>14</xdr:col>
          <xdr:colOff>685800</xdr:colOff>
          <xdr:row>77</xdr:row>
          <xdr:rowOff>9525</xdr:rowOff>
        </xdr:to>
        <xdr:sp macro="" textlink="">
          <xdr:nvSpPr>
            <xdr:cNvPr id="18539" name="UpMember1_13" hidden="1">
              <a:extLst>
                <a:ext uri="{63B3BB69-23CF-44E3-9099-C40C66FF867C}">
                  <a14:compatExt spid="_x0000_s18539"/>
                </a:ext>
                <a:ext uri="{FF2B5EF4-FFF2-40B4-BE49-F238E27FC236}">
                  <a16:creationId xmlns:a16="http://schemas.microsoft.com/office/drawing/2014/main" id="{00000000-0008-0000-0100-00006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76</xdr:row>
          <xdr:rowOff>0</xdr:rowOff>
        </xdr:from>
        <xdr:to>
          <xdr:col>15</xdr:col>
          <xdr:colOff>676275</xdr:colOff>
          <xdr:row>77</xdr:row>
          <xdr:rowOff>9525</xdr:rowOff>
        </xdr:to>
        <xdr:sp macro="" textlink="">
          <xdr:nvSpPr>
            <xdr:cNvPr id="18540" name="DownMember1_13" hidden="1">
              <a:extLst>
                <a:ext uri="{63B3BB69-23CF-44E3-9099-C40C66FF867C}">
                  <a14:compatExt spid="_x0000_s18540"/>
                </a:ext>
                <a:ext uri="{FF2B5EF4-FFF2-40B4-BE49-F238E27FC236}">
                  <a16:creationId xmlns:a16="http://schemas.microsoft.com/office/drawing/2014/main" id="{00000000-0008-0000-0100-00006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704850</xdr:colOff>
          <xdr:row>80</xdr:row>
          <xdr:rowOff>9525</xdr:rowOff>
        </xdr:to>
        <xdr:sp macro="" textlink="">
          <xdr:nvSpPr>
            <xdr:cNvPr id="18541" name="AddedMember1_14" hidden="1">
              <a:extLst>
                <a:ext uri="{63B3BB69-23CF-44E3-9099-C40C66FF867C}">
                  <a14:compatExt spid="_x0000_s18541"/>
                </a:ext>
                <a:ext uri="{FF2B5EF4-FFF2-40B4-BE49-F238E27FC236}">
                  <a16:creationId xmlns:a16="http://schemas.microsoft.com/office/drawing/2014/main" id="{00000000-0008-0000-0100-00006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704850</xdr:colOff>
          <xdr:row>80</xdr:row>
          <xdr:rowOff>9525</xdr:rowOff>
        </xdr:to>
        <xdr:sp macro="" textlink="">
          <xdr:nvSpPr>
            <xdr:cNvPr id="18542" name="ChangeMember1_14" hidden="1">
              <a:extLst>
                <a:ext uri="{63B3BB69-23CF-44E3-9099-C40C66FF867C}">
                  <a14:compatExt spid="_x0000_s18542"/>
                </a:ext>
                <a:ext uri="{FF2B5EF4-FFF2-40B4-BE49-F238E27FC236}">
                  <a16:creationId xmlns:a16="http://schemas.microsoft.com/office/drawing/2014/main" id="{00000000-0008-0000-0100-00006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704850</xdr:colOff>
          <xdr:row>80</xdr:row>
          <xdr:rowOff>9525</xdr:rowOff>
        </xdr:to>
        <xdr:sp macro="" textlink="">
          <xdr:nvSpPr>
            <xdr:cNvPr id="18543" name="UpMember1_14" hidden="1">
              <a:extLst>
                <a:ext uri="{63B3BB69-23CF-44E3-9099-C40C66FF867C}">
                  <a14:compatExt spid="_x0000_s18543"/>
                </a:ext>
                <a:ext uri="{FF2B5EF4-FFF2-40B4-BE49-F238E27FC236}">
                  <a16:creationId xmlns:a16="http://schemas.microsoft.com/office/drawing/2014/main" id="{00000000-0008-0000-0100-00006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9525</xdr:rowOff>
        </xdr:to>
        <xdr:sp macro="" textlink="">
          <xdr:nvSpPr>
            <xdr:cNvPr id="18544" name="DownMember1_14" hidden="1">
              <a:extLst>
                <a:ext uri="{63B3BB69-23CF-44E3-9099-C40C66FF867C}">
                  <a14:compatExt spid="_x0000_s18544"/>
                </a:ext>
                <a:ext uri="{FF2B5EF4-FFF2-40B4-BE49-F238E27FC236}">
                  <a16:creationId xmlns:a16="http://schemas.microsoft.com/office/drawing/2014/main" id="{00000000-0008-0000-0100-00007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704850</xdr:colOff>
          <xdr:row>83</xdr:row>
          <xdr:rowOff>0</xdr:rowOff>
        </xdr:to>
        <xdr:sp macro="" textlink="">
          <xdr:nvSpPr>
            <xdr:cNvPr id="18545" name="AddedMember1_15" hidden="1">
              <a:extLst>
                <a:ext uri="{63B3BB69-23CF-44E3-9099-C40C66FF867C}">
                  <a14:compatExt spid="_x0000_s18545"/>
                </a:ext>
                <a:ext uri="{FF2B5EF4-FFF2-40B4-BE49-F238E27FC236}">
                  <a16:creationId xmlns:a16="http://schemas.microsoft.com/office/drawing/2014/main" id="{00000000-0008-0000-0100-00007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704850</xdr:colOff>
          <xdr:row>83</xdr:row>
          <xdr:rowOff>0</xdr:rowOff>
        </xdr:to>
        <xdr:sp macro="" textlink="">
          <xdr:nvSpPr>
            <xdr:cNvPr id="18546" name="ChangeMember1_15" hidden="1">
              <a:extLst>
                <a:ext uri="{63B3BB69-23CF-44E3-9099-C40C66FF867C}">
                  <a14:compatExt spid="_x0000_s18546"/>
                </a:ext>
                <a:ext uri="{FF2B5EF4-FFF2-40B4-BE49-F238E27FC236}">
                  <a16:creationId xmlns:a16="http://schemas.microsoft.com/office/drawing/2014/main" id="{00000000-0008-0000-0100-00007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704850</xdr:colOff>
          <xdr:row>83</xdr:row>
          <xdr:rowOff>0</xdr:rowOff>
        </xdr:to>
        <xdr:sp macro="" textlink="">
          <xdr:nvSpPr>
            <xdr:cNvPr id="18547" name="UpMember1_15" hidden="1">
              <a:extLst>
                <a:ext uri="{63B3BB69-23CF-44E3-9099-C40C66FF867C}">
                  <a14:compatExt spid="_x0000_s18547"/>
                </a:ext>
                <a:ext uri="{FF2B5EF4-FFF2-40B4-BE49-F238E27FC236}">
                  <a16:creationId xmlns:a16="http://schemas.microsoft.com/office/drawing/2014/main" id="{00000000-0008-0000-0100-00007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8548" name="DownMember1_15" hidden="1">
              <a:extLst>
                <a:ext uri="{63B3BB69-23CF-44E3-9099-C40C66FF867C}">
                  <a14:compatExt spid="_x0000_s18548"/>
                </a:ext>
                <a:ext uri="{FF2B5EF4-FFF2-40B4-BE49-F238E27FC236}">
                  <a16:creationId xmlns:a16="http://schemas.microsoft.com/office/drawing/2014/main" id="{00000000-0008-0000-0100-00007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84</xdr:row>
          <xdr:rowOff>57150</xdr:rowOff>
        </xdr:from>
        <xdr:to>
          <xdr:col>12</xdr:col>
          <xdr:colOff>704850</xdr:colOff>
          <xdr:row>86</xdr:row>
          <xdr:rowOff>0</xdr:rowOff>
        </xdr:to>
        <xdr:sp macro="" textlink="">
          <xdr:nvSpPr>
            <xdr:cNvPr id="18549" name="AddedMember1_16" hidden="1">
              <a:extLst>
                <a:ext uri="{63B3BB69-23CF-44E3-9099-C40C66FF867C}">
                  <a14:compatExt spid="_x0000_s18549"/>
                </a:ext>
                <a:ext uri="{FF2B5EF4-FFF2-40B4-BE49-F238E27FC236}">
                  <a16:creationId xmlns:a16="http://schemas.microsoft.com/office/drawing/2014/main" id="{00000000-0008-0000-0100-00007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84</xdr:row>
          <xdr:rowOff>57150</xdr:rowOff>
        </xdr:from>
        <xdr:to>
          <xdr:col>13</xdr:col>
          <xdr:colOff>704850</xdr:colOff>
          <xdr:row>86</xdr:row>
          <xdr:rowOff>0</xdr:rowOff>
        </xdr:to>
        <xdr:sp macro="" textlink="">
          <xdr:nvSpPr>
            <xdr:cNvPr id="18550" name="ChangeMember1_16" hidden="1">
              <a:extLst>
                <a:ext uri="{63B3BB69-23CF-44E3-9099-C40C66FF867C}">
                  <a14:compatExt spid="_x0000_s18550"/>
                </a:ext>
                <a:ext uri="{FF2B5EF4-FFF2-40B4-BE49-F238E27FC236}">
                  <a16:creationId xmlns:a16="http://schemas.microsoft.com/office/drawing/2014/main" id="{00000000-0008-0000-0100-00007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57150</xdr:rowOff>
        </xdr:from>
        <xdr:to>
          <xdr:col>14</xdr:col>
          <xdr:colOff>704850</xdr:colOff>
          <xdr:row>86</xdr:row>
          <xdr:rowOff>0</xdr:rowOff>
        </xdr:to>
        <xdr:sp macro="" textlink="">
          <xdr:nvSpPr>
            <xdr:cNvPr id="18551" name="UpMember1_16" hidden="1">
              <a:extLst>
                <a:ext uri="{63B3BB69-23CF-44E3-9099-C40C66FF867C}">
                  <a14:compatExt spid="_x0000_s18551"/>
                </a:ext>
                <a:ext uri="{FF2B5EF4-FFF2-40B4-BE49-F238E27FC236}">
                  <a16:creationId xmlns:a16="http://schemas.microsoft.com/office/drawing/2014/main" id="{00000000-0008-0000-0100-00007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84</xdr:row>
          <xdr:rowOff>57150</xdr:rowOff>
        </xdr:from>
        <xdr:to>
          <xdr:col>16</xdr:col>
          <xdr:colOff>0</xdr:colOff>
          <xdr:row>86</xdr:row>
          <xdr:rowOff>0</xdr:rowOff>
        </xdr:to>
        <xdr:sp macro="" textlink="">
          <xdr:nvSpPr>
            <xdr:cNvPr id="18552" name="DownMember1_16" hidden="1">
              <a:extLst>
                <a:ext uri="{63B3BB69-23CF-44E3-9099-C40C66FF867C}">
                  <a14:compatExt spid="_x0000_s18552"/>
                </a:ext>
                <a:ext uri="{FF2B5EF4-FFF2-40B4-BE49-F238E27FC236}">
                  <a16:creationId xmlns:a16="http://schemas.microsoft.com/office/drawing/2014/main" id="{00000000-0008-0000-0100-00007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xdr:row>
          <xdr:rowOff>57150</xdr:rowOff>
        </xdr:from>
        <xdr:to>
          <xdr:col>12</xdr:col>
          <xdr:colOff>704850</xdr:colOff>
          <xdr:row>89</xdr:row>
          <xdr:rowOff>0</xdr:rowOff>
        </xdr:to>
        <xdr:sp macro="" textlink="">
          <xdr:nvSpPr>
            <xdr:cNvPr id="18553" name="AddedMember1_17" hidden="1">
              <a:extLst>
                <a:ext uri="{63B3BB69-23CF-44E3-9099-C40C66FF867C}">
                  <a14:compatExt spid="_x0000_s18553"/>
                </a:ext>
                <a:ext uri="{FF2B5EF4-FFF2-40B4-BE49-F238E27FC236}">
                  <a16:creationId xmlns:a16="http://schemas.microsoft.com/office/drawing/2014/main" id="{00000000-0008-0000-0100-00007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87</xdr:row>
          <xdr:rowOff>57150</xdr:rowOff>
        </xdr:from>
        <xdr:to>
          <xdr:col>13</xdr:col>
          <xdr:colOff>704850</xdr:colOff>
          <xdr:row>89</xdr:row>
          <xdr:rowOff>0</xdr:rowOff>
        </xdr:to>
        <xdr:sp macro="" textlink="">
          <xdr:nvSpPr>
            <xdr:cNvPr id="18554" name="ChangeMember1_17" hidden="1">
              <a:extLst>
                <a:ext uri="{63B3BB69-23CF-44E3-9099-C40C66FF867C}">
                  <a14:compatExt spid="_x0000_s18554"/>
                </a:ext>
                <a:ext uri="{FF2B5EF4-FFF2-40B4-BE49-F238E27FC236}">
                  <a16:creationId xmlns:a16="http://schemas.microsoft.com/office/drawing/2014/main" id="{00000000-0008-0000-0100-00007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57150</xdr:rowOff>
        </xdr:from>
        <xdr:to>
          <xdr:col>14</xdr:col>
          <xdr:colOff>704850</xdr:colOff>
          <xdr:row>89</xdr:row>
          <xdr:rowOff>0</xdr:rowOff>
        </xdr:to>
        <xdr:sp macro="" textlink="">
          <xdr:nvSpPr>
            <xdr:cNvPr id="18555" name="UpMember1_17" hidden="1">
              <a:extLst>
                <a:ext uri="{63B3BB69-23CF-44E3-9099-C40C66FF867C}">
                  <a14:compatExt spid="_x0000_s18555"/>
                </a:ext>
                <a:ext uri="{FF2B5EF4-FFF2-40B4-BE49-F238E27FC236}">
                  <a16:creationId xmlns:a16="http://schemas.microsoft.com/office/drawing/2014/main" id="{00000000-0008-0000-0100-00007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87</xdr:row>
          <xdr:rowOff>57150</xdr:rowOff>
        </xdr:from>
        <xdr:to>
          <xdr:col>16</xdr:col>
          <xdr:colOff>0</xdr:colOff>
          <xdr:row>89</xdr:row>
          <xdr:rowOff>0</xdr:rowOff>
        </xdr:to>
        <xdr:sp macro="" textlink="">
          <xdr:nvSpPr>
            <xdr:cNvPr id="18556" name="DownMember1_17" hidden="1">
              <a:extLst>
                <a:ext uri="{63B3BB69-23CF-44E3-9099-C40C66FF867C}">
                  <a14:compatExt spid="_x0000_s18556"/>
                </a:ext>
                <a:ext uri="{FF2B5EF4-FFF2-40B4-BE49-F238E27FC236}">
                  <a16:creationId xmlns:a16="http://schemas.microsoft.com/office/drawing/2014/main" id="{00000000-0008-0000-0100-00007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91</xdr:row>
          <xdr:rowOff>0</xdr:rowOff>
        </xdr:from>
        <xdr:to>
          <xdr:col>12</xdr:col>
          <xdr:colOff>704850</xdr:colOff>
          <xdr:row>92</xdr:row>
          <xdr:rowOff>9525</xdr:rowOff>
        </xdr:to>
        <xdr:sp macro="" textlink="">
          <xdr:nvSpPr>
            <xdr:cNvPr id="18557" name="AddedMember1_18" hidden="1">
              <a:extLst>
                <a:ext uri="{63B3BB69-23CF-44E3-9099-C40C66FF867C}">
                  <a14:compatExt spid="_x0000_s18557"/>
                </a:ext>
                <a:ext uri="{FF2B5EF4-FFF2-40B4-BE49-F238E27FC236}">
                  <a16:creationId xmlns:a16="http://schemas.microsoft.com/office/drawing/2014/main" id="{00000000-0008-0000-0100-00007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91</xdr:row>
          <xdr:rowOff>0</xdr:rowOff>
        </xdr:from>
        <xdr:to>
          <xdr:col>13</xdr:col>
          <xdr:colOff>704850</xdr:colOff>
          <xdr:row>92</xdr:row>
          <xdr:rowOff>9525</xdr:rowOff>
        </xdr:to>
        <xdr:sp macro="" textlink="">
          <xdr:nvSpPr>
            <xdr:cNvPr id="18558" name="ChangeMember1_18" hidden="1">
              <a:extLst>
                <a:ext uri="{63B3BB69-23CF-44E3-9099-C40C66FF867C}">
                  <a14:compatExt spid="_x0000_s18558"/>
                </a:ext>
                <a:ext uri="{FF2B5EF4-FFF2-40B4-BE49-F238E27FC236}">
                  <a16:creationId xmlns:a16="http://schemas.microsoft.com/office/drawing/2014/main" id="{00000000-0008-0000-0100-00007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91</xdr:row>
          <xdr:rowOff>0</xdr:rowOff>
        </xdr:from>
        <xdr:to>
          <xdr:col>14</xdr:col>
          <xdr:colOff>704850</xdr:colOff>
          <xdr:row>92</xdr:row>
          <xdr:rowOff>9525</xdr:rowOff>
        </xdr:to>
        <xdr:sp macro="" textlink="">
          <xdr:nvSpPr>
            <xdr:cNvPr id="18559" name="UpMember1_18" hidden="1">
              <a:extLst>
                <a:ext uri="{63B3BB69-23CF-44E3-9099-C40C66FF867C}">
                  <a14:compatExt spid="_x0000_s18559"/>
                </a:ext>
                <a:ext uri="{FF2B5EF4-FFF2-40B4-BE49-F238E27FC236}">
                  <a16:creationId xmlns:a16="http://schemas.microsoft.com/office/drawing/2014/main" id="{00000000-0008-0000-0100-00007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91</xdr:row>
          <xdr:rowOff>0</xdr:rowOff>
        </xdr:from>
        <xdr:to>
          <xdr:col>16</xdr:col>
          <xdr:colOff>0</xdr:colOff>
          <xdr:row>92</xdr:row>
          <xdr:rowOff>9525</xdr:rowOff>
        </xdr:to>
        <xdr:sp macro="" textlink="">
          <xdr:nvSpPr>
            <xdr:cNvPr id="18560" name="DownMember1_18" hidden="1">
              <a:extLst>
                <a:ext uri="{63B3BB69-23CF-44E3-9099-C40C66FF867C}">
                  <a14:compatExt spid="_x0000_s18560"/>
                </a:ext>
                <a:ext uri="{FF2B5EF4-FFF2-40B4-BE49-F238E27FC236}">
                  <a16:creationId xmlns:a16="http://schemas.microsoft.com/office/drawing/2014/main" id="{00000000-0008-0000-0100-00008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192</xdr:row>
          <xdr:rowOff>47625</xdr:rowOff>
        </xdr:from>
        <xdr:to>
          <xdr:col>12</xdr:col>
          <xdr:colOff>676275</xdr:colOff>
          <xdr:row>193</xdr:row>
          <xdr:rowOff>190500</xdr:rowOff>
        </xdr:to>
        <xdr:sp macro="" textlink="">
          <xdr:nvSpPr>
            <xdr:cNvPr id="18561" name="AddedMember2_1" hidden="1">
              <a:extLst>
                <a:ext uri="{63B3BB69-23CF-44E3-9099-C40C66FF867C}">
                  <a14:compatExt spid="_x0000_s18561"/>
                </a:ext>
                <a:ext uri="{FF2B5EF4-FFF2-40B4-BE49-F238E27FC236}">
                  <a16:creationId xmlns:a16="http://schemas.microsoft.com/office/drawing/2014/main" id="{00000000-0008-0000-0100-00008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192</xdr:row>
          <xdr:rowOff>47625</xdr:rowOff>
        </xdr:from>
        <xdr:to>
          <xdr:col>13</xdr:col>
          <xdr:colOff>695325</xdr:colOff>
          <xdr:row>193</xdr:row>
          <xdr:rowOff>190500</xdr:rowOff>
        </xdr:to>
        <xdr:sp macro="" textlink="">
          <xdr:nvSpPr>
            <xdr:cNvPr id="18562" name="ChangeMember2_1" hidden="1">
              <a:extLst>
                <a:ext uri="{63B3BB69-23CF-44E3-9099-C40C66FF867C}">
                  <a14:compatExt spid="_x0000_s18562"/>
                </a:ext>
                <a:ext uri="{FF2B5EF4-FFF2-40B4-BE49-F238E27FC236}">
                  <a16:creationId xmlns:a16="http://schemas.microsoft.com/office/drawing/2014/main" id="{00000000-0008-0000-0100-00008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192</xdr:row>
          <xdr:rowOff>47625</xdr:rowOff>
        </xdr:from>
        <xdr:to>
          <xdr:col>14</xdr:col>
          <xdr:colOff>695325</xdr:colOff>
          <xdr:row>193</xdr:row>
          <xdr:rowOff>190500</xdr:rowOff>
        </xdr:to>
        <xdr:sp macro="" textlink="">
          <xdr:nvSpPr>
            <xdr:cNvPr id="18563" name="UpMember2_1" hidden="1">
              <a:extLst>
                <a:ext uri="{63B3BB69-23CF-44E3-9099-C40C66FF867C}">
                  <a14:compatExt spid="_x0000_s18563"/>
                </a:ext>
                <a:ext uri="{FF2B5EF4-FFF2-40B4-BE49-F238E27FC236}">
                  <a16:creationId xmlns:a16="http://schemas.microsoft.com/office/drawing/2014/main" id="{00000000-0008-0000-0100-00008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192</xdr:row>
          <xdr:rowOff>47625</xdr:rowOff>
        </xdr:from>
        <xdr:to>
          <xdr:col>15</xdr:col>
          <xdr:colOff>676275</xdr:colOff>
          <xdr:row>193</xdr:row>
          <xdr:rowOff>190500</xdr:rowOff>
        </xdr:to>
        <xdr:sp macro="" textlink="">
          <xdr:nvSpPr>
            <xdr:cNvPr id="18564" name="DownMember2_1" hidden="1">
              <a:extLst>
                <a:ext uri="{63B3BB69-23CF-44E3-9099-C40C66FF867C}">
                  <a14:compatExt spid="_x0000_s18564"/>
                </a:ext>
                <a:ext uri="{FF2B5EF4-FFF2-40B4-BE49-F238E27FC236}">
                  <a16:creationId xmlns:a16="http://schemas.microsoft.com/office/drawing/2014/main" id="{00000000-0008-0000-0100-00008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196</xdr:row>
          <xdr:rowOff>0</xdr:rowOff>
        </xdr:from>
        <xdr:to>
          <xdr:col>12</xdr:col>
          <xdr:colOff>704850</xdr:colOff>
          <xdr:row>197</xdr:row>
          <xdr:rowOff>0</xdr:rowOff>
        </xdr:to>
        <xdr:sp macro="" textlink="">
          <xdr:nvSpPr>
            <xdr:cNvPr id="18565" name="AddedMember2_2" hidden="1">
              <a:extLst>
                <a:ext uri="{63B3BB69-23CF-44E3-9099-C40C66FF867C}">
                  <a14:compatExt spid="_x0000_s18565"/>
                </a:ext>
                <a:ext uri="{FF2B5EF4-FFF2-40B4-BE49-F238E27FC236}">
                  <a16:creationId xmlns:a16="http://schemas.microsoft.com/office/drawing/2014/main" id="{00000000-0008-0000-0100-00008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196</xdr:row>
          <xdr:rowOff>0</xdr:rowOff>
        </xdr:from>
        <xdr:to>
          <xdr:col>13</xdr:col>
          <xdr:colOff>704850</xdr:colOff>
          <xdr:row>197</xdr:row>
          <xdr:rowOff>0</xdr:rowOff>
        </xdr:to>
        <xdr:sp macro="" textlink="">
          <xdr:nvSpPr>
            <xdr:cNvPr id="18566" name="ChangeMember2_2" hidden="1">
              <a:extLst>
                <a:ext uri="{63B3BB69-23CF-44E3-9099-C40C66FF867C}">
                  <a14:compatExt spid="_x0000_s18566"/>
                </a:ext>
                <a:ext uri="{FF2B5EF4-FFF2-40B4-BE49-F238E27FC236}">
                  <a16:creationId xmlns:a16="http://schemas.microsoft.com/office/drawing/2014/main" id="{00000000-0008-0000-0100-00008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196</xdr:row>
          <xdr:rowOff>0</xdr:rowOff>
        </xdr:from>
        <xdr:to>
          <xdr:col>14</xdr:col>
          <xdr:colOff>704850</xdr:colOff>
          <xdr:row>197</xdr:row>
          <xdr:rowOff>0</xdr:rowOff>
        </xdr:to>
        <xdr:sp macro="" textlink="">
          <xdr:nvSpPr>
            <xdr:cNvPr id="18567" name="UpMember2_2" hidden="1">
              <a:extLst>
                <a:ext uri="{63B3BB69-23CF-44E3-9099-C40C66FF867C}">
                  <a14:compatExt spid="_x0000_s18567"/>
                </a:ext>
                <a:ext uri="{FF2B5EF4-FFF2-40B4-BE49-F238E27FC236}">
                  <a16:creationId xmlns:a16="http://schemas.microsoft.com/office/drawing/2014/main" id="{00000000-0008-0000-0100-00008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196</xdr:row>
          <xdr:rowOff>0</xdr:rowOff>
        </xdr:from>
        <xdr:to>
          <xdr:col>16</xdr:col>
          <xdr:colOff>0</xdr:colOff>
          <xdr:row>197</xdr:row>
          <xdr:rowOff>0</xdr:rowOff>
        </xdr:to>
        <xdr:sp macro="" textlink="">
          <xdr:nvSpPr>
            <xdr:cNvPr id="18568" name="DownMember2_2" hidden="1">
              <a:extLst>
                <a:ext uri="{63B3BB69-23CF-44E3-9099-C40C66FF867C}">
                  <a14:compatExt spid="_x0000_s18568"/>
                </a:ext>
                <a:ext uri="{FF2B5EF4-FFF2-40B4-BE49-F238E27FC236}">
                  <a16:creationId xmlns:a16="http://schemas.microsoft.com/office/drawing/2014/main" id="{00000000-0008-0000-0100-00008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198</xdr:row>
          <xdr:rowOff>57150</xdr:rowOff>
        </xdr:from>
        <xdr:to>
          <xdr:col>12</xdr:col>
          <xdr:colOff>704850</xdr:colOff>
          <xdr:row>200</xdr:row>
          <xdr:rowOff>0</xdr:rowOff>
        </xdr:to>
        <xdr:sp macro="" textlink="">
          <xdr:nvSpPr>
            <xdr:cNvPr id="18569" name="AddedMember2_3" hidden="1">
              <a:extLst>
                <a:ext uri="{63B3BB69-23CF-44E3-9099-C40C66FF867C}">
                  <a14:compatExt spid="_x0000_s18569"/>
                </a:ext>
                <a:ext uri="{FF2B5EF4-FFF2-40B4-BE49-F238E27FC236}">
                  <a16:creationId xmlns:a16="http://schemas.microsoft.com/office/drawing/2014/main" id="{00000000-0008-0000-0100-00008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198</xdr:row>
          <xdr:rowOff>57150</xdr:rowOff>
        </xdr:from>
        <xdr:to>
          <xdr:col>13</xdr:col>
          <xdr:colOff>704850</xdr:colOff>
          <xdr:row>200</xdr:row>
          <xdr:rowOff>0</xdr:rowOff>
        </xdr:to>
        <xdr:sp macro="" textlink="">
          <xdr:nvSpPr>
            <xdr:cNvPr id="18570" name="ChangeMember2_3" hidden="1">
              <a:extLst>
                <a:ext uri="{63B3BB69-23CF-44E3-9099-C40C66FF867C}">
                  <a14:compatExt spid="_x0000_s18570"/>
                </a:ext>
                <a:ext uri="{FF2B5EF4-FFF2-40B4-BE49-F238E27FC236}">
                  <a16:creationId xmlns:a16="http://schemas.microsoft.com/office/drawing/2014/main" id="{00000000-0008-0000-0100-00008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198</xdr:row>
          <xdr:rowOff>57150</xdr:rowOff>
        </xdr:from>
        <xdr:to>
          <xdr:col>14</xdr:col>
          <xdr:colOff>704850</xdr:colOff>
          <xdr:row>200</xdr:row>
          <xdr:rowOff>0</xdr:rowOff>
        </xdr:to>
        <xdr:sp macro="" textlink="">
          <xdr:nvSpPr>
            <xdr:cNvPr id="18571" name="UpMember2_3" hidden="1">
              <a:extLst>
                <a:ext uri="{63B3BB69-23CF-44E3-9099-C40C66FF867C}">
                  <a14:compatExt spid="_x0000_s18571"/>
                </a:ext>
                <a:ext uri="{FF2B5EF4-FFF2-40B4-BE49-F238E27FC236}">
                  <a16:creationId xmlns:a16="http://schemas.microsoft.com/office/drawing/2014/main" id="{00000000-0008-0000-0100-00008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198</xdr:row>
          <xdr:rowOff>57150</xdr:rowOff>
        </xdr:from>
        <xdr:to>
          <xdr:col>16</xdr:col>
          <xdr:colOff>0</xdr:colOff>
          <xdr:row>200</xdr:row>
          <xdr:rowOff>0</xdr:rowOff>
        </xdr:to>
        <xdr:sp macro="" textlink="">
          <xdr:nvSpPr>
            <xdr:cNvPr id="18572" name="DownMember2_3" hidden="1">
              <a:extLst>
                <a:ext uri="{63B3BB69-23CF-44E3-9099-C40C66FF867C}">
                  <a14:compatExt spid="_x0000_s18572"/>
                </a:ext>
                <a:ext uri="{FF2B5EF4-FFF2-40B4-BE49-F238E27FC236}">
                  <a16:creationId xmlns:a16="http://schemas.microsoft.com/office/drawing/2014/main" id="{00000000-0008-0000-0100-00008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201</xdr:row>
          <xdr:rowOff>57150</xdr:rowOff>
        </xdr:from>
        <xdr:to>
          <xdr:col>12</xdr:col>
          <xdr:colOff>704850</xdr:colOff>
          <xdr:row>203</xdr:row>
          <xdr:rowOff>0</xdr:rowOff>
        </xdr:to>
        <xdr:sp macro="" textlink="">
          <xdr:nvSpPr>
            <xdr:cNvPr id="18573" name="AddedMember2_4" hidden="1">
              <a:extLst>
                <a:ext uri="{63B3BB69-23CF-44E3-9099-C40C66FF867C}">
                  <a14:compatExt spid="_x0000_s18573"/>
                </a:ext>
                <a:ext uri="{FF2B5EF4-FFF2-40B4-BE49-F238E27FC236}">
                  <a16:creationId xmlns:a16="http://schemas.microsoft.com/office/drawing/2014/main" id="{00000000-0008-0000-0100-00008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201</xdr:row>
          <xdr:rowOff>57150</xdr:rowOff>
        </xdr:from>
        <xdr:to>
          <xdr:col>13</xdr:col>
          <xdr:colOff>704850</xdr:colOff>
          <xdr:row>203</xdr:row>
          <xdr:rowOff>0</xdr:rowOff>
        </xdr:to>
        <xdr:sp macro="" textlink="">
          <xdr:nvSpPr>
            <xdr:cNvPr id="18574" name="ChangeMember2_4" hidden="1">
              <a:extLst>
                <a:ext uri="{63B3BB69-23CF-44E3-9099-C40C66FF867C}">
                  <a14:compatExt spid="_x0000_s18574"/>
                </a:ext>
                <a:ext uri="{FF2B5EF4-FFF2-40B4-BE49-F238E27FC236}">
                  <a16:creationId xmlns:a16="http://schemas.microsoft.com/office/drawing/2014/main" id="{00000000-0008-0000-0100-00008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201</xdr:row>
          <xdr:rowOff>57150</xdr:rowOff>
        </xdr:from>
        <xdr:to>
          <xdr:col>14</xdr:col>
          <xdr:colOff>704850</xdr:colOff>
          <xdr:row>203</xdr:row>
          <xdr:rowOff>0</xdr:rowOff>
        </xdr:to>
        <xdr:sp macro="" textlink="">
          <xdr:nvSpPr>
            <xdr:cNvPr id="18575" name="UpMember2_4" hidden="1">
              <a:extLst>
                <a:ext uri="{63B3BB69-23CF-44E3-9099-C40C66FF867C}">
                  <a14:compatExt spid="_x0000_s18575"/>
                </a:ext>
                <a:ext uri="{FF2B5EF4-FFF2-40B4-BE49-F238E27FC236}">
                  <a16:creationId xmlns:a16="http://schemas.microsoft.com/office/drawing/2014/main" id="{00000000-0008-0000-0100-00008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201</xdr:row>
          <xdr:rowOff>57150</xdr:rowOff>
        </xdr:from>
        <xdr:to>
          <xdr:col>16</xdr:col>
          <xdr:colOff>0</xdr:colOff>
          <xdr:row>203</xdr:row>
          <xdr:rowOff>0</xdr:rowOff>
        </xdr:to>
        <xdr:sp macro="" textlink="">
          <xdr:nvSpPr>
            <xdr:cNvPr id="18576" name="DownMember2_4" hidden="1">
              <a:extLst>
                <a:ext uri="{63B3BB69-23CF-44E3-9099-C40C66FF867C}">
                  <a14:compatExt spid="_x0000_s18576"/>
                </a:ext>
                <a:ext uri="{FF2B5EF4-FFF2-40B4-BE49-F238E27FC236}">
                  <a16:creationId xmlns:a16="http://schemas.microsoft.com/office/drawing/2014/main" id="{00000000-0008-0000-0100-00009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205</xdr:row>
          <xdr:rowOff>0</xdr:rowOff>
        </xdr:from>
        <xdr:to>
          <xdr:col>12</xdr:col>
          <xdr:colOff>704850</xdr:colOff>
          <xdr:row>206</xdr:row>
          <xdr:rowOff>9525</xdr:rowOff>
        </xdr:to>
        <xdr:sp macro="" textlink="">
          <xdr:nvSpPr>
            <xdr:cNvPr id="18577" name="AddedMember2_5" hidden="1">
              <a:extLst>
                <a:ext uri="{63B3BB69-23CF-44E3-9099-C40C66FF867C}">
                  <a14:compatExt spid="_x0000_s18577"/>
                </a:ext>
                <a:ext uri="{FF2B5EF4-FFF2-40B4-BE49-F238E27FC236}">
                  <a16:creationId xmlns:a16="http://schemas.microsoft.com/office/drawing/2014/main" id="{00000000-0008-0000-0100-00009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205</xdr:row>
          <xdr:rowOff>0</xdr:rowOff>
        </xdr:from>
        <xdr:to>
          <xdr:col>13</xdr:col>
          <xdr:colOff>704850</xdr:colOff>
          <xdr:row>206</xdr:row>
          <xdr:rowOff>9525</xdr:rowOff>
        </xdr:to>
        <xdr:sp macro="" textlink="">
          <xdr:nvSpPr>
            <xdr:cNvPr id="18578" name="ChangeMember2_5" hidden="1">
              <a:extLst>
                <a:ext uri="{63B3BB69-23CF-44E3-9099-C40C66FF867C}">
                  <a14:compatExt spid="_x0000_s18578"/>
                </a:ext>
                <a:ext uri="{FF2B5EF4-FFF2-40B4-BE49-F238E27FC236}">
                  <a16:creationId xmlns:a16="http://schemas.microsoft.com/office/drawing/2014/main" id="{00000000-0008-0000-0100-00009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205</xdr:row>
          <xdr:rowOff>0</xdr:rowOff>
        </xdr:from>
        <xdr:to>
          <xdr:col>14</xdr:col>
          <xdr:colOff>704850</xdr:colOff>
          <xdr:row>206</xdr:row>
          <xdr:rowOff>9525</xdr:rowOff>
        </xdr:to>
        <xdr:sp macro="" textlink="">
          <xdr:nvSpPr>
            <xdr:cNvPr id="18579" name="UpMember2_5" hidden="1">
              <a:extLst>
                <a:ext uri="{63B3BB69-23CF-44E3-9099-C40C66FF867C}">
                  <a14:compatExt spid="_x0000_s18579"/>
                </a:ext>
                <a:ext uri="{FF2B5EF4-FFF2-40B4-BE49-F238E27FC236}">
                  <a16:creationId xmlns:a16="http://schemas.microsoft.com/office/drawing/2014/main" id="{00000000-0008-0000-0100-00009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205</xdr:row>
          <xdr:rowOff>0</xdr:rowOff>
        </xdr:from>
        <xdr:to>
          <xdr:col>16</xdr:col>
          <xdr:colOff>0</xdr:colOff>
          <xdr:row>206</xdr:row>
          <xdr:rowOff>9525</xdr:rowOff>
        </xdr:to>
        <xdr:sp macro="" textlink="">
          <xdr:nvSpPr>
            <xdr:cNvPr id="18580" name="DownMember2_5" hidden="1">
              <a:extLst>
                <a:ext uri="{63B3BB69-23CF-44E3-9099-C40C66FF867C}">
                  <a14:compatExt spid="_x0000_s18580"/>
                </a:ext>
                <a:ext uri="{FF2B5EF4-FFF2-40B4-BE49-F238E27FC236}">
                  <a16:creationId xmlns:a16="http://schemas.microsoft.com/office/drawing/2014/main" id="{00000000-0008-0000-0100-00009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208</xdr:row>
          <xdr:rowOff>0</xdr:rowOff>
        </xdr:from>
        <xdr:to>
          <xdr:col>12</xdr:col>
          <xdr:colOff>704850</xdr:colOff>
          <xdr:row>209</xdr:row>
          <xdr:rowOff>9525</xdr:rowOff>
        </xdr:to>
        <xdr:sp macro="" textlink="">
          <xdr:nvSpPr>
            <xdr:cNvPr id="18581" name="AddedMember2_6" hidden="1">
              <a:extLst>
                <a:ext uri="{63B3BB69-23CF-44E3-9099-C40C66FF867C}">
                  <a14:compatExt spid="_x0000_s18581"/>
                </a:ext>
                <a:ext uri="{FF2B5EF4-FFF2-40B4-BE49-F238E27FC236}">
                  <a16:creationId xmlns:a16="http://schemas.microsoft.com/office/drawing/2014/main" id="{00000000-0008-0000-0100-00009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208</xdr:row>
          <xdr:rowOff>0</xdr:rowOff>
        </xdr:from>
        <xdr:to>
          <xdr:col>13</xdr:col>
          <xdr:colOff>704850</xdr:colOff>
          <xdr:row>209</xdr:row>
          <xdr:rowOff>9525</xdr:rowOff>
        </xdr:to>
        <xdr:sp macro="" textlink="">
          <xdr:nvSpPr>
            <xdr:cNvPr id="18582" name="ChangeMember2_6" hidden="1">
              <a:extLst>
                <a:ext uri="{63B3BB69-23CF-44E3-9099-C40C66FF867C}">
                  <a14:compatExt spid="_x0000_s18582"/>
                </a:ext>
                <a:ext uri="{FF2B5EF4-FFF2-40B4-BE49-F238E27FC236}">
                  <a16:creationId xmlns:a16="http://schemas.microsoft.com/office/drawing/2014/main" id="{00000000-0008-0000-0100-00009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208</xdr:row>
          <xdr:rowOff>0</xdr:rowOff>
        </xdr:from>
        <xdr:to>
          <xdr:col>14</xdr:col>
          <xdr:colOff>704850</xdr:colOff>
          <xdr:row>209</xdr:row>
          <xdr:rowOff>9525</xdr:rowOff>
        </xdr:to>
        <xdr:sp macro="" textlink="">
          <xdr:nvSpPr>
            <xdr:cNvPr id="18583" name="UpMember2_6" hidden="1">
              <a:extLst>
                <a:ext uri="{63B3BB69-23CF-44E3-9099-C40C66FF867C}">
                  <a14:compatExt spid="_x0000_s18583"/>
                </a:ext>
                <a:ext uri="{FF2B5EF4-FFF2-40B4-BE49-F238E27FC236}">
                  <a16:creationId xmlns:a16="http://schemas.microsoft.com/office/drawing/2014/main" id="{00000000-0008-0000-0100-00009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208</xdr:row>
          <xdr:rowOff>0</xdr:rowOff>
        </xdr:from>
        <xdr:to>
          <xdr:col>16</xdr:col>
          <xdr:colOff>0</xdr:colOff>
          <xdr:row>209</xdr:row>
          <xdr:rowOff>9525</xdr:rowOff>
        </xdr:to>
        <xdr:sp macro="" textlink="">
          <xdr:nvSpPr>
            <xdr:cNvPr id="18584" name="DownMember2_6" hidden="1">
              <a:extLst>
                <a:ext uri="{63B3BB69-23CF-44E3-9099-C40C66FF867C}">
                  <a14:compatExt spid="_x0000_s18584"/>
                </a:ext>
                <a:ext uri="{FF2B5EF4-FFF2-40B4-BE49-F238E27FC236}">
                  <a16:creationId xmlns:a16="http://schemas.microsoft.com/office/drawing/2014/main" id="{00000000-0008-0000-0100-00009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211</xdr:row>
          <xdr:rowOff>0</xdr:rowOff>
        </xdr:from>
        <xdr:to>
          <xdr:col>12</xdr:col>
          <xdr:colOff>704850</xdr:colOff>
          <xdr:row>212</xdr:row>
          <xdr:rowOff>0</xdr:rowOff>
        </xdr:to>
        <xdr:sp macro="" textlink="">
          <xdr:nvSpPr>
            <xdr:cNvPr id="18585" name="AddedMember2_7" hidden="1">
              <a:extLst>
                <a:ext uri="{63B3BB69-23CF-44E3-9099-C40C66FF867C}">
                  <a14:compatExt spid="_x0000_s18585"/>
                </a:ext>
                <a:ext uri="{FF2B5EF4-FFF2-40B4-BE49-F238E27FC236}">
                  <a16:creationId xmlns:a16="http://schemas.microsoft.com/office/drawing/2014/main" id="{00000000-0008-0000-0100-00009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211</xdr:row>
          <xdr:rowOff>0</xdr:rowOff>
        </xdr:from>
        <xdr:to>
          <xdr:col>13</xdr:col>
          <xdr:colOff>704850</xdr:colOff>
          <xdr:row>212</xdr:row>
          <xdr:rowOff>0</xdr:rowOff>
        </xdr:to>
        <xdr:sp macro="" textlink="">
          <xdr:nvSpPr>
            <xdr:cNvPr id="18586" name="ChangeMember2_7" hidden="1">
              <a:extLst>
                <a:ext uri="{63B3BB69-23CF-44E3-9099-C40C66FF867C}">
                  <a14:compatExt spid="_x0000_s18586"/>
                </a:ext>
                <a:ext uri="{FF2B5EF4-FFF2-40B4-BE49-F238E27FC236}">
                  <a16:creationId xmlns:a16="http://schemas.microsoft.com/office/drawing/2014/main" id="{00000000-0008-0000-0100-00009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211</xdr:row>
          <xdr:rowOff>0</xdr:rowOff>
        </xdr:from>
        <xdr:to>
          <xdr:col>14</xdr:col>
          <xdr:colOff>704850</xdr:colOff>
          <xdr:row>212</xdr:row>
          <xdr:rowOff>0</xdr:rowOff>
        </xdr:to>
        <xdr:sp macro="" textlink="">
          <xdr:nvSpPr>
            <xdr:cNvPr id="18587" name="UpMember2_7" hidden="1">
              <a:extLst>
                <a:ext uri="{63B3BB69-23CF-44E3-9099-C40C66FF867C}">
                  <a14:compatExt spid="_x0000_s18587"/>
                </a:ext>
                <a:ext uri="{FF2B5EF4-FFF2-40B4-BE49-F238E27FC236}">
                  <a16:creationId xmlns:a16="http://schemas.microsoft.com/office/drawing/2014/main" id="{00000000-0008-0000-0100-00009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211</xdr:row>
          <xdr:rowOff>0</xdr:rowOff>
        </xdr:from>
        <xdr:to>
          <xdr:col>16</xdr:col>
          <xdr:colOff>0</xdr:colOff>
          <xdr:row>212</xdr:row>
          <xdr:rowOff>0</xdr:rowOff>
        </xdr:to>
        <xdr:sp macro="" textlink="">
          <xdr:nvSpPr>
            <xdr:cNvPr id="18588" name="DownMember2_7" hidden="1">
              <a:extLst>
                <a:ext uri="{63B3BB69-23CF-44E3-9099-C40C66FF867C}">
                  <a14:compatExt spid="_x0000_s18588"/>
                </a:ext>
                <a:ext uri="{FF2B5EF4-FFF2-40B4-BE49-F238E27FC236}">
                  <a16:creationId xmlns:a16="http://schemas.microsoft.com/office/drawing/2014/main" id="{00000000-0008-0000-0100-00009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93</xdr:row>
          <xdr:rowOff>57150</xdr:rowOff>
        </xdr:from>
        <xdr:to>
          <xdr:col>12</xdr:col>
          <xdr:colOff>704850</xdr:colOff>
          <xdr:row>95</xdr:row>
          <xdr:rowOff>0</xdr:rowOff>
        </xdr:to>
        <xdr:sp macro="" textlink="">
          <xdr:nvSpPr>
            <xdr:cNvPr id="18589" name="AddedMember1_19" hidden="1">
              <a:extLst>
                <a:ext uri="{63B3BB69-23CF-44E3-9099-C40C66FF867C}">
                  <a14:compatExt spid="_x0000_s18589"/>
                </a:ext>
                <a:ext uri="{FF2B5EF4-FFF2-40B4-BE49-F238E27FC236}">
                  <a16:creationId xmlns:a16="http://schemas.microsoft.com/office/drawing/2014/main" id="{00000000-0008-0000-0100-00009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93</xdr:row>
          <xdr:rowOff>57150</xdr:rowOff>
        </xdr:from>
        <xdr:to>
          <xdr:col>13</xdr:col>
          <xdr:colOff>704850</xdr:colOff>
          <xdr:row>95</xdr:row>
          <xdr:rowOff>0</xdr:rowOff>
        </xdr:to>
        <xdr:sp macro="" textlink="">
          <xdr:nvSpPr>
            <xdr:cNvPr id="18590" name="ChangeMember1_19" hidden="1">
              <a:extLst>
                <a:ext uri="{63B3BB69-23CF-44E3-9099-C40C66FF867C}">
                  <a14:compatExt spid="_x0000_s18590"/>
                </a:ext>
                <a:ext uri="{FF2B5EF4-FFF2-40B4-BE49-F238E27FC236}">
                  <a16:creationId xmlns:a16="http://schemas.microsoft.com/office/drawing/2014/main" id="{00000000-0008-0000-0100-00009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93</xdr:row>
          <xdr:rowOff>57150</xdr:rowOff>
        </xdr:from>
        <xdr:to>
          <xdr:col>14</xdr:col>
          <xdr:colOff>704850</xdr:colOff>
          <xdr:row>95</xdr:row>
          <xdr:rowOff>0</xdr:rowOff>
        </xdr:to>
        <xdr:sp macro="" textlink="">
          <xdr:nvSpPr>
            <xdr:cNvPr id="18591" name="UpMember1_19" hidden="1">
              <a:extLst>
                <a:ext uri="{63B3BB69-23CF-44E3-9099-C40C66FF867C}">
                  <a14:compatExt spid="_x0000_s18591"/>
                </a:ext>
                <a:ext uri="{FF2B5EF4-FFF2-40B4-BE49-F238E27FC236}">
                  <a16:creationId xmlns:a16="http://schemas.microsoft.com/office/drawing/2014/main" id="{00000000-0008-0000-0100-00009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93</xdr:row>
          <xdr:rowOff>57150</xdr:rowOff>
        </xdr:from>
        <xdr:to>
          <xdr:col>16</xdr:col>
          <xdr:colOff>0</xdr:colOff>
          <xdr:row>95</xdr:row>
          <xdr:rowOff>0</xdr:rowOff>
        </xdr:to>
        <xdr:sp macro="" textlink="">
          <xdr:nvSpPr>
            <xdr:cNvPr id="18592" name="DownMember1_19" hidden="1">
              <a:extLst>
                <a:ext uri="{63B3BB69-23CF-44E3-9099-C40C66FF867C}">
                  <a14:compatExt spid="_x0000_s18592"/>
                </a:ext>
                <a:ext uri="{FF2B5EF4-FFF2-40B4-BE49-F238E27FC236}">
                  <a16:creationId xmlns:a16="http://schemas.microsoft.com/office/drawing/2014/main" id="{00000000-0008-0000-0100-0000A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xdr:row>
          <xdr:rowOff>0</xdr:rowOff>
        </xdr:from>
        <xdr:to>
          <xdr:col>12</xdr:col>
          <xdr:colOff>704850</xdr:colOff>
          <xdr:row>98</xdr:row>
          <xdr:rowOff>9525</xdr:rowOff>
        </xdr:to>
        <xdr:sp macro="" textlink="">
          <xdr:nvSpPr>
            <xdr:cNvPr id="18593" name="AddedMember1_20" hidden="1">
              <a:extLst>
                <a:ext uri="{63B3BB69-23CF-44E3-9099-C40C66FF867C}">
                  <a14:compatExt spid="_x0000_s18593"/>
                </a:ext>
                <a:ext uri="{FF2B5EF4-FFF2-40B4-BE49-F238E27FC236}">
                  <a16:creationId xmlns:a16="http://schemas.microsoft.com/office/drawing/2014/main" id="{00000000-0008-0000-0100-0000A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97</xdr:row>
          <xdr:rowOff>0</xdr:rowOff>
        </xdr:from>
        <xdr:to>
          <xdr:col>13</xdr:col>
          <xdr:colOff>704850</xdr:colOff>
          <xdr:row>98</xdr:row>
          <xdr:rowOff>9525</xdr:rowOff>
        </xdr:to>
        <xdr:sp macro="" textlink="">
          <xdr:nvSpPr>
            <xdr:cNvPr id="18594" name="ChangeMember1_20" hidden="1">
              <a:extLst>
                <a:ext uri="{63B3BB69-23CF-44E3-9099-C40C66FF867C}">
                  <a14:compatExt spid="_x0000_s18594"/>
                </a:ext>
                <a:ext uri="{FF2B5EF4-FFF2-40B4-BE49-F238E27FC236}">
                  <a16:creationId xmlns:a16="http://schemas.microsoft.com/office/drawing/2014/main" id="{00000000-0008-0000-0100-0000A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97</xdr:row>
          <xdr:rowOff>0</xdr:rowOff>
        </xdr:from>
        <xdr:to>
          <xdr:col>14</xdr:col>
          <xdr:colOff>704850</xdr:colOff>
          <xdr:row>98</xdr:row>
          <xdr:rowOff>9525</xdr:rowOff>
        </xdr:to>
        <xdr:sp macro="" textlink="">
          <xdr:nvSpPr>
            <xdr:cNvPr id="18595" name="UpMember1_20" hidden="1">
              <a:extLst>
                <a:ext uri="{63B3BB69-23CF-44E3-9099-C40C66FF867C}">
                  <a14:compatExt spid="_x0000_s18595"/>
                </a:ext>
                <a:ext uri="{FF2B5EF4-FFF2-40B4-BE49-F238E27FC236}">
                  <a16:creationId xmlns:a16="http://schemas.microsoft.com/office/drawing/2014/main" id="{00000000-0008-0000-0100-0000A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97</xdr:row>
          <xdr:rowOff>0</xdr:rowOff>
        </xdr:from>
        <xdr:to>
          <xdr:col>16</xdr:col>
          <xdr:colOff>0</xdr:colOff>
          <xdr:row>98</xdr:row>
          <xdr:rowOff>9525</xdr:rowOff>
        </xdr:to>
        <xdr:sp macro="" textlink="">
          <xdr:nvSpPr>
            <xdr:cNvPr id="18596" name="DownMember1_20" hidden="1">
              <a:extLst>
                <a:ext uri="{63B3BB69-23CF-44E3-9099-C40C66FF867C}">
                  <a14:compatExt spid="_x0000_s18596"/>
                </a:ext>
                <a:ext uri="{FF2B5EF4-FFF2-40B4-BE49-F238E27FC236}">
                  <a16:creationId xmlns:a16="http://schemas.microsoft.com/office/drawing/2014/main" id="{00000000-0008-0000-0100-0000A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100</xdr:row>
          <xdr:rowOff>0</xdr:rowOff>
        </xdr:from>
        <xdr:to>
          <xdr:col>12</xdr:col>
          <xdr:colOff>704850</xdr:colOff>
          <xdr:row>101</xdr:row>
          <xdr:rowOff>9525</xdr:rowOff>
        </xdr:to>
        <xdr:sp macro="" textlink="">
          <xdr:nvSpPr>
            <xdr:cNvPr id="18597" name="AddedMember1_21" hidden="1">
              <a:extLst>
                <a:ext uri="{63B3BB69-23CF-44E3-9099-C40C66FF867C}">
                  <a14:compatExt spid="_x0000_s18597"/>
                </a:ext>
                <a:ext uri="{FF2B5EF4-FFF2-40B4-BE49-F238E27FC236}">
                  <a16:creationId xmlns:a16="http://schemas.microsoft.com/office/drawing/2014/main" id="{00000000-0008-0000-0100-0000A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100</xdr:row>
          <xdr:rowOff>0</xdr:rowOff>
        </xdr:from>
        <xdr:to>
          <xdr:col>13</xdr:col>
          <xdr:colOff>704850</xdr:colOff>
          <xdr:row>101</xdr:row>
          <xdr:rowOff>9525</xdr:rowOff>
        </xdr:to>
        <xdr:sp macro="" textlink="">
          <xdr:nvSpPr>
            <xdr:cNvPr id="18598" name="ChangeMember1_21" hidden="1">
              <a:extLst>
                <a:ext uri="{63B3BB69-23CF-44E3-9099-C40C66FF867C}">
                  <a14:compatExt spid="_x0000_s18598"/>
                </a:ext>
                <a:ext uri="{FF2B5EF4-FFF2-40B4-BE49-F238E27FC236}">
                  <a16:creationId xmlns:a16="http://schemas.microsoft.com/office/drawing/2014/main" id="{00000000-0008-0000-0100-0000A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100</xdr:row>
          <xdr:rowOff>0</xdr:rowOff>
        </xdr:from>
        <xdr:to>
          <xdr:col>14</xdr:col>
          <xdr:colOff>704850</xdr:colOff>
          <xdr:row>101</xdr:row>
          <xdr:rowOff>9525</xdr:rowOff>
        </xdr:to>
        <xdr:sp macro="" textlink="">
          <xdr:nvSpPr>
            <xdr:cNvPr id="18599" name="UpMember1_21" hidden="1">
              <a:extLst>
                <a:ext uri="{63B3BB69-23CF-44E3-9099-C40C66FF867C}">
                  <a14:compatExt spid="_x0000_s18599"/>
                </a:ext>
                <a:ext uri="{FF2B5EF4-FFF2-40B4-BE49-F238E27FC236}">
                  <a16:creationId xmlns:a16="http://schemas.microsoft.com/office/drawing/2014/main" id="{00000000-0008-0000-0100-0000A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100</xdr:row>
          <xdr:rowOff>0</xdr:rowOff>
        </xdr:from>
        <xdr:to>
          <xdr:col>16</xdr:col>
          <xdr:colOff>0</xdr:colOff>
          <xdr:row>101</xdr:row>
          <xdr:rowOff>9525</xdr:rowOff>
        </xdr:to>
        <xdr:sp macro="" textlink="">
          <xdr:nvSpPr>
            <xdr:cNvPr id="18600" name="DownMember1_21" hidden="1">
              <a:extLst>
                <a:ext uri="{63B3BB69-23CF-44E3-9099-C40C66FF867C}">
                  <a14:compatExt spid="_x0000_s18600"/>
                </a:ext>
                <a:ext uri="{FF2B5EF4-FFF2-40B4-BE49-F238E27FC236}">
                  <a16:creationId xmlns:a16="http://schemas.microsoft.com/office/drawing/2014/main" id="{00000000-0008-0000-0100-0000A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103</xdr:row>
          <xdr:rowOff>0</xdr:rowOff>
        </xdr:from>
        <xdr:to>
          <xdr:col>12</xdr:col>
          <xdr:colOff>704850</xdr:colOff>
          <xdr:row>104</xdr:row>
          <xdr:rowOff>0</xdr:rowOff>
        </xdr:to>
        <xdr:sp macro="" textlink="">
          <xdr:nvSpPr>
            <xdr:cNvPr id="18601" name="AddedMember1_22" hidden="1">
              <a:extLst>
                <a:ext uri="{63B3BB69-23CF-44E3-9099-C40C66FF867C}">
                  <a14:compatExt spid="_x0000_s18601"/>
                </a:ext>
                <a:ext uri="{FF2B5EF4-FFF2-40B4-BE49-F238E27FC236}">
                  <a16:creationId xmlns:a16="http://schemas.microsoft.com/office/drawing/2014/main" id="{00000000-0008-0000-0100-0000A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103</xdr:row>
          <xdr:rowOff>0</xdr:rowOff>
        </xdr:from>
        <xdr:to>
          <xdr:col>13</xdr:col>
          <xdr:colOff>704850</xdr:colOff>
          <xdr:row>104</xdr:row>
          <xdr:rowOff>0</xdr:rowOff>
        </xdr:to>
        <xdr:sp macro="" textlink="">
          <xdr:nvSpPr>
            <xdr:cNvPr id="18602" name="ChangeMember1_22" hidden="1">
              <a:extLst>
                <a:ext uri="{63B3BB69-23CF-44E3-9099-C40C66FF867C}">
                  <a14:compatExt spid="_x0000_s18602"/>
                </a:ext>
                <a:ext uri="{FF2B5EF4-FFF2-40B4-BE49-F238E27FC236}">
                  <a16:creationId xmlns:a16="http://schemas.microsoft.com/office/drawing/2014/main" id="{00000000-0008-0000-0100-0000A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103</xdr:row>
          <xdr:rowOff>0</xdr:rowOff>
        </xdr:from>
        <xdr:to>
          <xdr:col>14</xdr:col>
          <xdr:colOff>704850</xdr:colOff>
          <xdr:row>104</xdr:row>
          <xdr:rowOff>0</xdr:rowOff>
        </xdr:to>
        <xdr:sp macro="" textlink="">
          <xdr:nvSpPr>
            <xdr:cNvPr id="18603" name="UpMember1_22" hidden="1">
              <a:extLst>
                <a:ext uri="{63B3BB69-23CF-44E3-9099-C40C66FF867C}">
                  <a14:compatExt spid="_x0000_s18603"/>
                </a:ext>
                <a:ext uri="{FF2B5EF4-FFF2-40B4-BE49-F238E27FC236}">
                  <a16:creationId xmlns:a16="http://schemas.microsoft.com/office/drawing/2014/main" id="{00000000-0008-0000-0100-0000A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103</xdr:row>
          <xdr:rowOff>0</xdr:rowOff>
        </xdr:from>
        <xdr:to>
          <xdr:col>16</xdr:col>
          <xdr:colOff>0</xdr:colOff>
          <xdr:row>104</xdr:row>
          <xdr:rowOff>0</xdr:rowOff>
        </xdr:to>
        <xdr:sp macro="" textlink="">
          <xdr:nvSpPr>
            <xdr:cNvPr id="18604" name="DownMember1_22" hidden="1">
              <a:extLst>
                <a:ext uri="{63B3BB69-23CF-44E3-9099-C40C66FF867C}">
                  <a14:compatExt spid="_x0000_s18604"/>
                </a:ext>
                <a:ext uri="{FF2B5EF4-FFF2-40B4-BE49-F238E27FC236}">
                  <a16:creationId xmlns:a16="http://schemas.microsoft.com/office/drawing/2014/main" id="{00000000-0008-0000-0100-0000A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105</xdr:row>
          <xdr:rowOff>57150</xdr:rowOff>
        </xdr:from>
        <xdr:to>
          <xdr:col>12</xdr:col>
          <xdr:colOff>704850</xdr:colOff>
          <xdr:row>107</xdr:row>
          <xdr:rowOff>0</xdr:rowOff>
        </xdr:to>
        <xdr:sp macro="" textlink="">
          <xdr:nvSpPr>
            <xdr:cNvPr id="18605" name="AddedMember1_23" hidden="1">
              <a:extLst>
                <a:ext uri="{63B3BB69-23CF-44E3-9099-C40C66FF867C}">
                  <a14:compatExt spid="_x0000_s18605"/>
                </a:ext>
                <a:ext uri="{FF2B5EF4-FFF2-40B4-BE49-F238E27FC236}">
                  <a16:creationId xmlns:a16="http://schemas.microsoft.com/office/drawing/2014/main" id="{00000000-0008-0000-0100-0000A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105</xdr:row>
          <xdr:rowOff>57150</xdr:rowOff>
        </xdr:from>
        <xdr:to>
          <xdr:col>13</xdr:col>
          <xdr:colOff>704850</xdr:colOff>
          <xdr:row>107</xdr:row>
          <xdr:rowOff>0</xdr:rowOff>
        </xdr:to>
        <xdr:sp macro="" textlink="">
          <xdr:nvSpPr>
            <xdr:cNvPr id="18606" name="ChangeMember1_23" hidden="1">
              <a:extLst>
                <a:ext uri="{63B3BB69-23CF-44E3-9099-C40C66FF867C}">
                  <a14:compatExt spid="_x0000_s18606"/>
                </a:ext>
                <a:ext uri="{FF2B5EF4-FFF2-40B4-BE49-F238E27FC236}">
                  <a16:creationId xmlns:a16="http://schemas.microsoft.com/office/drawing/2014/main" id="{00000000-0008-0000-0100-0000A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105</xdr:row>
          <xdr:rowOff>57150</xdr:rowOff>
        </xdr:from>
        <xdr:to>
          <xdr:col>14</xdr:col>
          <xdr:colOff>704850</xdr:colOff>
          <xdr:row>107</xdr:row>
          <xdr:rowOff>0</xdr:rowOff>
        </xdr:to>
        <xdr:sp macro="" textlink="">
          <xdr:nvSpPr>
            <xdr:cNvPr id="18607" name="UpMember1_23" hidden="1">
              <a:extLst>
                <a:ext uri="{63B3BB69-23CF-44E3-9099-C40C66FF867C}">
                  <a14:compatExt spid="_x0000_s18607"/>
                </a:ext>
                <a:ext uri="{FF2B5EF4-FFF2-40B4-BE49-F238E27FC236}">
                  <a16:creationId xmlns:a16="http://schemas.microsoft.com/office/drawing/2014/main" id="{00000000-0008-0000-0100-0000A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105</xdr:row>
          <xdr:rowOff>57150</xdr:rowOff>
        </xdr:from>
        <xdr:to>
          <xdr:col>16</xdr:col>
          <xdr:colOff>0</xdr:colOff>
          <xdr:row>107</xdr:row>
          <xdr:rowOff>0</xdr:rowOff>
        </xdr:to>
        <xdr:sp macro="" textlink="">
          <xdr:nvSpPr>
            <xdr:cNvPr id="18608" name="DownMember1_23" hidden="1">
              <a:extLst>
                <a:ext uri="{63B3BB69-23CF-44E3-9099-C40C66FF867C}">
                  <a14:compatExt spid="_x0000_s18608"/>
                </a:ext>
                <a:ext uri="{FF2B5EF4-FFF2-40B4-BE49-F238E27FC236}">
                  <a16:creationId xmlns:a16="http://schemas.microsoft.com/office/drawing/2014/main" id="{00000000-0008-0000-0100-0000B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108</xdr:row>
          <xdr:rowOff>57150</xdr:rowOff>
        </xdr:from>
        <xdr:to>
          <xdr:col>12</xdr:col>
          <xdr:colOff>704850</xdr:colOff>
          <xdr:row>110</xdr:row>
          <xdr:rowOff>0</xdr:rowOff>
        </xdr:to>
        <xdr:sp macro="" textlink="">
          <xdr:nvSpPr>
            <xdr:cNvPr id="18609" name="AddedMember1_24" hidden="1">
              <a:extLst>
                <a:ext uri="{63B3BB69-23CF-44E3-9099-C40C66FF867C}">
                  <a14:compatExt spid="_x0000_s18609"/>
                </a:ext>
                <a:ext uri="{FF2B5EF4-FFF2-40B4-BE49-F238E27FC236}">
                  <a16:creationId xmlns:a16="http://schemas.microsoft.com/office/drawing/2014/main" id="{00000000-0008-0000-0100-0000B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108</xdr:row>
          <xdr:rowOff>57150</xdr:rowOff>
        </xdr:from>
        <xdr:to>
          <xdr:col>13</xdr:col>
          <xdr:colOff>704850</xdr:colOff>
          <xdr:row>110</xdr:row>
          <xdr:rowOff>0</xdr:rowOff>
        </xdr:to>
        <xdr:sp macro="" textlink="">
          <xdr:nvSpPr>
            <xdr:cNvPr id="18610" name="ChangeMember1_24" hidden="1">
              <a:extLst>
                <a:ext uri="{63B3BB69-23CF-44E3-9099-C40C66FF867C}">
                  <a14:compatExt spid="_x0000_s18610"/>
                </a:ext>
                <a:ext uri="{FF2B5EF4-FFF2-40B4-BE49-F238E27FC236}">
                  <a16:creationId xmlns:a16="http://schemas.microsoft.com/office/drawing/2014/main" id="{00000000-0008-0000-0100-0000B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108</xdr:row>
          <xdr:rowOff>57150</xdr:rowOff>
        </xdr:from>
        <xdr:to>
          <xdr:col>14</xdr:col>
          <xdr:colOff>704850</xdr:colOff>
          <xdr:row>110</xdr:row>
          <xdr:rowOff>0</xdr:rowOff>
        </xdr:to>
        <xdr:sp macro="" textlink="">
          <xdr:nvSpPr>
            <xdr:cNvPr id="18611" name="UpMember1_24" hidden="1">
              <a:extLst>
                <a:ext uri="{63B3BB69-23CF-44E3-9099-C40C66FF867C}">
                  <a14:compatExt spid="_x0000_s18611"/>
                </a:ext>
                <a:ext uri="{FF2B5EF4-FFF2-40B4-BE49-F238E27FC236}">
                  <a16:creationId xmlns:a16="http://schemas.microsoft.com/office/drawing/2014/main" id="{00000000-0008-0000-0100-0000B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108</xdr:row>
          <xdr:rowOff>57150</xdr:rowOff>
        </xdr:from>
        <xdr:to>
          <xdr:col>16</xdr:col>
          <xdr:colOff>0</xdr:colOff>
          <xdr:row>110</xdr:row>
          <xdr:rowOff>0</xdr:rowOff>
        </xdr:to>
        <xdr:sp macro="" textlink="">
          <xdr:nvSpPr>
            <xdr:cNvPr id="18612" name="DownMember1_24" hidden="1">
              <a:extLst>
                <a:ext uri="{63B3BB69-23CF-44E3-9099-C40C66FF867C}">
                  <a14:compatExt spid="_x0000_s18612"/>
                </a:ext>
                <a:ext uri="{FF2B5EF4-FFF2-40B4-BE49-F238E27FC236}">
                  <a16:creationId xmlns:a16="http://schemas.microsoft.com/office/drawing/2014/main" id="{00000000-0008-0000-0100-0000B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704850</xdr:colOff>
          <xdr:row>113</xdr:row>
          <xdr:rowOff>9525</xdr:rowOff>
        </xdr:to>
        <xdr:sp macro="" textlink="">
          <xdr:nvSpPr>
            <xdr:cNvPr id="18613" name="AddedMember1_25" hidden="1">
              <a:extLst>
                <a:ext uri="{63B3BB69-23CF-44E3-9099-C40C66FF867C}">
                  <a14:compatExt spid="_x0000_s18613"/>
                </a:ext>
                <a:ext uri="{FF2B5EF4-FFF2-40B4-BE49-F238E27FC236}">
                  <a16:creationId xmlns:a16="http://schemas.microsoft.com/office/drawing/2014/main" id="{00000000-0008-0000-0100-0000B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704850</xdr:colOff>
          <xdr:row>113</xdr:row>
          <xdr:rowOff>9525</xdr:rowOff>
        </xdr:to>
        <xdr:sp macro="" textlink="">
          <xdr:nvSpPr>
            <xdr:cNvPr id="18614" name="ChangeMember1_25" hidden="1">
              <a:extLst>
                <a:ext uri="{63B3BB69-23CF-44E3-9099-C40C66FF867C}">
                  <a14:compatExt spid="_x0000_s18614"/>
                </a:ext>
                <a:ext uri="{FF2B5EF4-FFF2-40B4-BE49-F238E27FC236}">
                  <a16:creationId xmlns:a16="http://schemas.microsoft.com/office/drawing/2014/main" id="{00000000-0008-0000-0100-0000B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704850</xdr:colOff>
          <xdr:row>113</xdr:row>
          <xdr:rowOff>9525</xdr:rowOff>
        </xdr:to>
        <xdr:sp macro="" textlink="">
          <xdr:nvSpPr>
            <xdr:cNvPr id="18615" name="UpMember1_25" hidden="1">
              <a:extLst>
                <a:ext uri="{63B3BB69-23CF-44E3-9099-C40C66FF867C}">
                  <a14:compatExt spid="_x0000_s18615"/>
                </a:ext>
                <a:ext uri="{FF2B5EF4-FFF2-40B4-BE49-F238E27FC236}">
                  <a16:creationId xmlns:a16="http://schemas.microsoft.com/office/drawing/2014/main" id="{00000000-0008-0000-0100-0000B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9525</xdr:rowOff>
        </xdr:to>
        <xdr:sp macro="" textlink="">
          <xdr:nvSpPr>
            <xdr:cNvPr id="18616" name="DownMember1_25" hidden="1">
              <a:extLst>
                <a:ext uri="{63B3BB69-23CF-44E3-9099-C40C66FF867C}">
                  <a14:compatExt spid="_x0000_s18616"/>
                </a:ext>
                <a:ext uri="{FF2B5EF4-FFF2-40B4-BE49-F238E27FC236}">
                  <a16:creationId xmlns:a16="http://schemas.microsoft.com/office/drawing/2014/main" id="{00000000-0008-0000-0100-0000B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115</xdr:row>
          <xdr:rowOff>0</xdr:rowOff>
        </xdr:from>
        <xdr:to>
          <xdr:col>12</xdr:col>
          <xdr:colOff>676275</xdr:colOff>
          <xdr:row>116</xdr:row>
          <xdr:rowOff>0</xdr:rowOff>
        </xdr:to>
        <xdr:sp macro="" textlink="">
          <xdr:nvSpPr>
            <xdr:cNvPr id="18650" name="AddedMember1_26" hidden="1">
              <a:extLst>
                <a:ext uri="{63B3BB69-23CF-44E3-9099-C40C66FF867C}">
                  <a14:compatExt spid="_x0000_s18650"/>
                </a:ext>
                <a:ext uri="{FF2B5EF4-FFF2-40B4-BE49-F238E27FC236}">
                  <a16:creationId xmlns:a16="http://schemas.microsoft.com/office/drawing/2014/main" id="{00000000-0008-0000-0100-0000D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115</xdr:row>
          <xdr:rowOff>0</xdr:rowOff>
        </xdr:from>
        <xdr:to>
          <xdr:col>13</xdr:col>
          <xdr:colOff>685800</xdr:colOff>
          <xdr:row>116</xdr:row>
          <xdr:rowOff>0</xdr:rowOff>
        </xdr:to>
        <xdr:sp macro="" textlink="">
          <xdr:nvSpPr>
            <xdr:cNvPr id="18651" name="ChangeMember1_26" hidden="1">
              <a:extLst>
                <a:ext uri="{63B3BB69-23CF-44E3-9099-C40C66FF867C}">
                  <a14:compatExt spid="_x0000_s18651"/>
                </a:ext>
                <a:ext uri="{FF2B5EF4-FFF2-40B4-BE49-F238E27FC236}">
                  <a16:creationId xmlns:a16="http://schemas.microsoft.com/office/drawing/2014/main" id="{00000000-0008-0000-0100-0000D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685800</xdr:colOff>
          <xdr:row>116</xdr:row>
          <xdr:rowOff>0</xdr:rowOff>
        </xdr:to>
        <xdr:sp macro="" textlink="">
          <xdr:nvSpPr>
            <xdr:cNvPr id="18652" name="UpMember1_26" hidden="1">
              <a:extLst>
                <a:ext uri="{63B3BB69-23CF-44E3-9099-C40C66FF867C}">
                  <a14:compatExt spid="_x0000_s18652"/>
                </a:ext>
                <a:ext uri="{FF2B5EF4-FFF2-40B4-BE49-F238E27FC236}">
                  <a16:creationId xmlns:a16="http://schemas.microsoft.com/office/drawing/2014/main" id="{00000000-0008-0000-0100-0000D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115</xdr:row>
          <xdr:rowOff>0</xdr:rowOff>
        </xdr:from>
        <xdr:to>
          <xdr:col>15</xdr:col>
          <xdr:colOff>676275</xdr:colOff>
          <xdr:row>116</xdr:row>
          <xdr:rowOff>0</xdr:rowOff>
        </xdr:to>
        <xdr:sp macro="" textlink="">
          <xdr:nvSpPr>
            <xdr:cNvPr id="18653" name="DownMember1_26" hidden="1">
              <a:extLst>
                <a:ext uri="{63B3BB69-23CF-44E3-9099-C40C66FF867C}">
                  <a14:compatExt spid="_x0000_s18653"/>
                </a:ext>
                <a:ext uri="{FF2B5EF4-FFF2-40B4-BE49-F238E27FC236}">
                  <a16:creationId xmlns:a16="http://schemas.microsoft.com/office/drawing/2014/main" id="{00000000-0008-0000-0100-0000D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117</xdr:row>
          <xdr:rowOff>47625</xdr:rowOff>
        </xdr:from>
        <xdr:to>
          <xdr:col>12</xdr:col>
          <xdr:colOff>676275</xdr:colOff>
          <xdr:row>118</xdr:row>
          <xdr:rowOff>190500</xdr:rowOff>
        </xdr:to>
        <xdr:sp macro="" textlink="">
          <xdr:nvSpPr>
            <xdr:cNvPr id="18660" name="AddedMember1_27" hidden="1">
              <a:extLst>
                <a:ext uri="{63B3BB69-23CF-44E3-9099-C40C66FF867C}">
                  <a14:compatExt spid="_x0000_s18660"/>
                </a:ext>
                <a:ext uri="{FF2B5EF4-FFF2-40B4-BE49-F238E27FC236}">
                  <a16:creationId xmlns:a16="http://schemas.microsoft.com/office/drawing/2014/main" id="{00000000-0008-0000-0100-0000E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117</xdr:row>
          <xdr:rowOff>47625</xdr:rowOff>
        </xdr:from>
        <xdr:to>
          <xdr:col>13</xdr:col>
          <xdr:colOff>685800</xdr:colOff>
          <xdr:row>118</xdr:row>
          <xdr:rowOff>190500</xdr:rowOff>
        </xdr:to>
        <xdr:sp macro="" textlink="">
          <xdr:nvSpPr>
            <xdr:cNvPr id="18661" name="ChangeMember1_27" hidden="1">
              <a:extLst>
                <a:ext uri="{63B3BB69-23CF-44E3-9099-C40C66FF867C}">
                  <a14:compatExt spid="_x0000_s18661"/>
                </a:ext>
                <a:ext uri="{FF2B5EF4-FFF2-40B4-BE49-F238E27FC236}">
                  <a16:creationId xmlns:a16="http://schemas.microsoft.com/office/drawing/2014/main" id="{00000000-0008-0000-0100-0000E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47625</xdr:rowOff>
        </xdr:from>
        <xdr:to>
          <xdr:col>14</xdr:col>
          <xdr:colOff>685800</xdr:colOff>
          <xdr:row>118</xdr:row>
          <xdr:rowOff>190500</xdr:rowOff>
        </xdr:to>
        <xdr:sp macro="" textlink="">
          <xdr:nvSpPr>
            <xdr:cNvPr id="18662" name="UpMember1_27" hidden="1">
              <a:extLst>
                <a:ext uri="{63B3BB69-23CF-44E3-9099-C40C66FF867C}">
                  <a14:compatExt spid="_x0000_s18662"/>
                </a:ext>
                <a:ext uri="{FF2B5EF4-FFF2-40B4-BE49-F238E27FC236}">
                  <a16:creationId xmlns:a16="http://schemas.microsoft.com/office/drawing/2014/main" id="{00000000-0008-0000-0100-0000E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117</xdr:row>
          <xdr:rowOff>47625</xdr:rowOff>
        </xdr:from>
        <xdr:to>
          <xdr:col>15</xdr:col>
          <xdr:colOff>676275</xdr:colOff>
          <xdr:row>118</xdr:row>
          <xdr:rowOff>190500</xdr:rowOff>
        </xdr:to>
        <xdr:sp macro="" textlink="">
          <xdr:nvSpPr>
            <xdr:cNvPr id="18663" name="DownMember1_27" hidden="1">
              <a:extLst>
                <a:ext uri="{63B3BB69-23CF-44E3-9099-C40C66FF867C}">
                  <a14:compatExt spid="_x0000_s18663"/>
                </a:ext>
                <a:ext uri="{FF2B5EF4-FFF2-40B4-BE49-F238E27FC236}">
                  <a16:creationId xmlns:a16="http://schemas.microsoft.com/office/drawing/2014/main" id="{00000000-0008-0000-0100-0000E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120</xdr:row>
          <xdr:rowOff>47625</xdr:rowOff>
        </xdr:from>
        <xdr:to>
          <xdr:col>12</xdr:col>
          <xdr:colOff>676275</xdr:colOff>
          <xdr:row>122</xdr:row>
          <xdr:rowOff>0</xdr:rowOff>
        </xdr:to>
        <xdr:sp macro="" textlink="">
          <xdr:nvSpPr>
            <xdr:cNvPr id="18665" name="AddedMember1_28" hidden="1">
              <a:extLst>
                <a:ext uri="{63B3BB69-23CF-44E3-9099-C40C66FF867C}">
                  <a14:compatExt spid="_x0000_s18665"/>
                </a:ext>
                <a:ext uri="{FF2B5EF4-FFF2-40B4-BE49-F238E27FC236}">
                  <a16:creationId xmlns:a16="http://schemas.microsoft.com/office/drawing/2014/main" id="{00000000-0008-0000-0100-0000E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120</xdr:row>
          <xdr:rowOff>47625</xdr:rowOff>
        </xdr:from>
        <xdr:to>
          <xdr:col>13</xdr:col>
          <xdr:colOff>685800</xdr:colOff>
          <xdr:row>122</xdr:row>
          <xdr:rowOff>0</xdr:rowOff>
        </xdr:to>
        <xdr:sp macro="" textlink="">
          <xdr:nvSpPr>
            <xdr:cNvPr id="18666" name="ChangeMember1_28" hidden="1">
              <a:extLst>
                <a:ext uri="{63B3BB69-23CF-44E3-9099-C40C66FF867C}">
                  <a14:compatExt spid="_x0000_s18666"/>
                </a:ext>
                <a:ext uri="{FF2B5EF4-FFF2-40B4-BE49-F238E27FC236}">
                  <a16:creationId xmlns:a16="http://schemas.microsoft.com/office/drawing/2014/main" id="{00000000-0008-0000-0100-0000E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47625</xdr:rowOff>
        </xdr:from>
        <xdr:to>
          <xdr:col>14</xdr:col>
          <xdr:colOff>685800</xdr:colOff>
          <xdr:row>122</xdr:row>
          <xdr:rowOff>0</xdr:rowOff>
        </xdr:to>
        <xdr:sp macro="" textlink="">
          <xdr:nvSpPr>
            <xdr:cNvPr id="18667" name="UpMember1_28" hidden="1">
              <a:extLst>
                <a:ext uri="{63B3BB69-23CF-44E3-9099-C40C66FF867C}">
                  <a14:compatExt spid="_x0000_s18667"/>
                </a:ext>
                <a:ext uri="{FF2B5EF4-FFF2-40B4-BE49-F238E27FC236}">
                  <a16:creationId xmlns:a16="http://schemas.microsoft.com/office/drawing/2014/main" id="{00000000-0008-0000-0100-0000E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120</xdr:row>
          <xdr:rowOff>47625</xdr:rowOff>
        </xdr:from>
        <xdr:to>
          <xdr:col>15</xdr:col>
          <xdr:colOff>676275</xdr:colOff>
          <xdr:row>122</xdr:row>
          <xdr:rowOff>0</xdr:rowOff>
        </xdr:to>
        <xdr:sp macro="" textlink="">
          <xdr:nvSpPr>
            <xdr:cNvPr id="18668" name="DownMember1_28" hidden="1">
              <a:extLst>
                <a:ext uri="{63B3BB69-23CF-44E3-9099-C40C66FF867C}">
                  <a14:compatExt spid="_x0000_s18668"/>
                </a:ext>
                <a:ext uri="{FF2B5EF4-FFF2-40B4-BE49-F238E27FC236}">
                  <a16:creationId xmlns:a16="http://schemas.microsoft.com/office/drawing/2014/main" id="{00000000-0008-0000-0100-0000E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124</xdr:row>
          <xdr:rowOff>0</xdr:rowOff>
        </xdr:from>
        <xdr:to>
          <xdr:col>12</xdr:col>
          <xdr:colOff>676275</xdr:colOff>
          <xdr:row>125</xdr:row>
          <xdr:rowOff>0</xdr:rowOff>
        </xdr:to>
        <xdr:sp macro="" textlink="">
          <xdr:nvSpPr>
            <xdr:cNvPr id="18670" name="AddedMember1_29" hidden="1">
              <a:extLst>
                <a:ext uri="{63B3BB69-23CF-44E3-9099-C40C66FF867C}">
                  <a14:compatExt spid="_x0000_s18670"/>
                </a:ext>
                <a:ext uri="{FF2B5EF4-FFF2-40B4-BE49-F238E27FC236}">
                  <a16:creationId xmlns:a16="http://schemas.microsoft.com/office/drawing/2014/main" id="{00000000-0008-0000-0100-0000E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124</xdr:row>
          <xdr:rowOff>0</xdr:rowOff>
        </xdr:from>
        <xdr:to>
          <xdr:col>13</xdr:col>
          <xdr:colOff>685800</xdr:colOff>
          <xdr:row>125</xdr:row>
          <xdr:rowOff>0</xdr:rowOff>
        </xdr:to>
        <xdr:sp macro="" textlink="">
          <xdr:nvSpPr>
            <xdr:cNvPr id="18671" name="ChangeMember1_29" hidden="1">
              <a:extLst>
                <a:ext uri="{63B3BB69-23CF-44E3-9099-C40C66FF867C}">
                  <a14:compatExt spid="_x0000_s18671"/>
                </a:ext>
                <a:ext uri="{FF2B5EF4-FFF2-40B4-BE49-F238E27FC236}">
                  <a16:creationId xmlns:a16="http://schemas.microsoft.com/office/drawing/2014/main" id="{00000000-0008-0000-0100-0000E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685800</xdr:colOff>
          <xdr:row>125</xdr:row>
          <xdr:rowOff>0</xdr:rowOff>
        </xdr:to>
        <xdr:sp macro="" textlink="">
          <xdr:nvSpPr>
            <xdr:cNvPr id="18672" name="UpMember1_29" hidden="1">
              <a:extLst>
                <a:ext uri="{63B3BB69-23CF-44E3-9099-C40C66FF867C}">
                  <a14:compatExt spid="_x0000_s18672"/>
                </a:ext>
                <a:ext uri="{FF2B5EF4-FFF2-40B4-BE49-F238E27FC236}">
                  <a16:creationId xmlns:a16="http://schemas.microsoft.com/office/drawing/2014/main" id="{00000000-0008-0000-0100-0000F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124</xdr:row>
          <xdr:rowOff>0</xdr:rowOff>
        </xdr:from>
        <xdr:to>
          <xdr:col>15</xdr:col>
          <xdr:colOff>676275</xdr:colOff>
          <xdr:row>125</xdr:row>
          <xdr:rowOff>0</xdr:rowOff>
        </xdr:to>
        <xdr:sp macro="" textlink="">
          <xdr:nvSpPr>
            <xdr:cNvPr id="18673" name="DownMember1_29" hidden="1">
              <a:extLst>
                <a:ext uri="{63B3BB69-23CF-44E3-9099-C40C66FF867C}">
                  <a14:compatExt spid="_x0000_s18673"/>
                </a:ext>
                <a:ext uri="{FF2B5EF4-FFF2-40B4-BE49-F238E27FC236}">
                  <a16:creationId xmlns:a16="http://schemas.microsoft.com/office/drawing/2014/main" id="{00000000-0008-0000-0100-0000F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127</xdr:row>
          <xdr:rowOff>0</xdr:rowOff>
        </xdr:from>
        <xdr:to>
          <xdr:col>12</xdr:col>
          <xdr:colOff>676275</xdr:colOff>
          <xdr:row>128</xdr:row>
          <xdr:rowOff>0</xdr:rowOff>
        </xdr:to>
        <xdr:sp macro="" textlink="">
          <xdr:nvSpPr>
            <xdr:cNvPr id="18675" name="AddedMember1_30" hidden="1">
              <a:extLst>
                <a:ext uri="{63B3BB69-23CF-44E3-9099-C40C66FF867C}">
                  <a14:compatExt spid="_x0000_s18675"/>
                </a:ext>
                <a:ext uri="{FF2B5EF4-FFF2-40B4-BE49-F238E27FC236}">
                  <a16:creationId xmlns:a16="http://schemas.microsoft.com/office/drawing/2014/main" id="{00000000-0008-0000-0100-0000F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127</xdr:row>
          <xdr:rowOff>0</xdr:rowOff>
        </xdr:from>
        <xdr:to>
          <xdr:col>13</xdr:col>
          <xdr:colOff>685800</xdr:colOff>
          <xdr:row>128</xdr:row>
          <xdr:rowOff>0</xdr:rowOff>
        </xdr:to>
        <xdr:sp macro="" textlink="">
          <xdr:nvSpPr>
            <xdr:cNvPr id="18676" name="ChangeMember1_30" hidden="1">
              <a:extLst>
                <a:ext uri="{63B3BB69-23CF-44E3-9099-C40C66FF867C}">
                  <a14:compatExt spid="_x0000_s18676"/>
                </a:ext>
                <a:ext uri="{FF2B5EF4-FFF2-40B4-BE49-F238E27FC236}">
                  <a16:creationId xmlns:a16="http://schemas.microsoft.com/office/drawing/2014/main" id="{00000000-0008-0000-0100-0000F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127</xdr:row>
          <xdr:rowOff>0</xdr:rowOff>
        </xdr:from>
        <xdr:to>
          <xdr:col>14</xdr:col>
          <xdr:colOff>685800</xdr:colOff>
          <xdr:row>128</xdr:row>
          <xdr:rowOff>0</xdr:rowOff>
        </xdr:to>
        <xdr:sp macro="" textlink="">
          <xdr:nvSpPr>
            <xdr:cNvPr id="18677" name="UpMember1_30" hidden="1">
              <a:extLst>
                <a:ext uri="{63B3BB69-23CF-44E3-9099-C40C66FF867C}">
                  <a14:compatExt spid="_x0000_s18677"/>
                </a:ext>
                <a:ext uri="{FF2B5EF4-FFF2-40B4-BE49-F238E27FC236}">
                  <a16:creationId xmlns:a16="http://schemas.microsoft.com/office/drawing/2014/main" id="{00000000-0008-0000-0100-0000F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127</xdr:row>
          <xdr:rowOff>0</xdr:rowOff>
        </xdr:from>
        <xdr:to>
          <xdr:col>15</xdr:col>
          <xdr:colOff>676275</xdr:colOff>
          <xdr:row>128</xdr:row>
          <xdr:rowOff>0</xdr:rowOff>
        </xdr:to>
        <xdr:sp macro="" textlink="">
          <xdr:nvSpPr>
            <xdr:cNvPr id="18678" name="DownMember1_30" hidden="1">
              <a:extLst>
                <a:ext uri="{63B3BB69-23CF-44E3-9099-C40C66FF867C}">
                  <a14:compatExt spid="_x0000_s18678"/>
                </a:ext>
                <a:ext uri="{FF2B5EF4-FFF2-40B4-BE49-F238E27FC236}">
                  <a16:creationId xmlns:a16="http://schemas.microsoft.com/office/drawing/2014/main" id="{00000000-0008-0000-0100-0000F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130</xdr:row>
          <xdr:rowOff>0</xdr:rowOff>
        </xdr:from>
        <xdr:to>
          <xdr:col>12</xdr:col>
          <xdr:colOff>676275</xdr:colOff>
          <xdr:row>131</xdr:row>
          <xdr:rowOff>9525</xdr:rowOff>
        </xdr:to>
        <xdr:sp macro="" textlink="">
          <xdr:nvSpPr>
            <xdr:cNvPr id="18680" name="AddedMember1_31" hidden="1">
              <a:extLst>
                <a:ext uri="{63B3BB69-23CF-44E3-9099-C40C66FF867C}">
                  <a14:compatExt spid="_x0000_s18680"/>
                </a:ext>
                <a:ext uri="{FF2B5EF4-FFF2-40B4-BE49-F238E27FC236}">
                  <a16:creationId xmlns:a16="http://schemas.microsoft.com/office/drawing/2014/main" id="{00000000-0008-0000-0100-0000F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130</xdr:row>
          <xdr:rowOff>0</xdr:rowOff>
        </xdr:from>
        <xdr:to>
          <xdr:col>13</xdr:col>
          <xdr:colOff>685800</xdr:colOff>
          <xdr:row>131</xdr:row>
          <xdr:rowOff>9525</xdr:rowOff>
        </xdr:to>
        <xdr:sp macro="" textlink="">
          <xdr:nvSpPr>
            <xdr:cNvPr id="18681" name="ChangeMember1_31" hidden="1">
              <a:extLst>
                <a:ext uri="{63B3BB69-23CF-44E3-9099-C40C66FF867C}">
                  <a14:compatExt spid="_x0000_s18681"/>
                </a:ext>
                <a:ext uri="{FF2B5EF4-FFF2-40B4-BE49-F238E27FC236}">
                  <a16:creationId xmlns:a16="http://schemas.microsoft.com/office/drawing/2014/main" id="{00000000-0008-0000-0100-0000F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685800</xdr:colOff>
          <xdr:row>131</xdr:row>
          <xdr:rowOff>9525</xdr:rowOff>
        </xdr:to>
        <xdr:sp macro="" textlink="">
          <xdr:nvSpPr>
            <xdr:cNvPr id="18682" name="UpMember1_31" hidden="1">
              <a:extLst>
                <a:ext uri="{63B3BB69-23CF-44E3-9099-C40C66FF867C}">
                  <a14:compatExt spid="_x0000_s18682"/>
                </a:ext>
                <a:ext uri="{FF2B5EF4-FFF2-40B4-BE49-F238E27FC236}">
                  <a16:creationId xmlns:a16="http://schemas.microsoft.com/office/drawing/2014/main" id="{00000000-0008-0000-0100-0000F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130</xdr:row>
          <xdr:rowOff>0</xdr:rowOff>
        </xdr:from>
        <xdr:to>
          <xdr:col>15</xdr:col>
          <xdr:colOff>676275</xdr:colOff>
          <xdr:row>131</xdr:row>
          <xdr:rowOff>9525</xdr:rowOff>
        </xdr:to>
        <xdr:sp macro="" textlink="">
          <xdr:nvSpPr>
            <xdr:cNvPr id="18683" name="DownMember1_31" hidden="1">
              <a:extLst>
                <a:ext uri="{63B3BB69-23CF-44E3-9099-C40C66FF867C}">
                  <a14:compatExt spid="_x0000_s18683"/>
                </a:ext>
                <a:ext uri="{FF2B5EF4-FFF2-40B4-BE49-F238E27FC236}">
                  <a16:creationId xmlns:a16="http://schemas.microsoft.com/office/drawing/2014/main" id="{00000000-0008-0000-0100-0000F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132</xdr:row>
          <xdr:rowOff>47625</xdr:rowOff>
        </xdr:from>
        <xdr:to>
          <xdr:col>12</xdr:col>
          <xdr:colOff>676275</xdr:colOff>
          <xdr:row>134</xdr:row>
          <xdr:rowOff>0</xdr:rowOff>
        </xdr:to>
        <xdr:sp macro="" textlink="">
          <xdr:nvSpPr>
            <xdr:cNvPr id="18685" name="AddedMember1_32" hidden="1">
              <a:extLst>
                <a:ext uri="{63B3BB69-23CF-44E3-9099-C40C66FF867C}">
                  <a14:compatExt spid="_x0000_s18685"/>
                </a:ext>
                <a:ext uri="{FF2B5EF4-FFF2-40B4-BE49-F238E27FC236}">
                  <a16:creationId xmlns:a16="http://schemas.microsoft.com/office/drawing/2014/main" id="{00000000-0008-0000-0100-0000F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132</xdr:row>
          <xdr:rowOff>47625</xdr:rowOff>
        </xdr:from>
        <xdr:to>
          <xdr:col>13</xdr:col>
          <xdr:colOff>685800</xdr:colOff>
          <xdr:row>134</xdr:row>
          <xdr:rowOff>0</xdr:rowOff>
        </xdr:to>
        <xdr:sp macro="" textlink="">
          <xdr:nvSpPr>
            <xdr:cNvPr id="18686" name="ChangeMember1_32" hidden="1">
              <a:extLst>
                <a:ext uri="{63B3BB69-23CF-44E3-9099-C40C66FF867C}">
                  <a14:compatExt spid="_x0000_s18686"/>
                </a:ext>
                <a:ext uri="{FF2B5EF4-FFF2-40B4-BE49-F238E27FC236}">
                  <a16:creationId xmlns:a16="http://schemas.microsoft.com/office/drawing/2014/main" id="{00000000-0008-0000-0100-0000F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132</xdr:row>
          <xdr:rowOff>47625</xdr:rowOff>
        </xdr:from>
        <xdr:to>
          <xdr:col>14</xdr:col>
          <xdr:colOff>685800</xdr:colOff>
          <xdr:row>134</xdr:row>
          <xdr:rowOff>0</xdr:rowOff>
        </xdr:to>
        <xdr:sp macro="" textlink="">
          <xdr:nvSpPr>
            <xdr:cNvPr id="18687" name="UpMember1_32" hidden="1">
              <a:extLst>
                <a:ext uri="{63B3BB69-23CF-44E3-9099-C40C66FF867C}">
                  <a14:compatExt spid="_x0000_s18687"/>
                </a:ext>
                <a:ext uri="{FF2B5EF4-FFF2-40B4-BE49-F238E27FC236}">
                  <a16:creationId xmlns:a16="http://schemas.microsoft.com/office/drawing/2014/main" id="{00000000-0008-0000-0100-0000F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132</xdr:row>
          <xdr:rowOff>47625</xdr:rowOff>
        </xdr:from>
        <xdr:to>
          <xdr:col>15</xdr:col>
          <xdr:colOff>676275</xdr:colOff>
          <xdr:row>134</xdr:row>
          <xdr:rowOff>0</xdr:rowOff>
        </xdr:to>
        <xdr:sp macro="" textlink="">
          <xdr:nvSpPr>
            <xdr:cNvPr id="18688" name="DownMember1_32" hidden="1">
              <a:extLst>
                <a:ext uri="{63B3BB69-23CF-44E3-9099-C40C66FF867C}">
                  <a14:compatExt spid="_x0000_s18688"/>
                </a:ext>
                <a:ext uri="{FF2B5EF4-FFF2-40B4-BE49-F238E27FC236}">
                  <a16:creationId xmlns:a16="http://schemas.microsoft.com/office/drawing/2014/main" id="{00000000-0008-0000-0100-000000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136</xdr:row>
          <xdr:rowOff>0</xdr:rowOff>
        </xdr:from>
        <xdr:to>
          <xdr:col>12</xdr:col>
          <xdr:colOff>676275</xdr:colOff>
          <xdr:row>137</xdr:row>
          <xdr:rowOff>0</xdr:rowOff>
        </xdr:to>
        <xdr:sp macro="" textlink="">
          <xdr:nvSpPr>
            <xdr:cNvPr id="18690" name="AddedMember1_33" hidden="1">
              <a:extLst>
                <a:ext uri="{63B3BB69-23CF-44E3-9099-C40C66FF867C}">
                  <a14:compatExt spid="_x0000_s18690"/>
                </a:ext>
                <a:ext uri="{FF2B5EF4-FFF2-40B4-BE49-F238E27FC236}">
                  <a16:creationId xmlns:a16="http://schemas.microsoft.com/office/drawing/2014/main" id="{00000000-0008-0000-0100-000002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136</xdr:row>
          <xdr:rowOff>0</xdr:rowOff>
        </xdr:from>
        <xdr:to>
          <xdr:col>13</xdr:col>
          <xdr:colOff>685800</xdr:colOff>
          <xdr:row>137</xdr:row>
          <xdr:rowOff>0</xdr:rowOff>
        </xdr:to>
        <xdr:sp macro="" textlink="">
          <xdr:nvSpPr>
            <xdr:cNvPr id="18691" name="ChangeMember1_33" hidden="1">
              <a:extLst>
                <a:ext uri="{63B3BB69-23CF-44E3-9099-C40C66FF867C}">
                  <a14:compatExt spid="_x0000_s18691"/>
                </a:ext>
                <a:ext uri="{FF2B5EF4-FFF2-40B4-BE49-F238E27FC236}">
                  <a16:creationId xmlns:a16="http://schemas.microsoft.com/office/drawing/2014/main" id="{00000000-0008-0000-0100-000003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685800</xdr:colOff>
          <xdr:row>137</xdr:row>
          <xdr:rowOff>0</xdr:rowOff>
        </xdr:to>
        <xdr:sp macro="" textlink="">
          <xdr:nvSpPr>
            <xdr:cNvPr id="18692" name="UpMember1_33" hidden="1">
              <a:extLst>
                <a:ext uri="{63B3BB69-23CF-44E3-9099-C40C66FF867C}">
                  <a14:compatExt spid="_x0000_s18692"/>
                </a:ext>
                <a:ext uri="{FF2B5EF4-FFF2-40B4-BE49-F238E27FC236}">
                  <a16:creationId xmlns:a16="http://schemas.microsoft.com/office/drawing/2014/main" id="{00000000-0008-0000-0100-000004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136</xdr:row>
          <xdr:rowOff>0</xdr:rowOff>
        </xdr:from>
        <xdr:to>
          <xdr:col>15</xdr:col>
          <xdr:colOff>676275</xdr:colOff>
          <xdr:row>137</xdr:row>
          <xdr:rowOff>0</xdr:rowOff>
        </xdr:to>
        <xdr:sp macro="" textlink="">
          <xdr:nvSpPr>
            <xdr:cNvPr id="18693" name="DownMember1_33" hidden="1">
              <a:extLst>
                <a:ext uri="{63B3BB69-23CF-44E3-9099-C40C66FF867C}">
                  <a14:compatExt spid="_x0000_s18693"/>
                </a:ext>
                <a:ext uri="{FF2B5EF4-FFF2-40B4-BE49-F238E27FC236}">
                  <a16:creationId xmlns:a16="http://schemas.microsoft.com/office/drawing/2014/main" id="{00000000-0008-0000-0100-000005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139</xdr:row>
          <xdr:rowOff>0</xdr:rowOff>
        </xdr:from>
        <xdr:to>
          <xdr:col>12</xdr:col>
          <xdr:colOff>676275</xdr:colOff>
          <xdr:row>140</xdr:row>
          <xdr:rowOff>0</xdr:rowOff>
        </xdr:to>
        <xdr:sp macro="" textlink="">
          <xdr:nvSpPr>
            <xdr:cNvPr id="18695" name="AddedMember1_34" hidden="1">
              <a:extLst>
                <a:ext uri="{63B3BB69-23CF-44E3-9099-C40C66FF867C}">
                  <a14:compatExt spid="_x0000_s18695"/>
                </a:ext>
                <a:ext uri="{FF2B5EF4-FFF2-40B4-BE49-F238E27FC236}">
                  <a16:creationId xmlns:a16="http://schemas.microsoft.com/office/drawing/2014/main" id="{00000000-0008-0000-0100-000007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139</xdr:row>
          <xdr:rowOff>0</xdr:rowOff>
        </xdr:from>
        <xdr:to>
          <xdr:col>13</xdr:col>
          <xdr:colOff>685800</xdr:colOff>
          <xdr:row>140</xdr:row>
          <xdr:rowOff>0</xdr:rowOff>
        </xdr:to>
        <xdr:sp macro="" textlink="">
          <xdr:nvSpPr>
            <xdr:cNvPr id="18696" name="ChangeMember1_34" hidden="1">
              <a:extLst>
                <a:ext uri="{63B3BB69-23CF-44E3-9099-C40C66FF867C}">
                  <a14:compatExt spid="_x0000_s18696"/>
                </a:ext>
                <a:ext uri="{FF2B5EF4-FFF2-40B4-BE49-F238E27FC236}">
                  <a16:creationId xmlns:a16="http://schemas.microsoft.com/office/drawing/2014/main" id="{00000000-0008-0000-0100-000008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139</xdr:row>
          <xdr:rowOff>0</xdr:rowOff>
        </xdr:from>
        <xdr:to>
          <xdr:col>14</xdr:col>
          <xdr:colOff>685800</xdr:colOff>
          <xdr:row>140</xdr:row>
          <xdr:rowOff>0</xdr:rowOff>
        </xdr:to>
        <xdr:sp macro="" textlink="">
          <xdr:nvSpPr>
            <xdr:cNvPr id="18697" name="UpMember1_34" hidden="1">
              <a:extLst>
                <a:ext uri="{63B3BB69-23CF-44E3-9099-C40C66FF867C}">
                  <a14:compatExt spid="_x0000_s18697"/>
                </a:ext>
                <a:ext uri="{FF2B5EF4-FFF2-40B4-BE49-F238E27FC236}">
                  <a16:creationId xmlns:a16="http://schemas.microsoft.com/office/drawing/2014/main" id="{00000000-0008-0000-0100-000009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139</xdr:row>
          <xdr:rowOff>0</xdr:rowOff>
        </xdr:from>
        <xdr:to>
          <xdr:col>15</xdr:col>
          <xdr:colOff>676275</xdr:colOff>
          <xdr:row>140</xdr:row>
          <xdr:rowOff>0</xdr:rowOff>
        </xdr:to>
        <xdr:sp macro="" textlink="">
          <xdr:nvSpPr>
            <xdr:cNvPr id="18698" name="DownMember1_34" hidden="1">
              <a:extLst>
                <a:ext uri="{63B3BB69-23CF-44E3-9099-C40C66FF867C}">
                  <a14:compatExt spid="_x0000_s18698"/>
                </a:ext>
                <a:ext uri="{FF2B5EF4-FFF2-40B4-BE49-F238E27FC236}">
                  <a16:creationId xmlns:a16="http://schemas.microsoft.com/office/drawing/2014/main" id="{00000000-0008-0000-0100-00000A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141</xdr:row>
          <xdr:rowOff>47625</xdr:rowOff>
        </xdr:from>
        <xdr:to>
          <xdr:col>12</xdr:col>
          <xdr:colOff>676275</xdr:colOff>
          <xdr:row>142</xdr:row>
          <xdr:rowOff>190500</xdr:rowOff>
        </xdr:to>
        <xdr:sp macro="" textlink="">
          <xdr:nvSpPr>
            <xdr:cNvPr id="18700" name="AddedMember1_35" hidden="1">
              <a:extLst>
                <a:ext uri="{63B3BB69-23CF-44E3-9099-C40C66FF867C}">
                  <a14:compatExt spid="_x0000_s18700"/>
                </a:ext>
                <a:ext uri="{FF2B5EF4-FFF2-40B4-BE49-F238E27FC236}">
                  <a16:creationId xmlns:a16="http://schemas.microsoft.com/office/drawing/2014/main" id="{00000000-0008-0000-0100-00000C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141</xdr:row>
          <xdr:rowOff>47625</xdr:rowOff>
        </xdr:from>
        <xdr:to>
          <xdr:col>13</xdr:col>
          <xdr:colOff>685800</xdr:colOff>
          <xdr:row>142</xdr:row>
          <xdr:rowOff>190500</xdr:rowOff>
        </xdr:to>
        <xdr:sp macro="" textlink="">
          <xdr:nvSpPr>
            <xdr:cNvPr id="18701" name="ChangeMember1_35" hidden="1">
              <a:extLst>
                <a:ext uri="{63B3BB69-23CF-44E3-9099-C40C66FF867C}">
                  <a14:compatExt spid="_x0000_s18701"/>
                </a:ext>
                <a:ext uri="{FF2B5EF4-FFF2-40B4-BE49-F238E27FC236}">
                  <a16:creationId xmlns:a16="http://schemas.microsoft.com/office/drawing/2014/main" id="{00000000-0008-0000-0100-00000D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47625</xdr:rowOff>
        </xdr:from>
        <xdr:to>
          <xdr:col>14</xdr:col>
          <xdr:colOff>685800</xdr:colOff>
          <xdr:row>142</xdr:row>
          <xdr:rowOff>190500</xdr:rowOff>
        </xdr:to>
        <xdr:sp macro="" textlink="">
          <xdr:nvSpPr>
            <xdr:cNvPr id="18702" name="UpMember1_35" hidden="1">
              <a:extLst>
                <a:ext uri="{63B3BB69-23CF-44E3-9099-C40C66FF867C}">
                  <a14:compatExt spid="_x0000_s18702"/>
                </a:ext>
                <a:ext uri="{FF2B5EF4-FFF2-40B4-BE49-F238E27FC236}">
                  <a16:creationId xmlns:a16="http://schemas.microsoft.com/office/drawing/2014/main" id="{00000000-0008-0000-0100-00000E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141</xdr:row>
          <xdr:rowOff>47625</xdr:rowOff>
        </xdr:from>
        <xdr:to>
          <xdr:col>15</xdr:col>
          <xdr:colOff>676275</xdr:colOff>
          <xdr:row>142</xdr:row>
          <xdr:rowOff>190500</xdr:rowOff>
        </xdr:to>
        <xdr:sp macro="" textlink="">
          <xdr:nvSpPr>
            <xdr:cNvPr id="18703" name="DownMember1_35" hidden="1">
              <a:extLst>
                <a:ext uri="{63B3BB69-23CF-44E3-9099-C40C66FF867C}">
                  <a14:compatExt spid="_x0000_s18703"/>
                </a:ext>
                <a:ext uri="{FF2B5EF4-FFF2-40B4-BE49-F238E27FC236}">
                  <a16:creationId xmlns:a16="http://schemas.microsoft.com/office/drawing/2014/main" id="{00000000-0008-0000-0100-00000F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144</xdr:row>
          <xdr:rowOff>47625</xdr:rowOff>
        </xdr:from>
        <xdr:to>
          <xdr:col>12</xdr:col>
          <xdr:colOff>676275</xdr:colOff>
          <xdr:row>146</xdr:row>
          <xdr:rowOff>0</xdr:rowOff>
        </xdr:to>
        <xdr:sp macro="" textlink="">
          <xdr:nvSpPr>
            <xdr:cNvPr id="18705" name="AddedMember1_36" hidden="1">
              <a:extLst>
                <a:ext uri="{63B3BB69-23CF-44E3-9099-C40C66FF867C}">
                  <a14:compatExt spid="_x0000_s18705"/>
                </a:ext>
                <a:ext uri="{FF2B5EF4-FFF2-40B4-BE49-F238E27FC236}">
                  <a16:creationId xmlns:a16="http://schemas.microsoft.com/office/drawing/2014/main" id="{00000000-0008-0000-0100-000011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144</xdr:row>
          <xdr:rowOff>47625</xdr:rowOff>
        </xdr:from>
        <xdr:to>
          <xdr:col>13</xdr:col>
          <xdr:colOff>685800</xdr:colOff>
          <xdr:row>146</xdr:row>
          <xdr:rowOff>0</xdr:rowOff>
        </xdr:to>
        <xdr:sp macro="" textlink="">
          <xdr:nvSpPr>
            <xdr:cNvPr id="18706" name="ChangeMember1_36" hidden="1">
              <a:extLst>
                <a:ext uri="{63B3BB69-23CF-44E3-9099-C40C66FF867C}">
                  <a14:compatExt spid="_x0000_s18706"/>
                </a:ext>
                <a:ext uri="{FF2B5EF4-FFF2-40B4-BE49-F238E27FC236}">
                  <a16:creationId xmlns:a16="http://schemas.microsoft.com/office/drawing/2014/main" id="{00000000-0008-0000-0100-000012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144</xdr:row>
          <xdr:rowOff>47625</xdr:rowOff>
        </xdr:from>
        <xdr:to>
          <xdr:col>14</xdr:col>
          <xdr:colOff>685800</xdr:colOff>
          <xdr:row>146</xdr:row>
          <xdr:rowOff>0</xdr:rowOff>
        </xdr:to>
        <xdr:sp macro="" textlink="">
          <xdr:nvSpPr>
            <xdr:cNvPr id="18707" name="UpMember1_36" hidden="1">
              <a:extLst>
                <a:ext uri="{63B3BB69-23CF-44E3-9099-C40C66FF867C}">
                  <a14:compatExt spid="_x0000_s18707"/>
                </a:ext>
                <a:ext uri="{FF2B5EF4-FFF2-40B4-BE49-F238E27FC236}">
                  <a16:creationId xmlns:a16="http://schemas.microsoft.com/office/drawing/2014/main" id="{00000000-0008-0000-0100-000013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144</xdr:row>
          <xdr:rowOff>47625</xdr:rowOff>
        </xdr:from>
        <xdr:to>
          <xdr:col>15</xdr:col>
          <xdr:colOff>676275</xdr:colOff>
          <xdr:row>146</xdr:row>
          <xdr:rowOff>0</xdr:rowOff>
        </xdr:to>
        <xdr:sp macro="" textlink="">
          <xdr:nvSpPr>
            <xdr:cNvPr id="18708" name="DownMember1_36" hidden="1">
              <a:extLst>
                <a:ext uri="{63B3BB69-23CF-44E3-9099-C40C66FF867C}">
                  <a14:compatExt spid="_x0000_s18708"/>
                </a:ext>
                <a:ext uri="{FF2B5EF4-FFF2-40B4-BE49-F238E27FC236}">
                  <a16:creationId xmlns:a16="http://schemas.microsoft.com/office/drawing/2014/main" id="{00000000-0008-0000-0100-000014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148</xdr:row>
          <xdr:rowOff>0</xdr:rowOff>
        </xdr:from>
        <xdr:to>
          <xdr:col>12</xdr:col>
          <xdr:colOff>676275</xdr:colOff>
          <xdr:row>149</xdr:row>
          <xdr:rowOff>0</xdr:rowOff>
        </xdr:to>
        <xdr:sp macro="" textlink="">
          <xdr:nvSpPr>
            <xdr:cNvPr id="18710" name="AddedMember1_37" hidden="1">
              <a:extLst>
                <a:ext uri="{63B3BB69-23CF-44E3-9099-C40C66FF867C}">
                  <a14:compatExt spid="_x0000_s18710"/>
                </a:ext>
                <a:ext uri="{FF2B5EF4-FFF2-40B4-BE49-F238E27FC236}">
                  <a16:creationId xmlns:a16="http://schemas.microsoft.com/office/drawing/2014/main" id="{00000000-0008-0000-0100-000016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148</xdr:row>
          <xdr:rowOff>0</xdr:rowOff>
        </xdr:from>
        <xdr:to>
          <xdr:col>13</xdr:col>
          <xdr:colOff>685800</xdr:colOff>
          <xdr:row>149</xdr:row>
          <xdr:rowOff>0</xdr:rowOff>
        </xdr:to>
        <xdr:sp macro="" textlink="">
          <xdr:nvSpPr>
            <xdr:cNvPr id="18711" name="ChangeMember1_37" hidden="1">
              <a:extLst>
                <a:ext uri="{63B3BB69-23CF-44E3-9099-C40C66FF867C}">
                  <a14:compatExt spid="_x0000_s18711"/>
                </a:ext>
                <a:ext uri="{FF2B5EF4-FFF2-40B4-BE49-F238E27FC236}">
                  <a16:creationId xmlns:a16="http://schemas.microsoft.com/office/drawing/2014/main" id="{00000000-0008-0000-0100-000017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148</xdr:row>
          <xdr:rowOff>0</xdr:rowOff>
        </xdr:from>
        <xdr:to>
          <xdr:col>14</xdr:col>
          <xdr:colOff>685800</xdr:colOff>
          <xdr:row>149</xdr:row>
          <xdr:rowOff>0</xdr:rowOff>
        </xdr:to>
        <xdr:sp macro="" textlink="">
          <xdr:nvSpPr>
            <xdr:cNvPr id="18712" name="UpMember1_37" hidden="1">
              <a:extLst>
                <a:ext uri="{63B3BB69-23CF-44E3-9099-C40C66FF867C}">
                  <a14:compatExt spid="_x0000_s18712"/>
                </a:ext>
                <a:ext uri="{FF2B5EF4-FFF2-40B4-BE49-F238E27FC236}">
                  <a16:creationId xmlns:a16="http://schemas.microsoft.com/office/drawing/2014/main" id="{00000000-0008-0000-0100-000018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148</xdr:row>
          <xdr:rowOff>0</xdr:rowOff>
        </xdr:from>
        <xdr:to>
          <xdr:col>15</xdr:col>
          <xdr:colOff>676275</xdr:colOff>
          <xdr:row>149</xdr:row>
          <xdr:rowOff>0</xdr:rowOff>
        </xdr:to>
        <xdr:sp macro="" textlink="">
          <xdr:nvSpPr>
            <xdr:cNvPr id="18713" name="DownMember1_37" hidden="1">
              <a:extLst>
                <a:ext uri="{63B3BB69-23CF-44E3-9099-C40C66FF867C}">
                  <a14:compatExt spid="_x0000_s18713"/>
                </a:ext>
                <a:ext uri="{FF2B5EF4-FFF2-40B4-BE49-F238E27FC236}">
                  <a16:creationId xmlns:a16="http://schemas.microsoft.com/office/drawing/2014/main" id="{00000000-0008-0000-0100-000019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151</xdr:row>
          <xdr:rowOff>0</xdr:rowOff>
        </xdr:from>
        <xdr:to>
          <xdr:col>12</xdr:col>
          <xdr:colOff>676275</xdr:colOff>
          <xdr:row>152</xdr:row>
          <xdr:rowOff>0</xdr:rowOff>
        </xdr:to>
        <xdr:sp macro="" textlink="">
          <xdr:nvSpPr>
            <xdr:cNvPr id="18715" name="AddedMember1_38" hidden="1">
              <a:extLst>
                <a:ext uri="{63B3BB69-23CF-44E3-9099-C40C66FF867C}">
                  <a14:compatExt spid="_x0000_s18715"/>
                </a:ext>
                <a:ext uri="{FF2B5EF4-FFF2-40B4-BE49-F238E27FC236}">
                  <a16:creationId xmlns:a16="http://schemas.microsoft.com/office/drawing/2014/main" id="{00000000-0008-0000-0100-00001B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151</xdr:row>
          <xdr:rowOff>0</xdr:rowOff>
        </xdr:from>
        <xdr:to>
          <xdr:col>13</xdr:col>
          <xdr:colOff>685800</xdr:colOff>
          <xdr:row>152</xdr:row>
          <xdr:rowOff>0</xdr:rowOff>
        </xdr:to>
        <xdr:sp macro="" textlink="">
          <xdr:nvSpPr>
            <xdr:cNvPr id="18716" name="ChangeMember1_38" hidden="1">
              <a:extLst>
                <a:ext uri="{63B3BB69-23CF-44E3-9099-C40C66FF867C}">
                  <a14:compatExt spid="_x0000_s18716"/>
                </a:ext>
                <a:ext uri="{FF2B5EF4-FFF2-40B4-BE49-F238E27FC236}">
                  <a16:creationId xmlns:a16="http://schemas.microsoft.com/office/drawing/2014/main" id="{00000000-0008-0000-0100-00001C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151</xdr:row>
          <xdr:rowOff>0</xdr:rowOff>
        </xdr:from>
        <xdr:to>
          <xdr:col>14</xdr:col>
          <xdr:colOff>685800</xdr:colOff>
          <xdr:row>152</xdr:row>
          <xdr:rowOff>0</xdr:rowOff>
        </xdr:to>
        <xdr:sp macro="" textlink="">
          <xdr:nvSpPr>
            <xdr:cNvPr id="18717" name="UpMember1_38" hidden="1">
              <a:extLst>
                <a:ext uri="{63B3BB69-23CF-44E3-9099-C40C66FF867C}">
                  <a14:compatExt spid="_x0000_s18717"/>
                </a:ext>
                <a:ext uri="{FF2B5EF4-FFF2-40B4-BE49-F238E27FC236}">
                  <a16:creationId xmlns:a16="http://schemas.microsoft.com/office/drawing/2014/main" id="{00000000-0008-0000-0100-00001D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151</xdr:row>
          <xdr:rowOff>0</xdr:rowOff>
        </xdr:from>
        <xdr:to>
          <xdr:col>15</xdr:col>
          <xdr:colOff>676275</xdr:colOff>
          <xdr:row>152</xdr:row>
          <xdr:rowOff>0</xdr:rowOff>
        </xdr:to>
        <xdr:sp macro="" textlink="">
          <xdr:nvSpPr>
            <xdr:cNvPr id="18718" name="DownMember1_38" hidden="1">
              <a:extLst>
                <a:ext uri="{63B3BB69-23CF-44E3-9099-C40C66FF867C}">
                  <a14:compatExt spid="_x0000_s18718"/>
                </a:ext>
                <a:ext uri="{FF2B5EF4-FFF2-40B4-BE49-F238E27FC236}">
                  <a16:creationId xmlns:a16="http://schemas.microsoft.com/office/drawing/2014/main" id="{00000000-0008-0000-0100-00001E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154</xdr:row>
          <xdr:rowOff>0</xdr:rowOff>
        </xdr:from>
        <xdr:to>
          <xdr:col>12</xdr:col>
          <xdr:colOff>676275</xdr:colOff>
          <xdr:row>155</xdr:row>
          <xdr:rowOff>9525</xdr:rowOff>
        </xdr:to>
        <xdr:sp macro="" textlink="">
          <xdr:nvSpPr>
            <xdr:cNvPr id="18720" name="AddedMember1_39" hidden="1">
              <a:extLst>
                <a:ext uri="{63B3BB69-23CF-44E3-9099-C40C66FF867C}">
                  <a14:compatExt spid="_x0000_s18720"/>
                </a:ext>
                <a:ext uri="{FF2B5EF4-FFF2-40B4-BE49-F238E27FC236}">
                  <a16:creationId xmlns:a16="http://schemas.microsoft.com/office/drawing/2014/main" id="{00000000-0008-0000-0100-000020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154</xdr:row>
          <xdr:rowOff>0</xdr:rowOff>
        </xdr:from>
        <xdr:to>
          <xdr:col>13</xdr:col>
          <xdr:colOff>685800</xdr:colOff>
          <xdr:row>155</xdr:row>
          <xdr:rowOff>9525</xdr:rowOff>
        </xdr:to>
        <xdr:sp macro="" textlink="">
          <xdr:nvSpPr>
            <xdr:cNvPr id="18721" name="ChangeMember1_39" hidden="1">
              <a:extLst>
                <a:ext uri="{63B3BB69-23CF-44E3-9099-C40C66FF867C}">
                  <a14:compatExt spid="_x0000_s18721"/>
                </a:ext>
                <a:ext uri="{FF2B5EF4-FFF2-40B4-BE49-F238E27FC236}">
                  <a16:creationId xmlns:a16="http://schemas.microsoft.com/office/drawing/2014/main" id="{00000000-0008-0000-0100-000021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154</xdr:row>
          <xdr:rowOff>0</xdr:rowOff>
        </xdr:from>
        <xdr:to>
          <xdr:col>14</xdr:col>
          <xdr:colOff>685800</xdr:colOff>
          <xdr:row>155</xdr:row>
          <xdr:rowOff>9525</xdr:rowOff>
        </xdr:to>
        <xdr:sp macro="" textlink="">
          <xdr:nvSpPr>
            <xdr:cNvPr id="18722" name="UpMember1_39" hidden="1">
              <a:extLst>
                <a:ext uri="{63B3BB69-23CF-44E3-9099-C40C66FF867C}">
                  <a14:compatExt spid="_x0000_s18722"/>
                </a:ext>
                <a:ext uri="{FF2B5EF4-FFF2-40B4-BE49-F238E27FC236}">
                  <a16:creationId xmlns:a16="http://schemas.microsoft.com/office/drawing/2014/main" id="{00000000-0008-0000-0100-000022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154</xdr:row>
          <xdr:rowOff>0</xdr:rowOff>
        </xdr:from>
        <xdr:to>
          <xdr:col>15</xdr:col>
          <xdr:colOff>676275</xdr:colOff>
          <xdr:row>155</xdr:row>
          <xdr:rowOff>9525</xdr:rowOff>
        </xdr:to>
        <xdr:sp macro="" textlink="">
          <xdr:nvSpPr>
            <xdr:cNvPr id="18723" name="DownMember1_39" hidden="1">
              <a:extLst>
                <a:ext uri="{63B3BB69-23CF-44E3-9099-C40C66FF867C}">
                  <a14:compatExt spid="_x0000_s18723"/>
                </a:ext>
                <a:ext uri="{FF2B5EF4-FFF2-40B4-BE49-F238E27FC236}">
                  <a16:creationId xmlns:a16="http://schemas.microsoft.com/office/drawing/2014/main" id="{00000000-0008-0000-0100-000023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156</xdr:row>
          <xdr:rowOff>47625</xdr:rowOff>
        </xdr:from>
        <xdr:to>
          <xdr:col>12</xdr:col>
          <xdr:colOff>676275</xdr:colOff>
          <xdr:row>158</xdr:row>
          <xdr:rowOff>0</xdr:rowOff>
        </xdr:to>
        <xdr:sp macro="" textlink="">
          <xdr:nvSpPr>
            <xdr:cNvPr id="18725" name="AddedMember1_40" hidden="1">
              <a:extLst>
                <a:ext uri="{63B3BB69-23CF-44E3-9099-C40C66FF867C}">
                  <a14:compatExt spid="_x0000_s18725"/>
                </a:ext>
                <a:ext uri="{FF2B5EF4-FFF2-40B4-BE49-F238E27FC236}">
                  <a16:creationId xmlns:a16="http://schemas.microsoft.com/office/drawing/2014/main" id="{00000000-0008-0000-0100-000025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156</xdr:row>
          <xdr:rowOff>47625</xdr:rowOff>
        </xdr:from>
        <xdr:to>
          <xdr:col>13</xdr:col>
          <xdr:colOff>685800</xdr:colOff>
          <xdr:row>158</xdr:row>
          <xdr:rowOff>0</xdr:rowOff>
        </xdr:to>
        <xdr:sp macro="" textlink="">
          <xdr:nvSpPr>
            <xdr:cNvPr id="18726" name="ChangeMember1_40" hidden="1">
              <a:extLst>
                <a:ext uri="{63B3BB69-23CF-44E3-9099-C40C66FF867C}">
                  <a14:compatExt spid="_x0000_s18726"/>
                </a:ext>
                <a:ext uri="{FF2B5EF4-FFF2-40B4-BE49-F238E27FC236}">
                  <a16:creationId xmlns:a16="http://schemas.microsoft.com/office/drawing/2014/main" id="{00000000-0008-0000-0100-000026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156</xdr:row>
          <xdr:rowOff>47625</xdr:rowOff>
        </xdr:from>
        <xdr:to>
          <xdr:col>14</xdr:col>
          <xdr:colOff>685800</xdr:colOff>
          <xdr:row>158</xdr:row>
          <xdr:rowOff>0</xdr:rowOff>
        </xdr:to>
        <xdr:sp macro="" textlink="">
          <xdr:nvSpPr>
            <xdr:cNvPr id="18727" name="UpMember1_40" hidden="1">
              <a:extLst>
                <a:ext uri="{63B3BB69-23CF-44E3-9099-C40C66FF867C}">
                  <a14:compatExt spid="_x0000_s18727"/>
                </a:ext>
                <a:ext uri="{FF2B5EF4-FFF2-40B4-BE49-F238E27FC236}">
                  <a16:creationId xmlns:a16="http://schemas.microsoft.com/office/drawing/2014/main" id="{00000000-0008-0000-0100-000027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156</xdr:row>
          <xdr:rowOff>47625</xdr:rowOff>
        </xdr:from>
        <xdr:to>
          <xdr:col>15</xdr:col>
          <xdr:colOff>676275</xdr:colOff>
          <xdr:row>158</xdr:row>
          <xdr:rowOff>0</xdr:rowOff>
        </xdr:to>
        <xdr:sp macro="" textlink="">
          <xdr:nvSpPr>
            <xdr:cNvPr id="18728" name="DownMember1_40" hidden="1">
              <a:extLst>
                <a:ext uri="{63B3BB69-23CF-44E3-9099-C40C66FF867C}">
                  <a14:compatExt spid="_x0000_s18728"/>
                </a:ext>
                <a:ext uri="{FF2B5EF4-FFF2-40B4-BE49-F238E27FC236}">
                  <a16:creationId xmlns:a16="http://schemas.microsoft.com/office/drawing/2014/main" id="{00000000-0008-0000-0100-000028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160</xdr:row>
          <xdr:rowOff>0</xdr:rowOff>
        </xdr:from>
        <xdr:to>
          <xdr:col>12</xdr:col>
          <xdr:colOff>676275</xdr:colOff>
          <xdr:row>161</xdr:row>
          <xdr:rowOff>0</xdr:rowOff>
        </xdr:to>
        <xdr:sp macro="" textlink="">
          <xdr:nvSpPr>
            <xdr:cNvPr id="18730" name="AddedMember1_41" hidden="1">
              <a:extLst>
                <a:ext uri="{63B3BB69-23CF-44E3-9099-C40C66FF867C}">
                  <a14:compatExt spid="_x0000_s18730"/>
                </a:ext>
                <a:ext uri="{FF2B5EF4-FFF2-40B4-BE49-F238E27FC236}">
                  <a16:creationId xmlns:a16="http://schemas.microsoft.com/office/drawing/2014/main" id="{00000000-0008-0000-0100-00002A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160</xdr:row>
          <xdr:rowOff>0</xdr:rowOff>
        </xdr:from>
        <xdr:to>
          <xdr:col>13</xdr:col>
          <xdr:colOff>685800</xdr:colOff>
          <xdr:row>161</xdr:row>
          <xdr:rowOff>0</xdr:rowOff>
        </xdr:to>
        <xdr:sp macro="" textlink="">
          <xdr:nvSpPr>
            <xdr:cNvPr id="18731" name="ChangeMember1_41" hidden="1">
              <a:extLst>
                <a:ext uri="{63B3BB69-23CF-44E3-9099-C40C66FF867C}">
                  <a14:compatExt spid="_x0000_s18731"/>
                </a:ext>
                <a:ext uri="{FF2B5EF4-FFF2-40B4-BE49-F238E27FC236}">
                  <a16:creationId xmlns:a16="http://schemas.microsoft.com/office/drawing/2014/main" id="{00000000-0008-0000-0100-00002B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160</xdr:row>
          <xdr:rowOff>0</xdr:rowOff>
        </xdr:from>
        <xdr:to>
          <xdr:col>14</xdr:col>
          <xdr:colOff>685800</xdr:colOff>
          <xdr:row>161</xdr:row>
          <xdr:rowOff>0</xdr:rowOff>
        </xdr:to>
        <xdr:sp macro="" textlink="">
          <xdr:nvSpPr>
            <xdr:cNvPr id="18732" name="UpMember1_41" hidden="1">
              <a:extLst>
                <a:ext uri="{63B3BB69-23CF-44E3-9099-C40C66FF867C}">
                  <a14:compatExt spid="_x0000_s18732"/>
                </a:ext>
                <a:ext uri="{FF2B5EF4-FFF2-40B4-BE49-F238E27FC236}">
                  <a16:creationId xmlns:a16="http://schemas.microsoft.com/office/drawing/2014/main" id="{00000000-0008-0000-0100-00002C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160</xdr:row>
          <xdr:rowOff>0</xdr:rowOff>
        </xdr:from>
        <xdr:to>
          <xdr:col>15</xdr:col>
          <xdr:colOff>676275</xdr:colOff>
          <xdr:row>161</xdr:row>
          <xdr:rowOff>0</xdr:rowOff>
        </xdr:to>
        <xdr:sp macro="" textlink="">
          <xdr:nvSpPr>
            <xdr:cNvPr id="18733" name="DownMember1_41" hidden="1">
              <a:extLst>
                <a:ext uri="{63B3BB69-23CF-44E3-9099-C40C66FF867C}">
                  <a14:compatExt spid="_x0000_s18733"/>
                </a:ext>
                <a:ext uri="{FF2B5EF4-FFF2-40B4-BE49-F238E27FC236}">
                  <a16:creationId xmlns:a16="http://schemas.microsoft.com/office/drawing/2014/main" id="{00000000-0008-0000-0100-00002D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163</xdr:row>
          <xdr:rowOff>0</xdr:rowOff>
        </xdr:from>
        <xdr:to>
          <xdr:col>12</xdr:col>
          <xdr:colOff>676275</xdr:colOff>
          <xdr:row>164</xdr:row>
          <xdr:rowOff>0</xdr:rowOff>
        </xdr:to>
        <xdr:sp macro="" textlink="">
          <xdr:nvSpPr>
            <xdr:cNvPr id="18735" name="AddedMember1_42" hidden="1">
              <a:extLst>
                <a:ext uri="{63B3BB69-23CF-44E3-9099-C40C66FF867C}">
                  <a14:compatExt spid="_x0000_s18735"/>
                </a:ext>
                <a:ext uri="{FF2B5EF4-FFF2-40B4-BE49-F238E27FC236}">
                  <a16:creationId xmlns:a16="http://schemas.microsoft.com/office/drawing/2014/main" id="{00000000-0008-0000-0100-00002F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163</xdr:row>
          <xdr:rowOff>0</xdr:rowOff>
        </xdr:from>
        <xdr:to>
          <xdr:col>13</xdr:col>
          <xdr:colOff>685800</xdr:colOff>
          <xdr:row>164</xdr:row>
          <xdr:rowOff>0</xdr:rowOff>
        </xdr:to>
        <xdr:sp macro="" textlink="">
          <xdr:nvSpPr>
            <xdr:cNvPr id="18736" name="ChangeMember1_42" hidden="1">
              <a:extLst>
                <a:ext uri="{63B3BB69-23CF-44E3-9099-C40C66FF867C}">
                  <a14:compatExt spid="_x0000_s18736"/>
                </a:ext>
                <a:ext uri="{FF2B5EF4-FFF2-40B4-BE49-F238E27FC236}">
                  <a16:creationId xmlns:a16="http://schemas.microsoft.com/office/drawing/2014/main" id="{00000000-0008-0000-0100-000030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163</xdr:row>
          <xdr:rowOff>0</xdr:rowOff>
        </xdr:from>
        <xdr:to>
          <xdr:col>14</xdr:col>
          <xdr:colOff>685800</xdr:colOff>
          <xdr:row>164</xdr:row>
          <xdr:rowOff>0</xdr:rowOff>
        </xdr:to>
        <xdr:sp macro="" textlink="">
          <xdr:nvSpPr>
            <xdr:cNvPr id="18737" name="UpMember1_42" hidden="1">
              <a:extLst>
                <a:ext uri="{63B3BB69-23CF-44E3-9099-C40C66FF867C}">
                  <a14:compatExt spid="_x0000_s18737"/>
                </a:ext>
                <a:ext uri="{FF2B5EF4-FFF2-40B4-BE49-F238E27FC236}">
                  <a16:creationId xmlns:a16="http://schemas.microsoft.com/office/drawing/2014/main" id="{00000000-0008-0000-0100-000031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163</xdr:row>
          <xdr:rowOff>0</xdr:rowOff>
        </xdr:from>
        <xdr:to>
          <xdr:col>15</xdr:col>
          <xdr:colOff>676275</xdr:colOff>
          <xdr:row>164</xdr:row>
          <xdr:rowOff>0</xdr:rowOff>
        </xdr:to>
        <xdr:sp macro="" textlink="">
          <xdr:nvSpPr>
            <xdr:cNvPr id="18738" name="DownMember1_42" hidden="1">
              <a:extLst>
                <a:ext uri="{63B3BB69-23CF-44E3-9099-C40C66FF867C}">
                  <a14:compatExt spid="_x0000_s18738"/>
                </a:ext>
                <a:ext uri="{FF2B5EF4-FFF2-40B4-BE49-F238E27FC236}">
                  <a16:creationId xmlns:a16="http://schemas.microsoft.com/office/drawing/2014/main" id="{00000000-0008-0000-0100-000032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165</xdr:row>
          <xdr:rowOff>47625</xdr:rowOff>
        </xdr:from>
        <xdr:to>
          <xdr:col>12</xdr:col>
          <xdr:colOff>676275</xdr:colOff>
          <xdr:row>166</xdr:row>
          <xdr:rowOff>190500</xdr:rowOff>
        </xdr:to>
        <xdr:sp macro="" textlink="">
          <xdr:nvSpPr>
            <xdr:cNvPr id="18740" name="AddedMember1_43" hidden="1">
              <a:extLst>
                <a:ext uri="{63B3BB69-23CF-44E3-9099-C40C66FF867C}">
                  <a14:compatExt spid="_x0000_s18740"/>
                </a:ext>
                <a:ext uri="{FF2B5EF4-FFF2-40B4-BE49-F238E27FC236}">
                  <a16:creationId xmlns:a16="http://schemas.microsoft.com/office/drawing/2014/main" id="{00000000-0008-0000-0100-000034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165</xdr:row>
          <xdr:rowOff>47625</xdr:rowOff>
        </xdr:from>
        <xdr:to>
          <xdr:col>13</xdr:col>
          <xdr:colOff>685800</xdr:colOff>
          <xdr:row>166</xdr:row>
          <xdr:rowOff>190500</xdr:rowOff>
        </xdr:to>
        <xdr:sp macro="" textlink="">
          <xdr:nvSpPr>
            <xdr:cNvPr id="18741" name="ChangeMember1_43" hidden="1">
              <a:extLst>
                <a:ext uri="{63B3BB69-23CF-44E3-9099-C40C66FF867C}">
                  <a14:compatExt spid="_x0000_s18741"/>
                </a:ext>
                <a:ext uri="{FF2B5EF4-FFF2-40B4-BE49-F238E27FC236}">
                  <a16:creationId xmlns:a16="http://schemas.microsoft.com/office/drawing/2014/main" id="{00000000-0008-0000-0100-000035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165</xdr:row>
          <xdr:rowOff>47625</xdr:rowOff>
        </xdr:from>
        <xdr:to>
          <xdr:col>14</xdr:col>
          <xdr:colOff>685800</xdr:colOff>
          <xdr:row>166</xdr:row>
          <xdr:rowOff>190500</xdr:rowOff>
        </xdr:to>
        <xdr:sp macro="" textlink="">
          <xdr:nvSpPr>
            <xdr:cNvPr id="18742" name="UpMember1_43" hidden="1">
              <a:extLst>
                <a:ext uri="{63B3BB69-23CF-44E3-9099-C40C66FF867C}">
                  <a14:compatExt spid="_x0000_s18742"/>
                </a:ext>
                <a:ext uri="{FF2B5EF4-FFF2-40B4-BE49-F238E27FC236}">
                  <a16:creationId xmlns:a16="http://schemas.microsoft.com/office/drawing/2014/main" id="{00000000-0008-0000-0100-000036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165</xdr:row>
          <xdr:rowOff>47625</xdr:rowOff>
        </xdr:from>
        <xdr:to>
          <xdr:col>15</xdr:col>
          <xdr:colOff>676275</xdr:colOff>
          <xdr:row>166</xdr:row>
          <xdr:rowOff>190500</xdr:rowOff>
        </xdr:to>
        <xdr:sp macro="" textlink="">
          <xdr:nvSpPr>
            <xdr:cNvPr id="18743" name="DownMember1_43" hidden="1">
              <a:extLst>
                <a:ext uri="{63B3BB69-23CF-44E3-9099-C40C66FF867C}">
                  <a14:compatExt spid="_x0000_s18743"/>
                </a:ext>
                <a:ext uri="{FF2B5EF4-FFF2-40B4-BE49-F238E27FC236}">
                  <a16:creationId xmlns:a16="http://schemas.microsoft.com/office/drawing/2014/main" id="{00000000-0008-0000-0100-000037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168</xdr:row>
          <xdr:rowOff>57150</xdr:rowOff>
        </xdr:from>
        <xdr:to>
          <xdr:col>12</xdr:col>
          <xdr:colOff>704850</xdr:colOff>
          <xdr:row>170</xdr:row>
          <xdr:rowOff>0</xdr:rowOff>
        </xdr:to>
        <xdr:sp macro="" textlink="">
          <xdr:nvSpPr>
            <xdr:cNvPr id="18745" name="AddedMember1_44" hidden="1">
              <a:extLst>
                <a:ext uri="{63B3BB69-23CF-44E3-9099-C40C66FF867C}">
                  <a14:compatExt spid="_x0000_s18745"/>
                </a:ext>
                <a:ext uri="{FF2B5EF4-FFF2-40B4-BE49-F238E27FC236}">
                  <a16:creationId xmlns:a16="http://schemas.microsoft.com/office/drawing/2014/main" id="{00000000-0008-0000-0100-000039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168</xdr:row>
          <xdr:rowOff>57150</xdr:rowOff>
        </xdr:from>
        <xdr:to>
          <xdr:col>13</xdr:col>
          <xdr:colOff>704850</xdr:colOff>
          <xdr:row>170</xdr:row>
          <xdr:rowOff>0</xdr:rowOff>
        </xdr:to>
        <xdr:sp macro="" textlink="">
          <xdr:nvSpPr>
            <xdr:cNvPr id="18746" name="ChangeMember1_44" hidden="1">
              <a:extLst>
                <a:ext uri="{63B3BB69-23CF-44E3-9099-C40C66FF867C}">
                  <a14:compatExt spid="_x0000_s18746"/>
                </a:ext>
                <a:ext uri="{FF2B5EF4-FFF2-40B4-BE49-F238E27FC236}">
                  <a16:creationId xmlns:a16="http://schemas.microsoft.com/office/drawing/2014/main" id="{00000000-0008-0000-0100-00003A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57150</xdr:rowOff>
        </xdr:from>
        <xdr:to>
          <xdr:col>14</xdr:col>
          <xdr:colOff>704850</xdr:colOff>
          <xdr:row>170</xdr:row>
          <xdr:rowOff>0</xdr:rowOff>
        </xdr:to>
        <xdr:sp macro="" textlink="">
          <xdr:nvSpPr>
            <xdr:cNvPr id="18747" name="UpMember1_44" hidden="1">
              <a:extLst>
                <a:ext uri="{63B3BB69-23CF-44E3-9099-C40C66FF867C}">
                  <a14:compatExt spid="_x0000_s18747"/>
                </a:ext>
                <a:ext uri="{FF2B5EF4-FFF2-40B4-BE49-F238E27FC236}">
                  <a16:creationId xmlns:a16="http://schemas.microsoft.com/office/drawing/2014/main" id="{00000000-0008-0000-0100-00003B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168</xdr:row>
          <xdr:rowOff>57150</xdr:rowOff>
        </xdr:from>
        <xdr:to>
          <xdr:col>16</xdr:col>
          <xdr:colOff>0</xdr:colOff>
          <xdr:row>170</xdr:row>
          <xdr:rowOff>0</xdr:rowOff>
        </xdr:to>
        <xdr:sp macro="" textlink="">
          <xdr:nvSpPr>
            <xdr:cNvPr id="18748" name="DownMember1_44" hidden="1">
              <a:extLst>
                <a:ext uri="{63B3BB69-23CF-44E3-9099-C40C66FF867C}">
                  <a14:compatExt spid="_x0000_s18748"/>
                </a:ext>
                <a:ext uri="{FF2B5EF4-FFF2-40B4-BE49-F238E27FC236}">
                  <a16:creationId xmlns:a16="http://schemas.microsoft.com/office/drawing/2014/main" id="{00000000-0008-0000-0100-00003C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172</xdr:row>
          <xdr:rowOff>0</xdr:rowOff>
        </xdr:from>
        <xdr:to>
          <xdr:col>12</xdr:col>
          <xdr:colOff>676275</xdr:colOff>
          <xdr:row>173</xdr:row>
          <xdr:rowOff>0</xdr:rowOff>
        </xdr:to>
        <xdr:sp macro="" textlink="">
          <xdr:nvSpPr>
            <xdr:cNvPr id="18750" name="AddedMember1_45" hidden="1">
              <a:extLst>
                <a:ext uri="{63B3BB69-23CF-44E3-9099-C40C66FF867C}">
                  <a14:compatExt spid="_x0000_s18750"/>
                </a:ext>
                <a:ext uri="{FF2B5EF4-FFF2-40B4-BE49-F238E27FC236}">
                  <a16:creationId xmlns:a16="http://schemas.microsoft.com/office/drawing/2014/main" id="{00000000-0008-0000-0100-00003E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172</xdr:row>
          <xdr:rowOff>0</xdr:rowOff>
        </xdr:from>
        <xdr:to>
          <xdr:col>13</xdr:col>
          <xdr:colOff>685800</xdr:colOff>
          <xdr:row>173</xdr:row>
          <xdr:rowOff>0</xdr:rowOff>
        </xdr:to>
        <xdr:sp macro="" textlink="">
          <xdr:nvSpPr>
            <xdr:cNvPr id="18751" name="ChangeMember1_45" hidden="1">
              <a:extLst>
                <a:ext uri="{63B3BB69-23CF-44E3-9099-C40C66FF867C}">
                  <a14:compatExt spid="_x0000_s18751"/>
                </a:ext>
                <a:ext uri="{FF2B5EF4-FFF2-40B4-BE49-F238E27FC236}">
                  <a16:creationId xmlns:a16="http://schemas.microsoft.com/office/drawing/2014/main" id="{00000000-0008-0000-0100-00003F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172</xdr:row>
          <xdr:rowOff>0</xdr:rowOff>
        </xdr:from>
        <xdr:to>
          <xdr:col>14</xdr:col>
          <xdr:colOff>685800</xdr:colOff>
          <xdr:row>173</xdr:row>
          <xdr:rowOff>0</xdr:rowOff>
        </xdr:to>
        <xdr:sp macro="" textlink="">
          <xdr:nvSpPr>
            <xdr:cNvPr id="18752" name="UpMember1_45" hidden="1">
              <a:extLst>
                <a:ext uri="{63B3BB69-23CF-44E3-9099-C40C66FF867C}">
                  <a14:compatExt spid="_x0000_s18752"/>
                </a:ext>
                <a:ext uri="{FF2B5EF4-FFF2-40B4-BE49-F238E27FC236}">
                  <a16:creationId xmlns:a16="http://schemas.microsoft.com/office/drawing/2014/main" id="{00000000-0008-0000-0100-000040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172</xdr:row>
          <xdr:rowOff>0</xdr:rowOff>
        </xdr:from>
        <xdr:to>
          <xdr:col>15</xdr:col>
          <xdr:colOff>676275</xdr:colOff>
          <xdr:row>173</xdr:row>
          <xdr:rowOff>0</xdr:rowOff>
        </xdr:to>
        <xdr:sp macro="" textlink="">
          <xdr:nvSpPr>
            <xdr:cNvPr id="18753" name="DownMember1_45" hidden="1">
              <a:extLst>
                <a:ext uri="{63B3BB69-23CF-44E3-9099-C40C66FF867C}">
                  <a14:compatExt spid="_x0000_s18753"/>
                </a:ext>
                <a:ext uri="{FF2B5EF4-FFF2-40B4-BE49-F238E27FC236}">
                  <a16:creationId xmlns:a16="http://schemas.microsoft.com/office/drawing/2014/main" id="{00000000-0008-0000-0100-000041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4</xdr:row>
          <xdr:rowOff>19050</xdr:rowOff>
        </xdr:from>
        <xdr:to>
          <xdr:col>2</xdr:col>
          <xdr:colOff>57150</xdr:colOff>
          <xdr:row>5</xdr:row>
          <xdr:rowOff>57150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4</xdr:row>
          <xdr:rowOff>38100</xdr:rowOff>
        </xdr:from>
        <xdr:to>
          <xdr:col>5</xdr:col>
          <xdr:colOff>421216</xdr:colOff>
          <xdr:row>5</xdr:row>
          <xdr:rowOff>66675</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6</xdr:row>
          <xdr:rowOff>133350</xdr:rowOff>
        </xdr:from>
        <xdr:to>
          <xdr:col>2</xdr:col>
          <xdr:colOff>57150</xdr:colOff>
          <xdr:row>7</xdr:row>
          <xdr:rowOff>171450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6</xdr:row>
          <xdr:rowOff>133350</xdr:rowOff>
        </xdr:from>
        <xdr:to>
          <xdr:col>4</xdr:col>
          <xdr:colOff>95250</xdr:colOff>
          <xdr:row>7</xdr:row>
          <xdr:rowOff>171450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19050</xdr:colOff>
          <xdr:row>6</xdr:row>
          <xdr:rowOff>171450</xdr:rowOff>
        </xdr:from>
        <xdr:to>
          <xdr:col>5</xdr:col>
          <xdr:colOff>649816</xdr:colOff>
          <xdr:row>7</xdr:row>
          <xdr:rowOff>152400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1745191</xdr:colOff>
          <xdr:row>6</xdr:row>
          <xdr:rowOff>133350</xdr:rowOff>
        </xdr:from>
        <xdr:to>
          <xdr:col>5</xdr:col>
          <xdr:colOff>1972733</xdr:colOff>
          <xdr:row>7</xdr:row>
          <xdr:rowOff>171450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1991783</xdr:colOff>
          <xdr:row>6</xdr:row>
          <xdr:rowOff>133350</xdr:rowOff>
        </xdr:from>
        <xdr:to>
          <xdr:col>6</xdr:col>
          <xdr:colOff>135467</xdr:colOff>
          <xdr:row>7</xdr:row>
          <xdr:rowOff>171450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173567</xdr:colOff>
          <xdr:row>6</xdr:row>
          <xdr:rowOff>171450</xdr:rowOff>
        </xdr:from>
        <xdr:to>
          <xdr:col>7</xdr:col>
          <xdr:colOff>124883</xdr:colOff>
          <xdr:row>7</xdr:row>
          <xdr:rowOff>152400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1</xdr:row>
          <xdr:rowOff>419100</xdr:rowOff>
        </xdr:from>
        <xdr:to>
          <xdr:col>2</xdr:col>
          <xdr:colOff>57150</xdr:colOff>
          <xdr:row>2</xdr:row>
          <xdr:rowOff>171450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xdr:row>
          <xdr:rowOff>400050</xdr:rowOff>
        </xdr:from>
        <xdr:to>
          <xdr:col>2</xdr:col>
          <xdr:colOff>76200</xdr:colOff>
          <xdr:row>2</xdr:row>
          <xdr:rowOff>171450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14266</xdr:colOff>
      <xdr:row>3</xdr:row>
      <xdr:rowOff>0</xdr:rowOff>
    </xdr:from>
    <xdr:to>
      <xdr:col>222</xdr:col>
      <xdr:colOff>264684</xdr:colOff>
      <xdr:row>3</xdr:row>
      <xdr:rowOff>2400300</xdr:rowOff>
    </xdr:to>
    <xdr:graphicFrame macro="">
      <xdr:nvGraphicFramePr>
        <xdr:cNvPr id="3" name="Chart 2"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8</xdr:row>
          <xdr:rowOff>19050</xdr:rowOff>
        </xdr:from>
        <xdr:to>
          <xdr:col>5</xdr:col>
          <xdr:colOff>954616</xdr:colOff>
          <xdr:row>12</xdr:row>
          <xdr:rowOff>114300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1745191</xdr:colOff>
          <xdr:row>8</xdr:row>
          <xdr:rowOff>19050</xdr:rowOff>
        </xdr:from>
        <xdr:to>
          <xdr:col>6</xdr:col>
          <xdr:colOff>335492</xdr:colOff>
          <xdr:row>9</xdr:row>
          <xdr:rowOff>76200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1735666</xdr:colOff>
          <xdr:row>4</xdr:row>
          <xdr:rowOff>19050</xdr:rowOff>
        </xdr:from>
        <xdr:to>
          <xdr:col>6</xdr:col>
          <xdr:colOff>354542</xdr:colOff>
          <xdr:row>5</xdr:row>
          <xdr:rowOff>95250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373591</xdr:colOff>
          <xdr:row>4</xdr:row>
          <xdr:rowOff>19050</xdr:rowOff>
        </xdr:from>
        <xdr:to>
          <xdr:col>5</xdr:col>
          <xdr:colOff>1764241</xdr:colOff>
          <xdr:row>5</xdr:row>
          <xdr:rowOff>95250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373591</xdr:colOff>
          <xdr:row>5</xdr:row>
          <xdr:rowOff>28575</xdr:rowOff>
        </xdr:from>
        <xdr:to>
          <xdr:col>5</xdr:col>
          <xdr:colOff>1764241</xdr:colOff>
          <xdr:row>6</xdr:row>
          <xdr:rowOff>104775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381000</xdr:colOff>
      <xdr:row>3</xdr:row>
      <xdr:rowOff>251460</xdr:rowOff>
    </xdr:from>
    <xdr:to>
      <xdr:col>8</xdr:col>
      <xdr:colOff>539750</xdr:colOff>
      <xdr:row>4</xdr:row>
      <xdr:rowOff>152400</xdr:rowOff>
    </xdr:to>
    <xdr:pic macro="[0]!Sheet2.ShowHintFilterAttributeTotal">
      <xdr:nvPicPr>
        <xdr:cNvPr id="5" name="PictureHintFilterAttributeTotal" hidden="1">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01240" y="1287780"/>
          <a:ext cx="158750" cy="152400"/>
        </a:xfrm>
        <a:prstGeom prst="rect">
          <a:avLst/>
        </a:prstGeom>
      </xdr:spPr>
    </xdr:pic>
    <xdr:clientData/>
  </xdr:twoCellAnchor>
  <xdr:twoCellAnchor editAs="oneCell">
    <xdr:from>
      <xdr:col>0</xdr:col>
      <xdr:colOff>21166</xdr:colOff>
      <xdr:row>0</xdr:row>
      <xdr:rowOff>21166</xdr:rowOff>
    </xdr:from>
    <xdr:to>
      <xdr:col>5</xdr:col>
      <xdr:colOff>751416</xdr:colOff>
      <xdr:row>1</xdr:row>
      <xdr:rowOff>275166</xdr:rowOff>
    </xdr:to>
    <xdr:pic>
      <xdr:nvPicPr>
        <xdr:cNvPr id="28" name="Picture 27">
          <a:extLst>
            <a:ext uri="{FF2B5EF4-FFF2-40B4-BE49-F238E27FC236}">
              <a16:creationId xmlns:a16="http://schemas.microsoft.com/office/drawing/2014/main" id="{00000000-0008-0000-0200-00001C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166" y="21166"/>
          <a:ext cx="1259417" cy="613833"/>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390525</xdr:colOff>
          <xdr:row>0</xdr:row>
          <xdr:rowOff>0</xdr:rowOff>
        </xdr:to>
        <xdr:sp macro="" textlink="">
          <xdr:nvSpPr>
            <xdr:cNvPr id="3138" name="ConnectionDescriptors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390525</xdr:colOff>
          <xdr:row>0</xdr:row>
          <xdr:rowOff>0</xdr:rowOff>
        </xdr:to>
        <xdr:sp macro="" textlink="">
          <xdr:nvSpPr>
            <xdr:cNvPr id="3139" name="MultipleReportManagerInfoD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390525</xdr:colOff>
          <xdr:row>0</xdr:row>
          <xdr:rowOff>0</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390525</xdr:colOff>
          <xdr:row>0</xdr:row>
          <xdr:rowOff>0</xdr:rowOff>
        </xdr:to>
        <xdr:sp macro="" textlink="">
          <xdr:nvSpPr>
            <xdr:cNvPr id="3141" name="ReportSubmitControl_1D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390524</xdr:colOff>
          <xdr:row>0</xdr:row>
          <xdr:rowOff>0</xdr:rowOff>
        </xdr:to>
        <xdr:sp macro="" textlink="">
          <xdr:nvSpPr>
            <xdr:cNvPr id="3142" name="AnalyzerDynReportDC000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2" name="IBPPVSheetReportSh1" hidden="1">
          <a:extLst>
            <a:ext uri="{FF2B5EF4-FFF2-40B4-BE49-F238E27FC236}">
              <a16:creationId xmlns:a16="http://schemas.microsoft.com/office/drawing/2014/main" id="{6C1FC7E2-EB69-9E86-B9DA-13CEA7FEB91D}"/>
            </a:ext>
          </a:extLst>
        </xdr:cNvPr>
        <xdr:cNvSpPr txBox="1"/>
      </xdr:nvSpPr>
      <xdr:spPr>
        <a:xfrm>
          <a:off x="0" y="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sgkAAB+LCAAAAAAAAAq1Vm1vm0gQ/ivWKB/6QipIUje1dCcRg32+mtgB3FNiIWsDY3eVZddaFje+yP/9tCz4pYlyaXP3ifXMzjwzzzMMfgCilKS3pcICOlMYh57nR90QLH0ceGDBcNRtnsaVWLugWCjCdOS+MRJSUb7Q5gcohFQjmaHU6Wcz90bHZzRHXlDBBxl09kE5yRE64B7fgAU0g86x42ysl2ap6nxFiqbV16V4tpfEgjtc9+iilIbxm37PHY/D0Vff63Wj+Cq+1kkVzdHDOeVUUcENk9o2xBUy3awfDkbewLPBgrkUeUxzDJERRVcaU5uV+MF4Yp/qQooQCdMu6ChZogVSMEb5YrTUULrg4RAsyEWGW6AqnSLs0rQEuo1U8BXKYlveIQ/dSRjGo4rNHPNblJXVnXigiTy8OxkFj6/eRL0KRorv7j0tvCbixWNqwRf/etYb9CehH2lOU8HKnD+RbMvl/hBfkAKzHmVKq/1Qi8lLxoyWdkVAtifPYU+BG37x48jvB/5lDBaIJUqihOwaWv0rsGBFWGmGoN927JntzGwHksf8NC0+n8Npn5+ftcEyh0/N4VwfPn1un32uDx/tpzAa+p7HaDsnH8GCtlONUtux619n1cPRY9d2TuqHuXJqfp2eQbJJNnWyA3INqTt7vT4aB2Eo1eG7sK9T4dFiychadzH9YRqeunch1Ldt6q0zxnzJiEJTU0D4v10ZLZXGO5Q5sWAuZF4yYkbiSK2XmkUmUsKCarZHc/PcDnsDVAdCB34bXIwDP7jwwzfTvRFOPkyTD9PAdy/dbjxxh9FVfJ28fX/059Hpu+ciotjz/K+7mDhK3lZ7wO1LUS4pXwx35UFnTliB2j3gBUrlziuNzKaoN1qAhLfet/5+FynCMyKzlocrSrQ6LTFvuakqCStaV2ptcFKzgEwOYfanY0FZoH+fIusiYyHOUSJPcVeAnkrb1tOTkmY1/QSyHvFf5b/35mckOP4lCX63rdb/j2K17P9C7OPXiX3yQrGdx2K/DHmze/MiVPWfjwegRc8YQ0zFwuyPqkCiMGtqLAsci6LyDaqvQ0/Ix2F7XNXOsaRCUrWORSi+1+6NBUtGOKd8cSkU1iunLmn7aU2/Eb7AP2ihhGycxfbjUvwl5N2tEHdm0fj3KSszXa5B+AduHRD6sgkAAA==</a:t>
          </a:r>
        </a:p>
      </xdr:txBody>
    </xdr:sp>
    <xdr:clientData/>
  </xdr:twoCellAnchor>
  <xdr:twoCellAnchor>
    <xdr:from>
      <xdr:col>0</xdr:col>
      <xdr:colOff>0</xdr:colOff>
      <xdr:row>0</xdr:row>
      <xdr:rowOff>0</xdr:rowOff>
    </xdr:from>
    <xdr:to>
      <xdr:col>0</xdr:col>
      <xdr:colOff>0</xdr:colOff>
      <xdr:row>0</xdr:row>
      <xdr:rowOff>0</xdr:rowOff>
    </xdr:to>
    <xdr:sp macro="" textlink="">
      <xdr:nvSpPr>
        <xdr:cNvPr id="4" name="IBPPVSheetFixingSh1" hidden="1">
          <a:extLst>
            <a:ext uri="{FF2B5EF4-FFF2-40B4-BE49-F238E27FC236}">
              <a16:creationId xmlns:a16="http://schemas.microsoft.com/office/drawing/2014/main" id="{36FE09B7-DF43-8380-388E-CA04EC0196E7}"/>
            </a:ext>
          </a:extLst>
        </xdr:cNvPr>
        <xdr:cNvSpPr txBox="1"/>
      </xdr:nvSpPr>
      <xdr:spPr>
        <a:xfrm>
          <a:off x="0" y="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gAMAAB+LCAAAAAAAAArV0k8LgjAcxvH38juLOC0ibzK3MfqzMSehY0SkhCAWohBE7z1IOhXVSfD6fS6fw2NuQORG95e6hNCAkURxEfN4Zl1jXeN73hwtLThg8rVkQ9zu0FAYxWmimRKpHBYhnsOKZHvKWapIMvScUamEpBHWQsVRFmFtwTog6oJW16o58aaojofu3EIIPjiA+7Ytm+7TeHd+k31vcuQgGJeMvpHRX+SFP31y8LrKGznQI5DtA8tGMxCAAwAA</a:t>
          </a:r>
        </a:p>
      </xdr:txBody>
    </xdr:sp>
    <xdr:clientData/>
  </xdr:twoCellAnchor>
  <xdr:twoCellAnchor>
    <xdr:from>
      <xdr:col>0</xdr:col>
      <xdr:colOff>0</xdr:colOff>
      <xdr:row>0</xdr:row>
      <xdr:rowOff>0</xdr:rowOff>
    </xdr:from>
    <xdr:to>
      <xdr:col>0</xdr:col>
      <xdr:colOff>0</xdr:colOff>
      <xdr:row>0</xdr:row>
      <xdr:rowOff>0</xdr:rowOff>
    </xdr:to>
    <xdr:sp macro="" textlink="">
      <xdr:nvSpPr>
        <xdr:cNvPr id="6" name="IBPPVSheetPlanningNoteSh1" hidden="1">
          <a:extLst>
            <a:ext uri="{FF2B5EF4-FFF2-40B4-BE49-F238E27FC236}">
              <a16:creationId xmlns:a16="http://schemas.microsoft.com/office/drawing/2014/main" id="{4AF90000-6413-CAEF-E458-78B580E56C33}"/>
            </a:ext>
          </a:extLst>
        </xdr:cNvPr>
        <xdr:cNvSpPr txBox="1"/>
      </xdr:nvSpPr>
      <xdr:spPr>
        <a:xfrm>
          <a:off x="0" y="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AgAAAB+LCAAAAAAAAAqrrgUAQ7+mowIAAAA=</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customProperty" Target="../customProperty2.bin"/><Relationship Id="rId7" Type="http://schemas.openxmlformats.org/officeDocument/2006/relationships/vmlDrawing" Target="../drawings/vmlDrawing1.v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customProperty" Target="../customProperty4.bin"/><Relationship Id="rId4" Type="http://schemas.openxmlformats.org/officeDocument/2006/relationships/customProperty" Target="../customProperty3.bin"/><Relationship Id="rId9" Type="http://schemas.openxmlformats.org/officeDocument/2006/relationships/image" Target="../media/image1.emf"/></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6.xml"/><Relationship Id="rId21" Type="http://schemas.openxmlformats.org/officeDocument/2006/relationships/ctrlProp" Target="../ctrlProps/ctrlProp10.xml"/><Relationship Id="rId42" Type="http://schemas.openxmlformats.org/officeDocument/2006/relationships/ctrlProp" Target="../ctrlProps/ctrlProp31.xml"/><Relationship Id="rId63" Type="http://schemas.openxmlformats.org/officeDocument/2006/relationships/ctrlProp" Target="../ctrlProps/ctrlProp52.xml"/><Relationship Id="rId84" Type="http://schemas.openxmlformats.org/officeDocument/2006/relationships/ctrlProp" Target="../ctrlProps/ctrlProp73.xml"/><Relationship Id="rId138" Type="http://schemas.openxmlformats.org/officeDocument/2006/relationships/ctrlProp" Target="../ctrlProps/ctrlProp127.xml"/><Relationship Id="rId159" Type="http://schemas.openxmlformats.org/officeDocument/2006/relationships/ctrlProp" Target="../ctrlProps/ctrlProp148.xml"/><Relationship Id="rId170" Type="http://schemas.openxmlformats.org/officeDocument/2006/relationships/ctrlProp" Target="../ctrlProps/ctrlProp159.xml"/><Relationship Id="rId191" Type="http://schemas.openxmlformats.org/officeDocument/2006/relationships/ctrlProp" Target="../ctrlProps/ctrlProp180.xml"/><Relationship Id="rId205" Type="http://schemas.openxmlformats.org/officeDocument/2006/relationships/ctrlProp" Target="../ctrlProps/ctrlProp194.xml"/><Relationship Id="rId226" Type="http://schemas.openxmlformats.org/officeDocument/2006/relationships/ctrlProp" Target="../ctrlProps/ctrlProp215.xml"/><Relationship Id="rId247" Type="http://schemas.openxmlformats.org/officeDocument/2006/relationships/ctrlProp" Target="../ctrlProps/ctrlProp236.xml"/><Relationship Id="rId107" Type="http://schemas.openxmlformats.org/officeDocument/2006/relationships/ctrlProp" Target="../ctrlProps/ctrlProp96.xml"/><Relationship Id="rId11" Type="http://schemas.openxmlformats.org/officeDocument/2006/relationships/image" Target="../media/image4.emf"/><Relationship Id="rId32" Type="http://schemas.openxmlformats.org/officeDocument/2006/relationships/ctrlProp" Target="../ctrlProps/ctrlProp21.xml"/><Relationship Id="rId53" Type="http://schemas.openxmlformats.org/officeDocument/2006/relationships/ctrlProp" Target="../ctrlProps/ctrlProp42.xml"/><Relationship Id="rId74" Type="http://schemas.openxmlformats.org/officeDocument/2006/relationships/ctrlProp" Target="../ctrlProps/ctrlProp63.xml"/><Relationship Id="rId128" Type="http://schemas.openxmlformats.org/officeDocument/2006/relationships/ctrlProp" Target="../ctrlProps/ctrlProp117.xml"/><Relationship Id="rId149" Type="http://schemas.openxmlformats.org/officeDocument/2006/relationships/ctrlProp" Target="../ctrlProps/ctrlProp138.xml"/><Relationship Id="rId5" Type="http://schemas.openxmlformats.org/officeDocument/2006/relationships/vmlDrawing" Target="../drawings/vmlDrawing2.vml"/><Relationship Id="rId95" Type="http://schemas.openxmlformats.org/officeDocument/2006/relationships/ctrlProp" Target="../ctrlProps/ctrlProp84.xml"/><Relationship Id="rId160" Type="http://schemas.openxmlformats.org/officeDocument/2006/relationships/ctrlProp" Target="../ctrlProps/ctrlProp149.xml"/><Relationship Id="rId181" Type="http://schemas.openxmlformats.org/officeDocument/2006/relationships/ctrlProp" Target="../ctrlProps/ctrlProp170.xml"/><Relationship Id="rId216" Type="http://schemas.openxmlformats.org/officeDocument/2006/relationships/ctrlProp" Target="../ctrlProps/ctrlProp205.xml"/><Relationship Id="rId237" Type="http://schemas.openxmlformats.org/officeDocument/2006/relationships/ctrlProp" Target="../ctrlProps/ctrlProp226.xml"/><Relationship Id="rId22" Type="http://schemas.openxmlformats.org/officeDocument/2006/relationships/ctrlProp" Target="../ctrlProps/ctrlProp11.xml"/><Relationship Id="rId43" Type="http://schemas.openxmlformats.org/officeDocument/2006/relationships/ctrlProp" Target="../ctrlProps/ctrlProp32.xml"/><Relationship Id="rId64" Type="http://schemas.openxmlformats.org/officeDocument/2006/relationships/ctrlProp" Target="../ctrlProps/ctrlProp53.xml"/><Relationship Id="rId118" Type="http://schemas.openxmlformats.org/officeDocument/2006/relationships/ctrlProp" Target="../ctrlProps/ctrlProp107.xml"/><Relationship Id="rId139" Type="http://schemas.openxmlformats.org/officeDocument/2006/relationships/ctrlProp" Target="../ctrlProps/ctrlProp128.xml"/><Relationship Id="rId85" Type="http://schemas.openxmlformats.org/officeDocument/2006/relationships/ctrlProp" Target="../ctrlProps/ctrlProp74.xml"/><Relationship Id="rId150" Type="http://schemas.openxmlformats.org/officeDocument/2006/relationships/ctrlProp" Target="../ctrlProps/ctrlProp139.xml"/><Relationship Id="rId171" Type="http://schemas.openxmlformats.org/officeDocument/2006/relationships/ctrlProp" Target="../ctrlProps/ctrlProp160.xml"/><Relationship Id="rId192" Type="http://schemas.openxmlformats.org/officeDocument/2006/relationships/ctrlProp" Target="../ctrlProps/ctrlProp181.xml"/><Relationship Id="rId206" Type="http://schemas.openxmlformats.org/officeDocument/2006/relationships/ctrlProp" Target="../ctrlProps/ctrlProp195.xml"/><Relationship Id="rId227" Type="http://schemas.openxmlformats.org/officeDocument/2006/relationships/ctrlProp" Target="../ctrlProps/ctrlProp216.xml"/><Relationship Id="rId248" Type="http://schemas.openxmlformats.org/officeDocument/2006/relationships/ctrlProp" Target="../ctrlProps/ctrlProp237.xml"/><Relationship Id="rId12" Type="http://schemas.openxmlformats.org/officeDocument/2006/relationships/ctrlProp" Target="../ctrlProps/ctrlProp1.xml"/><Relationship Id="rId17" Type="http://schemas.openxmlformats.org/officeDocument/2006/relationships/ctrlProp" Target="../ctrlProps/ctrlProp6.xml"/><Relationship Id="rId33" Type="http://schemas.openxmlformats.org/officeDocument/2006/relationships/ctrlProp" Target="../ctrlProps/ctrlProp22.xml"/><Relationship Id="rId38" Type="http://schemas.openxmlformats.org/officeDocument/2006/relationships/ctrlProp" Target="../ctrlProps/ctrlProp27.xml"/><Relationship Id="rId59" Type="http://schemas.openxmlformats.org/officeDocument/2006/relationships/ctrlProp" Target="../ctrlProps/ctrlProp48.xml"/><Relationship Id="rId103" Type="http://schemas.openxmlformats.org/officeDocument/2006/relationships/ctrlProp" Target="../ctrlProps/ctrlProp92.xml"/><Relationship Id="rId108" Type="http://schemas.openxmlformats.org/officeDocument/2006/relationships/ctrlProp" Target="../ctrlProps/ctrlProp97.xml"/><Relationship Id="rId124" Type="http://schemas.openxmlformats.org/officeDocument/2006/relationships/ctrlProp" Target="../ctrlProps/ctrlProp113.xml"/><Relationship Id="rId129" Type="http://schemas.openxmlformats.org/officeDocument/2006/relationships/ctrlProp" Target="../ctrlProps/ctrlProp118.xml"/><Relationship Id="rId54" Type="http://schemas.openxmlformats.org/officeDocument/2006/relationships/ctrlProp" Target="../ctrlProps/ctrlProp43.xml"/><Relationship Id="rId70" Type="http://schemas.openxmlformats.org/officeDocument/2006/relationships/ctrlProp" Target="../ctrlProps/ctrlProp59.xml"/><Relationship Id="rId75" Type="http://schemas.openxmlformats.org/officeDocument/2006/relationships/ctrlProp" Target="../ctrlProps/ctrlProp64.xml"/><Relationship Id="rId91" Type="http://schemas.openxmlformats.org/officeDocument/2006/relationships/ctrlProp" Target="../ctrlProps/ctrlProp80.xml"/><Relationship Id="rId96" Type="http://schemas.openxmlformats.org/officeDocument/2006/relationships/ctrlProp" Target="../ctrlProps/ctrlProp85.xml"/><Relationship Id="rId140" Type="http://schemas.openxmlformats.org/officeDocument/2006/relationships/ctrlProp" Target="../ctrlProps/ctrlProp129.xml"/><Relationship Id="rId145" Type="http://schemas.openxmlformats.org/officeDocument/2006/relationships/ctrlProp" Target="../ctrlProps/ctrlProp134.xml"/><Relationship Id="rId161" Type="http://schemas.openxmlformats.org/officeDocument/2006/relationships/ctrlProp" Target="../ctrlProps/ctrlProp150.xml"/><Relationship Id="rId166" Type="http://schemas.openxmlformats.org/officeDocument/2006/relationships/ctrlProp" Target="../ctrlProps/ctrlProp155.xml"/><Relationship Id="rId182" Type="http://schemas.openxmlformats.org/officeDocument/2006/relationships/ctrlProp" Target="../ctrlProps/ctrlProp171.xml"/><Relationship Id="rId187" Type="http://schemas.openxmlformats.org/officeDocument/2006/relationships/ctrlProp" Target="../ctrlProps/ctrlProp176.xml"/><Relationship Id="rId217" Type="http://schemas.openxmlformats.org/officeDocument/2006/relationships/ctrlProp" Target="../ctrlProps/ctrlProp206.xml"/><Relationship Id="rId1" Type="http://schemas.openxmlformats.org/officeDocument/2006/relationships/printerSettings" Target="../printerSettings/printerSettings2.bin"/><Relationship Id="rId6" Type="http://schemas.openxmlformats.org/officeDocument/2006/relationships/control" Target="../activeX/activeX2.xml"/><Relationship Id="rId212" Type="http://schemas.openxmlformats.org/officeDocument/2006/relationships/ctrlProp" Target="../ctrlProps/ctrlProp201.xml"/><Relationship Id="rId233" Type="http://schemas.openxmlformats.org/officeDocument/2006/relationships/ctrlProp" Target="../ctrlProps/ctrlProp222.xml"/><Relationship Id="rId238" Type="http://schemas.openxmlformats.org/officeDocument/2006/relationships/ctrlProp" Target="../ctrlProps/ctrlProp227.xml"/><Relationship Id="rId23" Type="http://schemas.openxmlformats.org/officeDocument/2006/relationships/ctrlProp" Target="../ctrlProps/ctrlProp12.xml"/><Relationship Id="rId28" Type="http://schemas.openxmlformats.org/officeDocument/2006/relationships/ctrlProp" Target="../ctrlProps/ctrlProp17.xml"/><Relationship Id="rId49" Type="http://schemas.openxmlformats.org/officeDocument/2006/relationships/ctrlProp" Target="../ctrlProps/ctrlProp38.xml"/><Relationship Id="rId114" Type="http://schemas.openxmlformats.org/officeDocument/2006/relationships/ctrlProp" Target="../ctrlProps/ctrlProp103.xml"/><Relationship Id="rId119" Type="http://schemas.openxmlformats.org/officeDocument/2006/relationships/ctrlProp" Target="../ctrlProps/ctrlProp108.xml"/><Relationship Id="rId44" Type="http://schemas.openxmlformats.org/officeDocument/2006/relationships/ctrlProp" Target="../ctrlProps/ctrlProp33.xml"/><Relationship Id="rId60" Type="http://schemas.openxmlformats.org/officeDocument/2006/relationships/ctrlProp" Target="../ctrlProps/ctrlProp49.xml"/><Relationship Id="rId65" Type="http://schemas.openxmlformats.org/officeDocument/2006/relationships/ctrlProp" Target="../ctrlProps/ctrlProp54.xml"/><Relationship Id="rId81" Type="http://schemas.openxmlformats.org/officeDocument/2006/relationships/ctrlProp" Target="../ctrlProps/ctrlProp70.xml"/><Relationship Id="rId86" Type="http://schemas.openxmlformats.org/officeDocument/2006/relationships/ctrlProp" Target="../ctrlProps/ctrlProp75.xml"/><Relationship Id="rId130" Type="http://schemas.openxmlformats.org/officeDocument/2006/relationships/ctrlProp" Target="../ctrlProps/ctrlProp119.xml"/><Relationship Id="rId135" Type="http://schemas.openxmlformats.org/officeDocument/2006/relationships/ctrlProp" Target="../ctrlProps/ctrlProp124.xml"/><Relationship Id="rId151" Type="http://schemas.openxmlformats.org/officeDocument/2006/relationships/ctrlProp" Target="../ctrlProps/ctrlProp140.xml"/><Relationship Id="rId156" Type="http://schemas.openxmlformats.org/officeDocument/2006/relationships/ctrlProp" Target="../ctrlProps/ctrlProp145.xml"/><Relationship Id="rId177" Type="http://schemas.openxmlformats.org/officeDocument/2006/relationships/ctrlProp" Target="../ctrlProps/ctrlProp166.xml"/><Relationship Id="rId198" Type="http://schemas.openxmlformats.org/officeDocument/2006/relationships/ctrlProp" Target="../ctrlProps/ctrlProp187.xml"/><Relationship Id="rId172" Type="http://schemas.openxmlformats.org/officeDocument/2006/relationships/ctrlProp" Target="../ctrlProps/ctrlProp161.xml"/><Relationship Id="rId193" Type="http://schemas.openxmlformats.org/officeDocument/2006/relationships/ctrlProp" Target="../ctrlProps/ctrlProp182.xml"/><Relationship Id="rId202" Type="http://schemas.openxmlformats.org/officeDocument/2006/relationships/ctrlProp" Target="../ctrlProps/ctrlProp191.xml"/><Relationship Id="rId207" Type="http://schemas.openxmlformats.org/officeDocument/2006/relationships/ctrlProp" Target="../ctrlProps/ctrlProp196.xml"/><Relationship Id="rId223" Type="http://schemas.openxmlformats.org/officeDocument/2006/relationships/ctrlProp" Target="../ctrlProps/ctrlProp212.xml"/><Relationship Id="rId228" Type="http://schemas.openxmlformats.org/officeDocument/2006/relationships/ctrlProp" Target="../ctrlProps/ctrlProp217.xml"/><Relationship Id="rId244" Type="http://schemas.openxmlformats.org/officeDocument/2006/relationships/ctrlProp" Target="../ctrlProps/ctrlProp233.xml"/><Relationship Id="rId249" Type="http://schemas.openxmlformats.org/officeDocument/2006/relationships/ctrlProp" Target="../ctrlProps/ctrlProp238.xml"/><Relationship Id="rId13" Type="http://schemas.openxmlformats.org/officeDocument/2006/relationships/ctrlProp" Target="../ctrlProps/ctrlProp2.xml"/><Relationship Id="rId18" Type="http://schemas.openxmlformats.org/officeDocument/2006/relationships/ctrlProp" Target="../ctrlProps/ctrlProp7.xml"/><Relationship Id="rId39" Type="http://schemas.openxmlformats.org/officeDocument/2006/relationships/ctrlProp" Target="../ctrlProps/ctrlProp28.xml"/><Relationship Id="rId109" Type="http://schemas.openxmlformats.org/officeDocument/2006/relationships/ctrlProp" Target="../ctrlProps/ctrlProp98.xml"/><Relationship Id="rId34" Type="http://schemas.openxmlformats.org/officeDocument/2006/relationships/ctrlProp" Target="../ctrlProps/ctrlProp23.xml"/><Relationship Id="rId50" Type="http://schemas.openxmlformats.org/officeDocument/2006/relationships/ctrlProp" Target="../ctrlProps/ctrlProp39.xml"/><Relationship Id="rId55" Type="http://schemas.openxmlformats.org/officeDocument/2006/relationships/ctrlProp" Target="../ctrlProps/ctrlProp44.xml"/><Relationship Id="rId76" Type="http://schemas.openxmlformats.org/officeDocument/2006/relationships/ctrlProp" Target="../ctrlProps/ctrlProp65.xml"/><Relationship Id="rId97" Type="http://schemas.openxmlformats.org/officeDocument/2006/relationships/ctrlProp" Target="../ctrlProps/ctrlProp86.xml"/><Relationship Id="rId104" Type="http://schemas.openxmlformats.org/officeDocument/2006/relationships/ctrlProp" Target="../ctrlProps/ctrlProp93.xml"/><Relationship Id="rId120" Type="http://schemas.openxmlformats.org/officeDocument/2006/relationships/ctrlProp" Target="../ctrlProps/ctrlProp109.xml"/><Relationship Id="rId125" Type="http://schemas.openxmlformats.org/officeDocument/2006/relationships/ctrlProp" Target="../ctrlProps/ctrlProp114.xml"/><Relationship Id="rId141" Type="http://schemas.openxmlformats.org/officeDocument/2006/relationships/ctrlProp" Target="../ctrlProps/ctrlProp130.xml"/><Relationship Id="rId146" Type="http://schemas.openxmlformats.org/officeDocument/2006/relationships/ctrlProp" Target="../ctrlProps/ctrlProp135.xml"/><Relationship Id="rId167" Type="http://schemas.openxmlformats.org/officeDocument/2006/relationships/ctrlProp" Target="../ctrlProps/ctrlProp156.xml"/><Relationship Id="rId188" Type="http://schemas.openxmlformats.org/officeDocument/2006/relationships/ctrlProp" Target="../ctrlProps/ctrlProp177.xml"/><Relationship Id="rId7" Type="http://schemas.openxmlformats.org/officeDocument/2006/relationships/image" Target="../media/image2.emf"/><Relationship Id="rId71" Type="http://schemas.openxmlformats.org/officeDocument/2006/relationships/ctrlProp" Target="../ctrlProps/ctrlProp60.xml"/><Relationship Id="rId92" Type="http://schemas.openxmlformats.org/officeDocument/2006/relationships/ctrlProp" Target="../ctrlProps/ctrlProp81.xml"/><Relationship Id="rId162" Type="http://schemas.openxmlformats.org/officeDocument/2006/relationships/ctrlProp" Target="../ctrlProps/ctrlProp151.xml"/><Relationship Id="rId183" Type="http://schemas.openxmlformats.org/officeDocument/2006/relationships/ctrlProp" Target="../ctrlProps/ctrlProp172.xml"/><Relationship Id="rId213" Type="http://schemas.openxmlformats.org/officeDocument/2006/relationships/ctrlProp" Target="../ctrlProps/ctrlProp202.xml"/><Relationship Id="rId218" Type="http://schemas.openxmlformats.org/officeDocument/2006/relationships/ctrlProp" Target="../ctrlProps/ctrlProp207.xml"/><Relationship Id="rId234" Type="http://schemas.openxmlformats.org/officeDocument/2006/relationships/ctrlProp" Target="../ctrlProps/ctrlProp223.xml"/><Relationship Id="rId239" Type="http://schemas.openxmlformats.org/officeDocument/2006/relationships/ctrlProp" Target="../ctrlProps/ctrlProp228.xml"/><Relationship Id="rId2" Type="http://schemas.openxmlformats.org/officeDocument/2006/relationships/customProperty" Target="../customProperty5.bin"/><Relationship Id="rId29" Type="http://schemas.openxmlformats.org/officeDocument/2006/relationships/ctrlProp" Target="../ctrlProps/ctrlProp18.xml"/><Relationship Id="rId250" Type="http://schemas.openxmlformats.org/officeDocument/2006/relationships/comments" Target="../comments1.xml"/><Relationship Id="rId24" Type="http://schemas.openxmlformats.org/officeDocument/2006/relationships/ctrlProp" Target="../ctrlProps/ctrlProp13.xml"/><Relationship Id="rId40" Type="http://schemas.openxmlformats.org/officeDocument/2006/relationships/ctrlProp" Target="../ctrlProps/ctrlProp29.xml"/><Relationship Id="rId45" Type="http://schemas.openxmlformats.org/officeDocument/2006/relationships/ctrlProp" Target="../ctrlProps/ctrlProp34.xml"/><Relationship Id="rId66" Type="http://schemas.openxmlformats.org/officeDocument/2006/relationships/ctrlProp" Target="../ctrlProps/ctrlProp55.xml"/><Relationship Id="rId87" Type="http://schemas.openxmlformats.org/officeDocument/2006/relationships/ctrlProp" Target="../ctrlProps/ctrlProp76.xml"/><Relationship Id="rId110" Type="http://schemas.openxmlformats.org/officeDocument/2006/relationships/ctrlProp" Target="../ctrlProps/ctrlProp99.xml"/><Relationship Id="rId115" Type="http://schemas.openxmlformats.org/officeDocument/2006/relationships/ctrlProp" Target="../ctrlProps/ctrlProp104.xml"/><Relationship Id="rId131" Type="http://schemas.openxmlformats.org/officeDocument/2006/relationships/ctrlProp" Target="../ctrlProps/ctrlProp120.xml"/><Relationship Id="rId136" Type="http://schemas.openxmlformats.org/officeDocument/2006/relationships/ctrlProp" Target="../ctrlProps/ctrlProp125.xml"/><Relationship Id="rId157" Type="http://schemas.openxmlformats.org/officeDocument/2006/relationships/ctrlProp" Target="../ctrlProps/ctrlProp146.xml"/><Relationship Id="rId178" Type="http://schemas.openxmlformats.org/officeDocument/2006/relationships/ctrlProp" Target="../ctrlProps/ctrlProp167.xml"/><Relationship Id="rId61" Type="http://schemas.openxmlformats.org/officeDocument/2006/relationships/ctrlProp" Target="../ctrlProps/ctrlProp50.xml"/><Relationship Id="rId82" Type="http://schemas.openxmlformats.org/officeDocument/2006/relationships/ctrlProp" Target="../ctrlProps/ctrlProp71.xml"/><Relationship Id="rId152" Type="http://schemas.openxmlformats.org/officeDocument/2006/relationships/ctrlProp" Target="../ctrlProps/ctrlProp141.xml"/><Relationship Id="rId173" Type="http://schemas.openxmlformats.org/officeDocument/2006/relationships/ctrlProp" Target="../ctrlProps/ctrlProp162.xml"/><Relationship Id="rId194" Type="http://schemas.openxmlformats.org/officeDocument/2006/relationships/ctrlProp" Target="../ctrlProps/ctrlProp183.xml"/><Relationship Id="rId199" Type="http://schemas.openxmlformats.org/officeDocument/2006/relationships/ctrlProp" Target="../ctrlProps/ctrlProp188.xml"/><Relationship Id="rId203" Type="http://schemas.openxmlformats.org/officeDocument/2006/relationships/ctrlProp" Target="../ctrlProps/ctrlProp192.xml"/><Relationship Id="rId208" Type="http://schemas.openxmlformats.org/officeDocument/2006/relationships/ctrlProp" Target="../ctrlProps/ctrlProp197.xml"/><Relationship Id="rId229" Type="http://schemas.openxmlformats.org/officeDocument/2006/relationships/ctrlProp" Target="../ctrlProps/ctrlProp218.xml"/><Relationship Id="rId19" Type="http://schemas.openxmlformats.org/officeDocument/2006/relationships/ctrlProp" Target="../ctrlProps/ctrlProp8.xml"/><Relationship Id="rId224" Type="http://schemas.openxmlformats.org/officeDocument/2006/relationships/ctrlProp" Target="../ctrlProps/ctrlProp213.xml"/><Relationship Id="rId240" Type="http://schemas.openxmlformats.org/officeDocument/2006/relationships/ctrlProp" Target="../ctrlProps/ctrlProp229.xml"/><Relationship Id="rId245" Type="http://schemas.openxmlformats.org/officeDocument/2006/relationships/ctrlProp" Target="../ctrlProps/ctrlProp234.xml"/><Relationship Id="rId14" Type="http://schemas.openxmlformats.org/officeDocument/2006/relationships/ctrlProp" Target="../ctrlProps/ctrlProp3.xml"/><Relationship Id="rId30" Type="http://schemas.openxmlformats.org/officeDocument/2006/relationships/ctrlProp" Target="../ctrlProps/ctrlProp19.xml"/><Relationship Id="rId35" Type="http://schemas.openxmlformats.org/officeDocument/2006/relationships/ctrlProp" Target="../ctrlProps/ctrlProp24.xml"/><Relationship Id="rId56" Type="http://schemas.openxmlformats.org/officeDocument/2006/relationships/ctrlProp" Target="../ctrlProps/ctrlProp45.xml"/><Relationship Id="rId77" Type="http://schemas.openxmlformats.org/officeDocument/2006/relationships/ctrlProp" Target="../ctrlProps/ctrlProp66.xml"/><Relationship Id="rId100" Type="http://schemas.openxmlformats.org/officeDocument/2006/relationships/ctrlProp" Target="../ctrlProps/ctrlProp89.xml"/><Relationship Id="rId105" Type="http://schemas.openxmlformats.org/officeDocument/2006/relationships/ctrlProp" Target="../ctrlProps/ctrlProp94.xml"/><Relationship Id="rId126" Type="http://schemas.openxmlformats.org/officeDocument/2006/relationships/ctrlProp" Target="../ctrlProps/ctrlProp115.xml"/><Relationship Id="rId147" Type="http://schemas.openxmlformats.org/officeDocument/2006/relationships/ctrlProp" Target="../ctrlProps/ctrlProp136.xml"/><Relationship Id="rId168" Type="http://schemas.openxmlformats.org/officeDocument/2006/relationships/ctrlProp" Target="../ctrlProps/ctrlProp157.xml"/><Relationship Id="rId8" Type="http://schemas.openxmlformats.org/officeDocument/2006/relationships/control" Target="../activeX/activeX3.xml"/><Relationship Id="rId51" Type="http://schemas.openxmlformats.org/officeDocument/2006/relationships/ctrlProp" Target="../ctrlProps/ctrlProp40.xml"/><Relationship Id="rId72" Type="http://schemas.openxmlformats.org/officeDocument/2006/relationships/ctrlProp" Target="../ctrlProps/ctrlProp61.xml"/><Relationship Id="rId93" Type="http://schemas.openxmlformats.org/officeDocument/2006/relationships/ctrlProp" Target="../ctrlProps/ctrlProp82.xml"/><Relationship Id="rId98" Type="http://schemas.openxmlformats.org/officeDocument/2006/relationships/ctrlProp" Target="../ctrlProps/ctrlProp87.xml"/><Relationship Id="rId121" Type="http://schemas.openxmlformats.org/officeDocument/2006/relationships/ctrlProp" Target="../ctrlProps/ctrlProp110.xml"/><Relationship Id="rId142" Type="http://schemas.openxmlformats.org/officeDocument/2006/relationships/ctrlProp" Target="../ctrlProps/ctrlProp131.xml"/><Relationship Id="rId163" Type="http://schemas.openxmlformats.org/officeDocument/2006/relationships/ctrlProp" Target="../ctrlProps/ctrlProp152.xml"/><Relationship Id="rId184" Type="http://schemas.openxmlformats.org/officeDocument/2006/relationships/ctrlProp" Target="../ctrlProps/ctrlProp173.xml"/><Relationship Id="rId189" Type="http://schemas.openxmlformats.org/officeDocument/2006/relationships/ctrlProp" Target="../ctrlProps/ctrlProp178.xml"/><Relationship Id="rId219" Type="http://schemas.openxmlformats.org/officeDocument/2006/relationships/ctrlProp" Target="../ctrlProps/ctrlProp208.xml"/><Relationship Id="rId3" Type="http://schemas.openxmlformats.org/officeDocument/2006/relationships/customProperty" Target="../customProperty6.bin"/><Relationship Id="rId214" Type="http://schemas.openxmlformats.org/officeDocument/2006/relationships/ctrlProp" Target="../ctrlProps/ctrlProp203.xml"/><Relationship Id="rId230" Type="http://schemas.openxmlformats.org/officeDocument/2006/relationships/ctrlProp" Target="../ctrlProps/ctrlProp219.xml"/><Relationship Id="rId235" Type="http://schemas.openxmlformats.org/officeDocument/2006/relationships/ctrlProp" Target="../ctrlProps/ctrlProp224.xml"/><Relationship Id="rId25" Type="http://schemas.openxmlformats.org/officeDocument/2006/relationships/ctrlProp" Target="../ctrlProps/ctrlProp14.xml"/><Relationship Id="rId46" Type="http://schemas.openxmlformats.org/officeDocument/2006/relationships/ctrlProp" Target="../ctrlProps/ctrlProp35.xml"/><Relationship Id="rId67" Type="http://schemas.openxmlformats.org/officeDocument/2006/relationships/ctrlProp" Target="../ctrlProps/ctrlProp56.xml"/><Relationship Id="rId116" Type="http://schemas.openxmlformats.org/officeDocument/2006/relationships/ctrlProp" Target="../ctrlProps/ctrlProp105.xml"/><Relationship Id="rId137" Type="http://schemas.openxmlformats.org/officeDocument/2006/relationships/ctrlProp" Target="../ctrlProps/ctrlProp126.xml"/><Relationship Id="rId158" Type="http://schemas.openxmlformats.org/officeDocument/2006/relationships/ctrlProp" Target="../ctrlProps/ctrlProp147.xml"/><Relationship Id="rId20" Type="http://schemas.openxmlformats.org/officeDocument/2006/relationships/ctrlProp" Target="../ctrlProps/ctrlProp9.xml"/><Relationship Id="rId41" Type="http://schemas.openxmlformats.org/officeDocument/2006/relationships/ctrlProp" Target="../ctrlProps/ctrlProp30.xml"/><Relationship Id="rId62" Type="http://schemas.openxmlformats.org/officeDocument/2006/relationships/ctrlProp" Target="../ctrlProps/ctrlProp51.xml"/><Relationship Id="rId83" Type="http://schemas.openxmlformats.org/officeDocument/2006/relationships/ctrlProp" Target="../ctrlProps/ctrlProp72.xml"/><Relationship Id="rId88" Type="http://schemas.openxmlformats.org/officeDocument/2006/relationships/ctrlProp" Target="../ctrlProps/ctrlProp77.xml"/><Relationship Id="rId111" Type="http://schemas.openxmlformats.org/officeDocument/2006/relationships/ctrlProp" Target="../ctrlProps/ctrlProp100.xml"/><Relationship Id="rId132" Type="http://schemas.openxmlformats.org/officeDocument/2006/relationships/ctrlProp" Target="../ctrlProps/ctrlProp121.xml"/><Relationship Id="rId153" Type="http://schemas.openxmlformats.org/officeDocument/2006/relationships/ctrlProp" Target="../ctrlProps/ctrlProp142.xml"/><Relationship Id="rId174" Type="http://schemas.openxmlformats.org/officeDocument/2006/relationships/ctrlProp" Target="../ctrlProps/ctrlProp163.xml"/><Relationship Id="rId179" Type="http://schemas.openxmlformats.org/officeDocument/2006/relationships/ctrlProp" Target="../ctrlProps/ctrlProp168.xml"/><Relationship Id="rId195" Type="http://schemas.openxmlformats.org/officeDocument/2006/relationships/ctrlProp" Target="../ctrlProps/ctrlProp184.xml"/><Relationship Id="rId209" Type="http://schemas.openxmlformats.org/officeDocument/2006/relationships/ctrlProp" Target="../ctrlProps/ctrlProp198.xml"/><Relationship Id="rId190" Type="http://schemas.openxmlformats.org/officeDocument/2006/relationships/ctrlProp" Target="../ctrlProps/ctrlProp179.xml"/><Relationship Id="rId204" Type="http://schemas.openxmlformats.org/officeDocument/2006/relationships/ctrlProp" Target="../ctrlProps/ctrlProp193.xml"/><Relationship Id="rId220" Type="http://schemas.openxmlformats.org/officeDocument/2006/relationships/ctrlProp" Target="../ctrlProps/ctrlProp209.xml"/><Relationship Id="rId225" Type="http://schemas.openxmlformats.org/officeDocument/2006/relationships/ctrlProp" Target="../ctrlProps/ctrlProp214.xml"/><Relationship Id="rId241" Type="http://schemas.openxmlformats.org/officeDocument/2006/relationships/ctrlProp" Target="../ctrlProps/ctrlProp230.xml"/><Relationship Id="rId246" Type="http://schemas.openxmlformats.org/officeDocument/2006/relationships/ctrlProp" Target="../ctrlProps/ctrlProp235.xml"/><Relationship Id="rId15" Type="http://schemas.openxmlformats.org/officeDocument/2006/relationships/ctrlProp" Target="../ctrlProps/ctrlProp4.xml"/><Relationship Id="rId36" Type="http://schemas.openxmlformats.org/officeDocument/2006/relationships/ctrlProp" Target="../ctrlProps/ctrlProp25.xml"/><Relationship Id="rId57" Type="http://schemas.openxmlformats.org/officeDocument/2006/relationships/ctrlProp" Target="../ctrlProps/ctrlProp46.xml"/><Relationship Id="rId106" Type="http://schemas.openxmlformats.org/officeDocument/2006/relationships/ctrlProp" Target="../ctrlProps/ctrlProp95.xml"/><Relationship Id="rId127" Type="http://schemas.openxmlformats.org/officeDocument/2006/relationships/ctrlProp" Target="../ctrlProps/ctrlProp116.xml"/><Relationship Id="rId10" Type="http://schemas.openxmlformats.org/officeDocument/2006/relationships/control" Target="../activeX/activeX4.xml"/><Relationship Id="rId31" Type="http://schemas.openxmlformats.org/officeDocument/2006/relationships/ctrlProp" Target="../ctrlProps/ctrlProp20.xml"/><Relationship Id="rId52" Type="http://schemas.openxmlformats.org/officeDocument/2006/relationships/ctrlProp" Target="../ctrlProps/ctrlProp41.xml"/><Relationship Id="rId73" Type="http://schemas.openxmlformats.org/officeDocument/2006/relationships/ctrlProp" Target="../ctrlProps/ctrlProp62.xml"/><Relationship Id="rId78" Type="http://schemas.openxmlformats.org/officeDocument/2006/relationships/ctrlProp" Target="../ctrlProps/ctrlProp67.xml"/><Relationship Id="rId94" Type="http://schemas.openxmlformats.org/officeDocument/2006/relationships/ctrlProp" Target="../ctrlProps/ctrlProp83.xml"/><Relationship Id="rId99" Type="http://schemas.openxmlformats.org/officeDocument/2006/relationships/ctrlProp" Target="../ctrlProps/ctrlProp88.xml"/><Relationship Id="rId101" Type="http://schemas.openxmlformats.org/officeDocument/2006/relationships/ctrlProp" Target="../ctrlProps/ctrlProp90.xml"/><Relationship Id="rId122" Type="http://schemas.openxmlformats.org/officeDocument/2006/relationships/ctrlProp" Target="../ctrlProps/ctrlProp111.xml"/><Relationship Id="rId143" Type="http://schemas.openxmlformats.org/officeDocument/2006/relationships/ctrlProp" Target="../ctrlProps/ctrlProp132.xml"/><Relationship Id="rId148" Type="http://schemas.openxmlformats.org/officeDocument/2006/relationships/ctrlProp" Target="../ctrlProps/ctrlProp137.xml"/><Relationship Id="rId164" Type="http://schemas.openxmlformats.org/officeDocument/2006/relationships/ctrlProp" Target="../ctrlProps/ctrlProp153.xml"/><Relationship Id="rId169" Type="http://schemas.openxmlformats.org/officeDocument/2006/relationships/ctrlProp" Target="../ctrlProps/ctrlProp158.xml"/><Relationship Id="rId185" Type="http://schemas.openxmlformats.org/officeDocument/2006/relationships/ctrlProp" Target="../ctrlProps/ctrlProp174.xml"/><Relationship Id="rId4" Type="http://schemas.openxmlformats.org/officeDocument/2006/relationships/drawing" Target="../drawings/drawing2.xml"/><Relationship Id="rId9" Type="http://schemas.openxmlformats.org/officeDocument/2006/relationships/image" Target="../media/image3.emf"/><Relationship Id="rId180" Type="http://schemas.openxmlformats.org/officeDocument/2006/relationships/ctrlProp" Target="../ctrlProps/ctrlProp169.xml"/><Relationship Id="rId210" Type="http://schemas.openxmlformats.org/officeDocument/2006/relationships/ctrlProp" Target="../ctrlProps/ctrlProp199.xml"/><Relationship Id="rId215" Type="http://schemas.openxmlformats.org/officeDocument/2006/relationships/ctrlProp" Target="../ctrlProps/ctrlProp204.xml"/><Relationship Id="rId236" Type="http://schemas.openxmlformats.org/officeDocument/2006/relationships/ctrlProp" Target="../ctrlProps/ctrlProp225.xml"/><Relationship Id="rId26" Type="http://schemas.openxmlformats.org/officeDocument/2006/relationships/ctrlProp" Target="../ctrlProps/ctrlProp15.xml"/><Relationship Id="rId231" Type="http://schemas.openxmlformats.org/officeDocument/2006/relationships/ctrlProp" Target="../ctrlProps/ctrlProp220.xml"/><Relationship Id="rId47" Type="http://schemas.openxmlformats.org/officeDocument/2006/relationships/ctrlProp" Target="../ctrlProps/ctrlProp36.xml"/><Relationship Id="rId68" Type="http://schemas.openxmlformats.org/officeDocument/2006/relationships/ctrlProp" Target="../ctrlProps/ctrlProp57.xml"/><Relationship Id="rId89" Type="http://schemas.openxmlformats.org/officeDocument/2006/relationships/ctrlProp" Target="../ctrlProps/ctrlProp78.xml"/><Relationship Id="rId112" Type="http://schemas.openxmlformats.org/officeDocument/2006/relationships/ctrlProp" Target="../ctrlProps/ctrlProp101.xml"/><Relationship Id="rId133" Type="http://schemas.openxmlformats.org/officeDocument/2006/relationships/ctrlProp" Target="../ctrlProps/ctrlProp122.xml"/><Relationship Id="rId154" Type="http://schemas.openxmlformats.org/officeDocument/2006/relationships/ctrlProp" Target="../ctrlProps/ctrlProp143.xml"/><Relationship Id="rId175" Type="http://schemas.openxmlformats.org/officeDocument/2006/relationships/ctrlProp" Target="../ctrlProps/ctrlProp164.xml"/><Relationship Id="rId196" Type="http://schemas.openxmlformats.org/officeDocument/2006/relationships/ctrlProp" Target="../ctrlProps/ctrlProp185.xml"/><Relationship Id="rId200" Type="http://schemas.openxmlformats.org/officeDocument/2006/relationships/ctrlProp" Target="../ctrlProps/ctrlProp189.xml"/><Relationship Id="rId16" Type="http://schemas.openxmlformats.org/officeDocument/2006/relationships/ctrlProp" Target="../ctrlProps/ctrlProp5.xml"/><Relationship Id="rId221" Type="http://schemas.openxmlformats.org/officeDocument/2006/relationships/ctrlProp" Target="../ctrlProps/ctrlProp210.xml"/><Relationship Id="rId242" Type="http://schemas.openxmlformats.org/officeDocument/2006/relationships/ctrlProp" Target="../ctrlProps/ctrlProp231.xml"/><Relationship Id="rId37" Type="http://schemas.openxmlformats.org/officeDocument/2006/relationships/ctrlProp" Target="../ctrlProps/ctrlProp26.xml"/><Relationship Id="rId58" Type="http://schemas.openxmlformats.org/officeDocument/2006/relationships/ctrlProp" Target="../ctrlProps/ctrlProp47.xml"/><Relationship Id="rId79" Type="http://schemas.openxmlformats.org/officeDocument/2006/relationships/ctrlProp" Target="../ctrlProps/ctrlProp68.xml"/><Relationship Id="rId102" Type="http://schemas.openxmlformats.org/officeDocument/2006/relationships/ctrlProp" Target="../ctrlProps/ctrlProp91.xml"/><Relationship Id="rId123" Type="http://schemas.openxmlformats.org/officeDocument/2006/relationships/ctrlProp" Target="../ctrlProps/ctrlProp112.xml"/><Relationship Id="rId144" Type="http://schemas.openxmlformats.org/officeDocument/2006/relationships/ctrlProp" Target="../ctrlProps/ctrlProp133.xml"/><Relationship Id="rId90" Type="http://schemas.openxmlformats.org/officeDocument/2006/relationships/ctrlProp" Target="../ctrlProps/ctrlProp79.xml"/><Relationship Id="rId165" Type="http://schemas.openxmlformats.org/officeDocument/2006/relationships/ctrlProp" Target="../ctrlProps/ctrlProp154.xml"/><Relationship Id="rId186" Type="http://schemas.openxmlformats.org/officeDocument/2006/relationships/ctrlProp" Target="../ctrlProps/ctrlProp175.xml"/><Relationship Id="rId211" Type="http://schemas.openxmlformats.org/officeDocument/2006/relationships/ctrlProp" Target="../ctrlProps/ctrlProp200.xml"/><Relationship Id="rId232" Type="http://schemas.openxmlformats.org/officeDocument/2006/relationships/ctrlProp" Target="../ctrlProps/ctrlProp221.xml"/><Relationship Id="rId27" Type="http://schemas.openxmlformats.org/officeDocument/2006/relationships/ctrlProp" Target="../ctrlProps/ctrlProp16.xml"/><Relationship Id="rId48" Type="http://schemas.openxmlformats.org/officeDocument/2006/relationships/ctrlProp" Target="../ctrlProps/ctrlProp37.xml"/><Relationship Id="rId69" Type="http://schemas.openxmlformats.org/officeDocument/2006/relationships/ctrlProp" Target="../ctrlProps/ctrlProp58.xml"/><Relationship Id="rId113" Type="http://schemas.openxmlformats.org/officeDocument/2006/relationships/ctrlProp" Target="../ctrlProps/ctrlProp102.xml"/><Relationship Id="rId134" Type="http://schemas.openxmlformats.org/officeDocument/2006/relationships/ctrlProp" Target="../ctrlProps/ctrlProp123.xml"/><Relationship Id="rId80" Type="http://schemas.openxmlformats.org/officeDocument/2006/relationships/ctrlProp" Target="../ctrlProps/ctrlProp69.xml"/><Relationship Id="rId155" Type="http://schemas.openxmlformats.org/officeDocument/2006/relationships/ctrlProp" Target="../ctrlProps/ctrlProp144.xml"/><Relationship Id="rId176" Type="http://schemas.openxmlformats.org/officeDocument/2006/relationships/ctrlProp" Target="../ctrlProps/ctrlProp165.xml"/><Relationship Id="rId197" Type="http://schemas.openxmlformats.org/officeDocument/2006/relationships/ctrlProp" Target="../ctrlProps/ctrlProp186.xml"/><Relationship Id="rId201" Type="http://schemas.openxmlformats.org/officeDocument/2006/relationships/ctrlProp" Target="../ctrlProps/ctrlProp190.xml"/><Relationship Id="rId222" Type="http://schemas.openxmlformats.org/officeDocument/2006/relationships/ctrlProp" Target="../ctrlProps/ctrlProp211.xml"/><Relationship Id="rId243" Type="http://schemas.openxmlformats.org/officeDocument/2006/relationships/ctrlProp" Target="../ctrlProps/ctrlProp232.xml"/></Relationships>
</file>

<file path=xl/worksheets/_rels/sheet3.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3" Type="http://schemas.openxmlformats.org/officeDocument/2006/relationships/customProperty" Target="../customProperty8.bin"/><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47" Type="http://schemas.openxmlformats.org/officeDocument/2006/relationships/image" Target="../media/image23.emf"/><Relationship Id="rId7" Type="http://schemas.openxmlformats.org/officeDocument/2006/relationships/drawing" Target="../drawings/drawing3.xml"/><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 Id="rId46" Type="http://schemas.openxmlformats.org/officeDocument/2006/relationships/control" Target="../activeX/activeX24.xml"/><Relationship Id="rId2" Type="http://schemas.openxmlformats.org/officeDocument/2006/relationships/customProperty" Target="../customProperty7.bin"/><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5.emf"/><Relationship Id="rId41" Type="http://schemas.openxmlformats.org/officeDocument/2006/relationships/image" Target="../media/image21.emf"/><Relationship Id="rId1" Type="http://schemas.openxmlformats.org/officeDocument/2006/relationships/printerSettings" Target="../printerSettings/printerSettings3.bin"/><Relationship Id="rId6" Type="http://schemas.openxmlformats.org/officeDocument/2006/relationships/customProperty" Target="../customProperty11.bin"/><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45" Type="http://schemas.openxmlformats.org/officeDocument/2006/relationships/image" Target="../media/image22.emf"/><Relationship Id="rId5" Type="http://schemas.openxmlformats.org/officeDocument/2006/relationships/customProperty" Target="../customProperty10.bin"/><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49" Type="http://schemas.openxmlformats.org/officeDocument/2006/relationships/image" Target="../media/image24.emf"/><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3.xml"/><Relationship Id="rId4" Type="http://schemas.openxmlformats.org/officeDocument/2006/relationships/customProperty" Target="../customProperty9.bin"/><Relationship Id="rId9" Type="http://schemas.openxmlformats.org/officeDocument/2006/relationships/image" Target="../media/image5.png"/><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control" Target="../activeX/activeX22.xml"/><Relationship Id="rId48" Type="http://schemas.openxmlformats.org/officeDocument/2006/relationships/control" Target="../activeX/activeX25.xml"/><Relationship Id="rId8"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F54"/>
  <sheetViews>
    <sheetView topLeftCell="A55" workbookViewId="0"/>
  </sheetViews>
  <sheetFormatPr defaultRowHeight="15" x14ac:dyDescent="0.25"/>
  <cols>
    <col min="1" max="1" width="13.28515625" bestFit="1" customWidth="1"/>
  </cols>
  <sheetData>
    <row r="1" spans="1:214" ht="409.5" x14ac:dyDescent="0.25">
      <c r="A1" t="s">
        <v>24</v>
      </c>
      <c r="B1" s="63" t="s">
        <v>95</v>
      </c>
    </row>
    <row r="2" spans="1:214" x14ac:dyDescent="0.25">
      <c r="A2" t="s">
        <v>25</v>
      </c>
      <c r="B2" s="63"/>
    </row>
    <row r="3" spans="1:214" x14ac:dyDescent="0.25">
      <c r="A3" t="s">
        <v>26</v>
      </c>
      <c r="C3" t="s">
        <v>96</v>
      </c>
      <c r="D3" t="s">
        <v>97</v>
      </c>
      <c r="E3" t="s">
        <v>98</v>
      </c>
      <c r="F3" t="s">
        <v>99</v>
      </c>
      <c r="G3" t="s">
        <v>100</v>
      </c>
      <c r="H3" t="s">
        <v>101</v>
      </c>
      <c r="I3" t="s">
        <v>102</v>
      </c>
      <c r="J3" t="s">
        <v>103</v>
      </c>
      <c r="K3" t="s">
        <v>104</v>
      </c>
      <c r="L3" t="s">
        <v>105</v>
      </c>
      <c r="M3" t="s">
        <v>106</v>
      </c>
      <c r="N3" t="s">
        <v>107</v>
      </c>
      <c r="O3" t="s">
        <v>108</v>
      </c>
      <c r="P3" t="s">
        <v>109</v>
      </c>
      <c r="Q3" t="s">
        <v>110</v>
      </c>
      <c r="R3" t="s">
        <v>111</v>
      </c>
      <c r="S3" t="s">
        <v>112</v>
      </c>
      <c r="T3" t="s">
        <v>113</v>
      </c>
      <c r="U3" t="s">
        <v>114</v>
      </c>
      <c r="V3" t="s">
        <v>115</v>
      </c>
      <c r="W3" t="s">
        <v>116</v>
      </c>
      <c r="X3" t="s">
        <v>117</v>
      </c>
      <c r="Y3" t="s">
        <v>118</v>
      </c>
      <c r="Z3" t="s">
        <v>119</v>
      </c>
      <c r="AA3" t="s">
        <v>120</v>
      </c>
      <c r="AB3" t="s">
        <v>121</v>
      </c>
      <c r="AC3" t="s">
        <v>122</v>
      </c>
      <c r="AD3" t="s">
        <v>123</v>
      </c>
      <c r="AE3" t="s">
        <v>124</v>
      </c>
      <c r="AF3" t="s">
        <v>125</v>
      </c>
      <c r="AG3" t="s">
        <v>126</v>
      </c>
      <c r="AH3" t="s">
        <v>127</v>
      </c>
      <c r="AI3" t="s">
        <v>128</v>
      </c>
      <c r="AJ3" t="s">
        <v>129</v>
      </c>
      <c r="AK3" t="s">
        <v>130</v>
      </c>
      <c r="AL3" t="s">
        <v>131</v>
      </c>
      <c r="AM3" t="s">
        <v>132</v>
      </c>
      <c r="AN3" t="s">
        <v>133</v>
      </c>
      <c r="AO3" t="s">
        <v>134</v>
      </c>
      <c r="AP3" t="s">
        <v>135</v>
      </c>
      <c r="AQ3" t="s">
        <v>136</v>
      </c>
      <c r="AR3" t="s">
        <v>137</v>
      </c>
      <c r="AS3" t="s">
        <v>138</v>
      </c>
      <c r="AT3" t="s">
        <v>139</v>
      </c>
      <c r="AU3" t="s">
        <v>140</v>
      </c>
      <c r="AV3" t="s">
        <v>141</v>
      </c>
      <c r="AW3" t="s">
        <v>142</v>
      </c>
      <c r="AX3" t="s">
        <v>143</v>
      </c>
      <c r="AY3" t="s">
        <v>144</v>
      </c>
      <c r="AZ3" t="s">
        <v>145</v>
      </c>
      <c r="BA3" t="s">
        <v>146</v>
      </c>
      <c r="BB3" t="s">
        <v>147</v>
      </c>
      <c r="BC3" t="s">
        <v>148</v>
      </c>
      <c r="BD3" t="s">
        <v>149</v>
      </c>
      <c r="BE3" t="s">
        <v>150</v>
      </c>
      <c r="BF3" t="s">
        <v>151</v>
      </c>
      <c r="BG3" t="s">
        <v>152</v>
      </c>
      <c r="BH3" t="s">
        <v>153</v>
      </c>
      <c r="BI3" t="s">
        <v>154</v>
      </c>
      <c r="BJ3" t="s">
        <v>155</v>
      </c>
      <c r="BK3" t="s">
        <v>156</v>
      </c>
      <c r="BL3" t="s">
        <v>157</v>
      </c>
      <c r="BM3" t="s">
        <v>158</v>
      </c>
      <c r="BN3" t="s">
        <v>159</v>
      </c>
      <c r="BO3" t="s">
        <v>160</v>
      </c>
      <c r="BP3" t="s">
        <v>161</v>
      </c>
      <c r="BQ3" t="s">
        <v>162</v>
      </c>
      <c r="BR3" t="s">
        <v>163</v>
      </c>
      <c r="BS3" t="s">
        <v>164</v>
      </c>
      <c r="BT3" t="s">
        <v>165</v>
      </c>
      <c r="BU3" t="s">
        <v>166</v>
      </c>
      <c r="BV3" t="s">
        <v>167</v>
      </c>
      <c r="BW3" t="s">
        <v>168</v>
      </c>
      <c r="BX3" t="s">
        <v>169</v>
      </c>
      <c r="BY3" t="s">
        <v>170</v>
      </c>
      <c r="BZ3" t="s">
        <v>171</v>
      </c>
      <c r="CA3" t="s">
        <v>172</v>
      </c>
      <c r="CB3" t="s">
        <v>173</v>
      </c>
      <c r="CC3" t="s">
        <v>174</v>
      </c>
      <c r="CD3" t="s">
        <v>175</v>
      </c>
      <c r="CE3" t="s">
        <v>176</v>
      </c>
      <c r="CF3" t="s">
        <v>177</v>
      </c>
      <c r="CG3" t="s">
        <v>178</v>
      </c>
      <c r="CH3" t="s">
        <v>179</v>
      </c>
      <c r="CI3" t="s">
        <v>180</v>
      </c>
      <c r="CJ3" t="s">
        <v>181</v>
      </c>
      <c r="CK3" t="s">
        <v>182</v>
      </c>
      <c r="CL3" t="s">
        <v>183</v>
      </c>
      <c r="CM3" t="s">
        <v>184</v>
      </c>
      <c r="CN3" t="s">
        <v>185</v>
      </c>
      <c r="CO3" t="s">
        <v>186</v>
      </c>
      <c r="CP3" t="s">
        <v>187</v>
      </c>
      <c r="CQ3" t="s">
        <v>188</v>
      </c>
      <c r="CR3" t="s">
        <v>189</v>
      </c>
      <c r="CS3" t="s">
        <v>190</v>
      </c>
      <c r="CT3" t="s">
        <v>191</v>
      </c>
      <c r="CU3" t="s">
        <v>192</v>
      </c>
      <c r="CV3" t="s">
        <v>193</v>
      </c>
      <c r="CW3" t="s">
        <v>194</v>
      </c>
      <c r="CX3" t="s">
        <v>195</v>
      </c>
      <c r="CY3" t="s">
        <v>196</v>
      </c>
      <c r="CZ3" t="s">
        <v>197</v>
      </c>
      <c r="DA3" t="s">
        <v>198</v>
      </c>
      <c r="DB3" t="s">
        <v>199</v>
      </c>
      <c r="DC3" t="s">
        <v>200</v>
      </c>
      <c r="DD3" t="s">
        <v>201</v>
      </c>
      <c r="DE3" t="s">
        <v>202</v>
      </c>
      <c r="DF3" t="s">
        <v>203</v>
      </c>
      <c r="DG3" t="s">
        <v>204</v>
      </c>
      <c r="DH3" t="s">
        <v>205</v>
      </c>
      <c r="DI3" t="s">
        <v>206</v>
      </c>
      <c r="DJ3" t="s">
        <v>207</v>
      </c>
      <c r="DK3" t="s">
        <v>208</v>
      </c>
      <c r="DL3" t="s">
        <v>209</v>
      </c>
      <c r="DM3" t="s">
        <v>210</v>
      </c>
      <c r="DN3" t="s">
        <v>211</v>
      </c>
      <c r="DO3" t="s">
        <v>212</v>
      </c>
      <c r="DP3" t="s">
        <v>213</v>
      </c>
      <c r="DQ3" t="s">
        <v>214</v>
      </c>
      <c r="DR3" t="s">
        <v>215</v>
      </c>
      <c r="DS3" t="s">
        <v>216</v>
      </c>
      <c r="DT3" t="s">
        <v>217</v>
      </c>
      <c r="DU3" t="s">
        <v>218</v>
      </c>
      <c r="DV3" t="s">
        <v>219</v>
      </c>
      <c r="DW3" t="s">
        <v>220</v>
      </c>
      <c r="DX3" t="s">
        <v>221</v>
      </c>
      <c r="DY3" t="s">
        <v>222</v>
      </c>
      <c r="DZ3" t="s">
        <v>223</v>
      </c>
      <c r="EA3" t="s">
        <v>224</v>
      </c>
      <c r="EB3" t="s">
        <v>225</v>
      </c>
      <c r="EC3" t="s">
        <v>226</v>
      </c>
      <c r="ED3" t="s">
        <v>227</v>
      </c>
      <c r="EE3" t="s">
        <v>228</v>
      </c>
      <c r="EF3" t="s">
        <v>229</v>
      </c>
      <c r="EG3" t="s">
        <v>230</v>
      </c>
      <c r="EH3" t="s">
        <v>231</v>
      </c>
      <c r="EI3" t="s">
        <v>232</v>
      </c>
      <c r="EJ3" t="s">
        <v>233</v>
      </c>
      <c r="EK3" t="s">
        <v>234</v>
      </c>
      <c r="EL3" t="s">
        <v>235</v>
      </c>
      <c r="EM3" t="s">
        <v>236</v>
      </c>
      <c r="EN3" t="s">
        <v>237</v>
      </c>
      <c r="EO3" t="s">
        <v>238</v>
      </c>
      <c r="EP3" t="s">
        <v>239</v>
      </c>
      <c r="EQ3" t="s">
        <v>240</v>
      </c>
      <c r="ER3" t="s">
        <v>241</v>
      </c>
      <c r="ES3" t="s">
        <v>242</v>
      </c>
      <c r="ET3" t="s">
        <v>243</v>
      </c>
      <c r="EU3" t="s">
        <v>244</v>
      </c>
      <c r="EV3" t="s">
        <v>245</v>
      </c>
      <c r="EW3" t="s">
        <v>246</v>
      </c>
      <c r="EX3" t="s">
        <v>247</v>
      </c>
      <c r="EY3" t="s">
        <v>248</v>
      </c>
      <c r="EZ3" t="s">
        <v>249</v>
      </c>
      <c r="FA3" t="s">
        <v>250</v>
      </c>
      <c r="FB3" t="s">
        <v>251</v>
      </c>
      <c r="FC3" t="s">
        <v>252</v>
      </c>
      <c r="FD3" t="s">
        <v>253</v>
      </c>
      <c r="FE3" t="s">
        <v>254</v>
      </c>
      <c r="FF3" t="s">
        <v>255</v>
      </c>
      <c r="FG3" t="s">
        <v>256</v>
      </c>
      <c r="FH3" t="s">
        <v>257</v>
      </c>
      <c r="FI3" t="s">
        <v>258</v>
      </c>
      <c r="FJ3" t="s">
        <v>259</v>
      </c>
      <c r="FK3" t="s">
        <v>260</v>
      </c>
      <c r="FL3" t="s">
        <v>261</v>
      </c>
      <c r="FM3" t="s">
        <v>262</v>
      </c>
      <c r="FN3" t="s">
        <v>263</v>
      </c>
      <c r="FO3" t="s">
        <v>264</v>
      </c>
      <c r="FP3" t="s">
        <v>265</v>
      </c>
      <c r="FQ3" t="s">
        <v>266</v>
      </c>
      <c r="FR3" t="s">
        <v>267</v>
      </c>
      <c r="FS3" t="s">
        <v>268</v>
      </c>
      <c r="FT3" t="s">
        <v>269</v>
      </c>
      <c r="FU3" t="s">
        <v>270</v>
      </c>
      <c r="FV3" t="s">
        <v>271</v>
      </c>
      <c r="FW3" t="s">
        <v>272</v>
      </c>
      <c r="FX3" t="s">
        <v>273</v>
      </c>
      <c r="FY3" t="s">
        <v>274</v>
      </c>
      <c r="FZ3" t="s">
        <v>275</v>
      </c>
      <c r="GA3" t="s">
        <v>276</v>
      </c>
      <c r="GB3" t="s">
        <v>277</v>
      </c>
      <c r="GC3" t="s">
        <v>278</v>
      </c>
      <c r="GD3" t="s">
        <v>279</v>
      </c>
      <c r="GE3" t="s">
        <v>280</v>
      </c>
      <c r="GF3" t="s">
        <v>281</v>
      </c>
      <c r="GG3" t="s">
        <v>282</v>
      </c>
      <c r="GH3" t="s">
        <v>283</v>
      </c>
      <c r="GI3" t="s">
        <v>284</v>
      </c>
      <c r="GJ3" t="s">
        <v>285</v>
      </c>
      <c r="GK3" t="s">
        <v>286</v>
      </c>
      <c r="GL3" t="s">
        <v>287</v>
      </c>
      <c r="GM3" t="s">
        <v>288</v>
      </c>
      <c r="GN3" t="s">
        <v>289</v>
      </c>
      <c r="GO3" t="s">
        <v>290</v>
      </c>
      <c r="GP3" t="s">
        <v>291</v>
      </c>
      <c r="GQ3" t="s">
        <v>292</v>
      </c>
      <c r="GR3" t="s">
        <v>293</v>
      </c>
      <c r="GS3" t="s">
        <v>294</v>
      </c>
      <c r="GT3" t="s">
        <v>295</v>
      </c>
      <c r="GU3" t="s">
        <v>296</v>
      </c>
      <c r="GV3" t="s">
        <v>297</v>
      </c>
      <c r="GW3" t="s">
        <v>298</v>
      </c>
      <c r="GX3" t="s">
        <v>299</v>
      </c>
      <c r="GY3" t="s">
        <v>300</v>
      </c>
      <c r="GZ3" t="s">
        <v>301</v>
      </c>
      <c r="HA3" t="s">
        <v>302</v>
      </c>
      <c r="HB3" t="s">
        <v>303</v>
      </c>
      <c r="HC3" t="s">
        <v>304</v>
      </c>
      <c r="HD3" t="s">
        <v>305</v>
      </c>
      <c r="HE3" t="s">
        <v>306</v>
      </c>
      <c r="HF3" t="s">
        <v>307</v>
      </c>
    </row>
    <row r="4" spans="1:214" x14ac:dyDescent="0.25">
      <c r="A4" t="s">
        <v>26</v>
      </c>
      <c r="B4" t="s">
        <v>77</v>
      </c>
      <c r="C4">
        <v>190476.88509299999</v>
      </c>
      <c r="D4">
        <v>189682.97307499999</v>
      </c>
      <c r="E4">
        <v>187783.00126300001</v>
      </c>
      <c r="F4">
        <v>185378.64535400001</v>
      </c>
      <c r="G4">
        <v>185752.19375599999</v>
      </c>
      <c r="H4">
        <v>191231.450155</v>
      </c>
      <c r="I4">
        <v>186628.26204900001</v>
      </c>
      <c r="J4">
        <v>185330.48708799999</v>
      </c>
      <c r="K4">
        <v>184805.25427400001</v>
      </c>
      <c r="L4">
        <v>184514.076271</v>
      </c>
      <c r="M4">
        <v>180055.46086799999</v>
      </c>
      <c r="N4">
        <v>174829.56284699999</v>
      </c>
      <c r="O4">
        <v>188424.109077</v>
      </c>
      <c r="P4">
        <v>189442.612987</v>
      </c>
      <c r="Q4">
        <v>183840.635369</v>
      </c>
      <c r="R4">
        <v>186732.85537599999</v>
      </c>
      <c r="S4">
        <v>196078.08728599999</v>
      </c>
      <c r="T4">
        <v>196233.06592200001</v>
      </c>
      <c r="U4">
        <v>194349.71479999999</v>
      </c>
      <c r="V4">
        <v>192842.088296</v>
      </c>
      <c r="W4">
        <v>199717.08431599999</v>
      </c>
      <c r="X4">
        <v>208322.09089799999</v>
      </c>
      <c r="Y4">
        <v>204279.97907199999</v>
      </c>
      <c r="Z4">
        <v>230552.96079499999</v>
      </c>
      <c r="AA4">
        <v>217520.11804200002</v>
      </c>
      <c r="AB4">
        <v>203593.31355599998</v>
      </c>
      <c r="AC4">
        <v>202142.81164699999</v>
      </c>
      <c r="AD4">
        <v>208530.84679600003</v>
      </c>
      <c r="AE4">
        <v>199530.07836900002</v>
      </c>
      <c r="AF4">
        <v>198027.10246999998</v>
      </c>
      <c r="AG4">
        <v>198420.19057899999</v>
      </c>
      <c r="AH4">
        <v>197594.78306799999</v>
      </c>
      <c r="AI4">
        <v>202826.57646900002</v>
      </c>
      <c r="AJ4">
        <v>189782.46984100001</v>
      </c>
      <c r="AK4">
        <v>194067.69402900001</v>
      </c>
      <c r="AL4">
        <v>192441.67391199997</v>
      </c>
      <c r="AM4">
        <v>193475.433773</v>
      </c>
      <c r="AN4">
        <v>195546.55686499999</v>
      </c>
      <c r="AO4">
        <v>197290.08068500002</v>
      </c>
      <c r="AP4">
        <v>202467.04764599999</v>
      </c>
      <c r="AQ4">
        <v>198821.67628999997</v>
      </c>
      <c r="AR4">
        <v>200892.687114</v>
      </c>
      <c r="AS4">
        <v>199579.55223299999</v>
      </c>
      <c r="AT4">
        <v>194872.74823299999</v>
      </c>
      <c r="AU4">
        <v>199776.23253899999</v>
      </c>
      <c r="AV4">
        <v>201331.60241999998</v>
      </c>
      <c r="AW4">
        <v>205544.384311</v>
      </c>
      <c r="AX4">
        <v>207458.109119</v>
      </c>
      <c r="AY4">
        <v>207608.448577</v>
      </c>
      <c r="AZ4">
        <v>209724.93545699999</v>
      </c>
      <c r="BA4">
        <v>210819.57497000002</v>
      </c>
      <c r="BB4">
        <v>209898.27848199999</v>
      </c>
      <c r="BC4">
        <v>214890.46147100002</v>
      </c>
      <c r="BD4">
        <v>216819.84487299999</v>
      </c>
      <c r="BE4">
        <v>213904.17804600002</v>
      </c>
      <c r="BF4">
        <v>212948.33489700002</v>
      </c>
      <c r="BG4">
        <v>213538.36000300001</v>
      </c>
      <c r="BH4">
        <v>211284.57325699998</v>
      </c>
      <c r="BI4">
        <v>218546.536081</v>
      </c>
      <c r="BJ4">
        <v>219923.81659</v>
      </c>
      <c r="BK4">
        <v>216249.91882000002</v>
      </c>
      <c r="BL4">
        <v>220285.30241900001</v>
      </c>
      <c r="BM4">
        <v>205472.39484599998</v>
      </c>
      <c r="BN4">
        <v>220086.025452</v>
      </c>
      <c r="BO4">
        <v>215407.29355500001</v>
      </c>
      <c r="BP4">
        <v>217564.29677800002</v>
      </c>
      <c r="BQ4">
        <v>215439.32484699998</v>
      </c>
      <c r="BR4">
        <v>217203.28305</v>
      </c>
      <c r="BS4">
        <v>218492.998789</v>
      </c>
      <c r="BT4">
        <v>219361.33398</v>
      </c>
      <c r="BU4">
        <v>224787.54707999999</v>
      </c>
      <c r="BV4">
        <v>219821.93706200001</v>
      </c>
      <c r="BW4">
        <v>218287.43114999999</v>
      </c>
      <c r="BX4">
        <v>219614.160753</v>
      </c>
      <c r="BY4">
        <v>220690.73941499999</v>
      </c>
      <c r="BZ4">
        <v>221562.27351299999</v>
      </c>
      <c r="CA4">
        <v>221658.04165000003</v>
      </c>
      <c r="CB4">
        <v>218062.474151</v>
      </c>
      <c r="CC4">
        <v>221949.99219699999</v>
      </c>
      <c r="CD4">
        <v>217332.117658</v>
      </c>
      <c r="CE4">
        <v>217440.716637</v>
      </c>
      <c r="CF4">
        <v>223028.250849</v>
      </c>
      <c r="CG4">
        <v>219211.19269</v>
      </c>
      <c r="CH4">
        <v>214926.61849299999</v>
      </c>
      <c r="CI4">
        <v>220611.33710999999</v>
      </c>
      <c r="CJ4">
        <v>224606.57780700002</v>
      </c>
      <c r="CK4">
        <v>221530.35689300002</v>
      </c>
      <c r="CL4">
        <v>219638.80854299999</v>
      </c>
      <c r="CM4">
        <v>218562.35416299998</v>
      </c>
      <c r="CN4">
        <v>221142.395583</v>
      </c>
      <c r="CO4">
        <v>218786.28672</v>
      </c>
      <c r="CP4">
        <v>219225.43865900001</v>
      </c>
      <c r="CQ4">
        <v>222880.219893</v>
      </c>
      <c r="CR4">
        <v>222504.933865</v>
      </c>
      <c r="CS4">
        <v>222577.83651600001</v>
      </c>
      <c r="CT4">
        <v>223302.478523</v>
      </c>
      <c r="CU4">
        <v>226139.15257500001</v>
      </c>
      <c r="CV4">
        <v>221833.01340200001</v>
      </c>
      <c r="CW4">
        <v>224500.24442999999</v>
      </c>
      <c r="CX4">
        <v>222135.08503800002</v>
      </c>
      <c r="CY4">
        <v>219511.27852000002</v>
      </c>
      <c r="CZ4">
        <v>222143.35087899998</v>
      </c>
      <c r="DA4">
        <v>225963.057038</v>
      </c>
      <c r="DB4">
        <v>216910.07987700001</v>
      </c>
      <c r="DC4">
        <v>228845.55069699997</v>
      </c>
      <c r="DD4">
        <v>217466</v>
      </c>
      <c r="DE4">
        <v>254239</v>
      </c>
      <c r="DF4">
        <v>146</v>
      </c>
      <c r="DG4">
        <v>3</v>
      </c>
      <c r="DH4">
        <v>0</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0</v>
      </c>
      <c r="GC4">
        <v>0</v>
      </c>
      <c r="GD4">
        <v>0</v>
      </c>
      <c r="GE4">
        <v>0</v>
      </c>
      <c r="GF4">
        <v>0</v>
      </c>
      <c r="GG4">
        <v>0</v>
      </c>
      <c r="GH4">
        <v>0</v>
      </c>
      <c r="GI4">
        <v>0</v>
      </c>
      <c r="GJ4">
        <v>0</v>
      </c>
      <c r="GK4">
        <v>0</v>
      </c>
      <c r="GL4">
        <v>0</v>
      </c>
      <c r="GM4">
        <v>0</v>
      </c>
      <c r="GN4">
        <v>0</v>
      </c>
      <c r="GO4">
        <v>0</v>
      </c>
      <c r="GP4">
        <v>0</v>
      </c>
      <c r="GQ4">
        <v>0</v>
      </c>
      <c r="GR4">
        <v>0</v>
      </c>
      <c r="GS4">
        <v>0</v>
      </c>
      <c r="GT4">
        <v>0</v>
      </c>
      <c r="GU4">
        <v>0</v>
      </c>
      <c r="GV4">
        <v>0</v>
      </c>
      <c r="GW4">
        <v>0</v>
      </c>
      <c r="GX4">
        <v>0</v>
      </c>
      <c r="GY4">
        <v>0</v>
      </c>
      <c r="GZ4">
        <v>0</v>
      </c>
      <c r="HA4">
        <v>0</v>
      </c>
      <c r="HB4">
        <v>0</v>
      </c>
      <c r="HC4">
        <v>0</v>
      </c>
      <c r="HD4">
        <v>0</v>
      </c>
      <c r="HE4">
        <v>0</v>
      </c>
      <c r="HF4">
        <v>0</v>
      </c>
    </row>
    <row r="5" spans="1:214" x14ac:dyDescent="0.25">
      <c r="A5" t="s">
        <v>26</v>
      </c>
      <c r="B5" t="s">
        <v>78</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90214.319237000003</v>
      </c>
      <c r="CX5">
        <v>220088.73748900002</v>
      </c>
      <c r="CY5">
        <v>214153.83896199998</v>
      </c>
      <c r="CZ5">
        <v>213534.27210399997</v>
      </c>
      <c r="DA5">
        <v>214424.55278500001</v>
      </c>
      <c r="DB5">
        <v>214772.72025499999</v>
      </c>
      <c r="DC5">
        <v>215470.57465900001</v>
      </c>
      <c r="DD5">
        <v>216401.815241</v>
      </c>
      <c r="DE5">
        <v>218932.84455799998</v>
      </c>
      <c r="DF5">
        <v>217207.14964400002</v>
      </c>
      <c r="DG5">
        <v>217148.75885899999</v>
      </c>
      <c r="DH5">
        <v>217536.138641</v>
      </c>
      <c r="DI5">
        <v>218419.70828599998</v>
      </c>
      <c r="DJ5">
        <v>216540.52733400001</v>
      </c>
      <c r="DK5">
        <v>216624.54284100002</v>
      </c>
      <c r="DL5">
        <v>216687.66586799998</v>
      </c>
      <c r="DM5">
        <v>202304.57450599998</v>
      </c>
      <c r="DN5">
        <v>215239.28417300002</v>
      </c>
      <c r="DO5">
        <v>213449.63901999997</v>
      </c>
      <c r="DP5">
        <v>217866.73881499999</v>
      </c>
      <c r="DQ5">
        <v>215415.32983699997</v>
      </c>
      <c r="DR5">
        <v>215956.41693000001</v>
      </c>
      <c r="DS5">
        <v>217613.19590800002</v>
      </c>
      <c r="DT5">
        <v>217298.07981199995</v>
      </c>
      <c r="DU5">
        <v>217936.11956699999</v>
      </c>
      <c r="DV5">
        <v>216912.33345500001</v>
      </c>
      <c r="DW5">
        <v>218201.10375399998</v>
      </c>
      <c r="DX5">
        <v>221394.201191</v>
      </c>
      <c r="DY5">
        <v>221169.336117</v>
      </c>
      <c r="DZ5">
        <v>223120.26817700002</v>
      </c>
      <c r="EA5">
        <v>222238.31279299999</v>
      </c>
      <c r="EB5">
        <v>214628.38947699999</v>
      </c>
      <c r="EC5">
        <v>220004.02923300001</v>
      </c>
      <c r="ED5">
        <v>225305.31521599999</v>
      </c>
      <c r="EE5">
        <v>220187.677241</v>
      </c>
      <c r="EF5">
        <v>221961.30743000002</v>
      </c>
      <c r="EG5">
        <v>220720.96978700001</v>
      </c>
      <c r="EH5">
        <v>219407.95188000004</v>
      </c>
      <c r="EI5">
        <v>223594.59865</v>
      </c>
      <c r="EJ5">
        <v>215140.55184200002</v>
      </c>
      <c r="EK5">
        <v>213783.550246</v>
      </c>
      <c r="EL5">
        <v>211927.60325099999</v>
      </c>
      <c r="EM5">
        <v>212735.15197500002</v>
      </c>
      <c r="EN5">
        <v>214251.95223900001</v>
      </c>
      <c r="EO5">
        <v>214525.90388100001</v>
      </c>
      <c r="EP5">
        <v>216978.48156300001</v>
      </c>
      <c r="EQ5">
        <v>217221.77912399999</v>
      </c>
      <c r="ER5">
        <v>216656.90252999999</v>
      </c>
      <c r="ES5">
        <v>216529.88122899996</v>
      </c>
      <c r="ET5">
        <v>216818.53907699999</v>
      </c>
      <c r="EU5">
        <v>217390.37181700004</v>
      </c>
      <c r="EV5">
        <v>216473.26806900001</v>
      </c>
      <c r="EW5">
        <v>217542.22914899996</v>
      </c>
      <c r="EX5">
        <v>218584.25514099997</v>
      </c>
      <c r="EY5">
        <v>217097.273498</v>
      </c>
      <c r="EZ5">
        <v>218092.05509100002</v>
      </c>
      <c r="FA5">
        <v>219579.98525500001</v>
      </c>
      <c r="FB5">
        <v>215997.877527</v>
      </c>
      <c r="FC5">
        <v>217037.71029799999</v>
      </c>
      <c r="FD5">
        <v>217265.53474900001</v>
      </c>
      <c r="FE5">
        <v>218682.62608500003</v>
      </c>
      <c r="FF5">
        <v>216972.94108299998</v>
      </c>
      <c r="FG5">
        <v>216927.34757799999</v>
      </c>
      <c r="FH5">
        <v>217324.82928200002</v>
      </c>
      <c r="FI5">
        <v>218224.15264299998</v>
      </c>
      <c r="FJ5">
        <v>216347.02726500001</v>
      </c>
      <c r="FK5">
        <v>216443.04382600001</v>
      </c>
      <c r="FL5">
        <v>216514.400643</v>
      </c>
      <c r="FM5">
        <v>202187.74337400001</v>
      </c>
      <c r="FN5">
        <v>215086.77378900003</v>
      </c>
      <c r="FO5">
        <v>217283.18858799999</v>
      </c>
      <c r="FP5">
        <v>217733.42375299998</v>
      </c>
      <c r="FQ5">
        <v>215289.04777800001</v>
      </c>
      <c r="FR5">
        <v>215834.46429899998</v>
      </c>
      <c r="FS5">
        <v>217496.46781199999</v>
      </c>
      <c r="FT5">
        <v>217186.38495199999</v>
      </c>
      <c r="FU5">
        <v>217827.74067699999</v>
      </c>
      <c r="FV5">
        <v>216811.25780500003</v>
      </c>
      <c r="FW5">
        <v>218105.21734800001</v>
      </c>
      <c r="FX5">
        <v>221303.16430900001</v>
      </c>
      <c r="FY5">
        <v>221081.62173000001</v>
      </c>
      <c r="FZ5">
        <v>223039.49776400003</v>
      </c>
      <c r="GA5">
        <v>222162.48466900003</v>
      </c>
      <c r="GB5">
        <v>214567.02116500001</v>
      </c>
      <c r="GC5">
        <v>219935.49111300003</v>
      </c>
      <c r="GD5">
        <v>225233.231975</v>
      </c>
      <c r="GE5">
        <v>220123.29490800001</v>
      </c>
      <c r="GF5">
        <v>221898.41445899999</v>
      </c>
      <c r="GG5">
        <v>220662.71953499998</v>
      </c>
      <c r="GH5">
        <v>219352.63822299999</v>
      </c>
      <c r="GI5">
        <v>223536.099288</v>
      </c>
      <c r="GJ5">
        <v>215091.30388200004</v>
      </c>
      <c r="GK5">
        <v>213738.69876</v>
      </c>
      <c r="GL5">
        <v>211883.571367</v>
      </c>
      <c r="GM5">
        <v>212693.84768899999</v>
      </c>
      <c r="GN5">
        <v>214212.23898399997</v>
      </c>
      <c r="GO5">
        <v>214486.355198</v>
      </c>
      <c r="GP5">
        <v>216940.02095999999</v>
      </c>
      <c r="GQ5">
        <v>217185.92459599997</v>
      </c>
      <c r="GR5">
        <v>216622.747519</v>
      </c>
      <c r="GS5">
        <v>216497.11747300002</v>
      </c>
      <c r="GT5">
        <v>216787.47732899999</v>
      </c>
      <c r="GU5">
        <v>217361.06994199997</v>
      </c>
      <c r="GV5">
        <v>216445.62405500002</v>
      </c>
      <c r="GW5">
        <v>217516.07610499999</v>
      </c>
      <c r="GX5">
        <v>218559.53690900005</v>
      </c>
      <c r="GY5">
        <v>217073.75220499997</v>
      </c>
      <c r="GZ5">
        <v>218069.86112000002</v>
      </c>
      <c r="HA5">
        <v>219559.00844200002</v>
      </c>
      <c r="HB5">
        <v>215979.64156599998</v>
      </c>
      <c r="HC5">
        <v>0</v>
      </c>
      <c r="HD5">
        <v>0</v>
      </c>
      <c r="HE5">
        <v>0</v>
      </c>
      <c r="HF5">
        <v>0</v>
      </c>
    </row>
    <row r="6" spans="1:214" x14ac:dyDescent="0.25">
      <c r="A6" t="s">
        <v>26</v>
      </c>
      <c r="B6" t="s">
        <v>79</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90214.319237000003</v>
      </c>
      <c r="CX6">
        <v>220088.73748900002</v>
      </c>
      <c r="CY6">
        <v>214153.83896199998</v>
      </c>
      <c r="CZ6">
        <v>213534.27210399997</v>
      </c>
      <c r="DA6">
        <v>214424.55278500001</v>
      </c>
      <c r="DB6">
        <v>214772.72025499999</v>
      </c>
      <c r="DC6">
        <v>222798.18945600002</v>
      </c>
      <c r="DD6">
        <v>223729.430185</v>
      </c>
      <c r="DE6">
        <v>226260.459348</v>
      </c>
      <c r="DF6">
        <v>224534.76454899998</v>
      </c>
      <c r="DG6">
        <v>224476.37384199997</v>
      </c>
      <c r="DH6">
        <v>224863.75360900001</v>
      </c>
      <c r="DI6">
        <v>218419.70828599998</v>
      </c>
      <c r="DJ6">
        <v>216540.52733400001</v>
      </c>
      <c r="DK6">
        <v>216624.54284100002</v>
      </c>
      <c r="DL6">
        <v>216687.66586799998</v>
      </c>
      <c r="DM6">
        <v>202304.57450599998</v>
      </c>
      <c r="DN6">
        <v>215239.28417300002</v>
      </c>
      <c r="DO6">
        <v>213449.63901999997</v>
      </c>
      <c r="DP6">
        <v>217866.73881499999</v>
      </c>
      <c r="DQ6">
        <v>215415.32983699997</v>
      </c>
      <c r="DR6">
        <v>215956.41693000001</v>
      </c>
      <c r="DS6">
        <v>217613.19590800002</v>
      </c>
      <c r="DT6">
        <v>217298.07981199995</v>
      </c>
      <c r="DU6">
        <v>217936.11956699999</v>
      </c>
      <c r="DV6">
        <v>216912.33345500001</v>
      </c>
      <c r="DW6">
        <v>218201.10375399998</v>
      </c>
      <c r="DX6">
        <v>221394.201191</v>
      </c>
      <c r="DY6">
        <v>221169.336117</v>
      </c>
      <c r="DZ6">
        <v>223120.26817700002</v>
      </c>
      <c r="EA6">
        <v>222238.31279299999</v>
      </c>
      <c r="EB6">
        <v>214628.38947699999</v>
      </c>
      <c r="EC6">
        <v>220004.02923300001</v>
      </c>
      <c r="ED6">
        <v>225305.31521599999</v>
      </c>
      <c r="EE6">
        <v>220187.677241</v>
      </c>
      <c r="EF6">
        <v>221961.30743000002</v>
      </c>
      <c r="EG6">
        <v>220720.96978700001</v>
      </c>
      <c r="EH6">
        <v>219407.95188000004</v>
      </c>
      <c r="EI6">
        <v>223594.59865</v>
      </c>
      <c r="EJ6">
        <v>215140.55184200002</v>
      </c>
      <c r="EK6">
        <v>213783.550246</v>
      </c>
      <c r="EL6">
        <v>211927.60325099999</v>
      </c>
      <c r="EM6">
        <v>212735.15197500002</v>
      </c>
      <c r="EN6">
        <v>214251.95223900001</v>
      </c>
      <c r="EO6">
        <v>214525.90388100001</v>
      </c>
      <c r="EP6">
        <v>216978.48156300001</v>
      </c>
      <c r="EQ6">
        <v>217221.77912399999</v>
      </c>
      <c r="ER6">
        <v>216656.90252999999</v>
      </c>
      <c r="ES6">
        <v>216529.88122899996</v>
      </c>
      <c r="ET6">
        <v>216818.53907699999</v>
      </c>
      <c r="EU6">
        <v>217390.37181700004</v>
      </c>
      <c r="EV6">
        <v>216473.26806900001</v>
      </c>
      <c r="EW6">
        <v>217542.22914899996</v>
      </c>
      <c r="EX6">
        <v>218584.25514099997</v>
      </c>
      <c r="EY6">
        <v>217097.273498</v>
      </c>
      <c r="EZ6">
        <v>218092.05509100002</v>
      </c>
      <c r="FA6">
        <v>219579.98525500001</v>
      </c>
      <c r="FB6">
        <v>215997.877527</v>
      </c>
      <c r="FC6">
        <v>217037.71029799999</v>
      </c>
      <c r="FD6">
        <v>217265.53474900001</v>
      </c>
      <c r="FE6">
        <v>218682.62608500003</v>
      </c>
      <c r="FF6">
        <v>216972.94108299998</v>
      </c>
      <c r="FG6">
        <v>216927.34757799999</v>
      </c>
      <c r="FH6">
        <v>217324.82928200002</v>
      </c>
      <c r="FI6">
        <v>218224.15264299998</v>
      </c>
      <c r="FJ6">
        <v>216347.02726500001</v>
      </c>
      <c r="FK6">
        <v>216443.04382600001</v>
      </c>
      <c r="FL6">
        <v>216514.400643</v>
      </c>
      <c r="FM6">
        <v>202187.74337400001</v>
      </c>
      <c r="FN6">
        <v>215086.77378900003</v>
      </c>
      <c r="FO6">
        <v>217283.18858799999</v>
      </c>
      <c r="FP6">
        <v>217733.42375299998</v>
      </c>
      <c r="FQ6">
        <v>215289.04777800001</v>
      </c>
      <c r="FR6">
        <v>215834.46429899998</v>
      </c>
      <c r="FS6">
        <v>217496.46781199999</v>
      </c>
      <c r="FT6">
        <v>217186.38495199999</v>
      </c>
      <c r="FU6">
        <v>217827.74067699999</v>
      </c>
      <c r="FV6">
        <v>216811.25780500003</v>
      </c>
      <c r="FW6">
        <v>218105.21734800001</v>
      </c>
      <c r="FX6">
        <v>221303.16430900001</v>
      </c>
      <c r="FY6">
        <v>221081.62173000001</v>
      </c>
      <c r="FZ6">
        <v>223039.49776400003</v>
      </c>
      <c r="GA6">
        <v>222162.48466900003</v>
      </c>
      <c r="GB6">
        <v>214567.02116500001</v>
      </c>
      <c r="GC6">
        <v>219935.49111300003</v>
      </c>
      <c r="GD6">
        <v>225233.231975</v>
      </c>
      <c r="GE6">
        <v>220123.29490800001</v>
      </c>
      <c r="GF6">
        <v>221898.41445899999</v>
      </c>
      <c r="GG6">
        <v>220662.71953499998</v>
      </c>
      <c r="GH6">
        <v>219352.63822299999</v>
      </c>
      <c r="GI6">
        <v>223536.099288</v>
      </c>
      <c r="GJ6">
        <v>215091.30388200004</v>
      </c>
      <c r="GK6">
        <v>213738.69876</v>
      </c>
      <c r="GL6">
        <v>211883.571367</v>
      </c>
      <c r="GM6">
        <v>212693.84768899999</v>
      </c>
      <c r="GN6">
        <v>214212.23898399997</v>
      </c>
      <c r="GO6">
        <v>214486.355198</v>
      </c>
      <c r="GP6">
        <v>216940.02095999999</v>
      </c>
      <c r="GQ6">
        <v>217185.92459599997</v>
      </c>
      <c r="GR6">
        <v>216622.747519</v>
      </c>
      <c r="GS6">
        <v>216497.11747300002</v>
      </c>
      <c r="GT6">
        <v>216787.47732899999</v>
      </c>
      <c r="GU6">
        <v>217361.06994199997</v>
      </c>
      <c r="GV6">
        <v>216445.62405500002</v>
      </c>
      <c r="GW6">
        <v>217516.07610499999</v>
      </c>
      <c r="GX6">
        <v>218559.53690900005</v>
      </c>
      <c r="GY6">
        <v>217073.75220499997</v>
      </c>
      <c r="GZ6">
        <v>218069.86112000002</v>
      </c>
      <c r="HA6">
        <v>219559.00844200002</v>
      </c>
      <c r="HB6">
        <v>215979.64156599998</v>
      </c>
      <c r="HC6">
        <v>0</v>
      </c>
      <c r="HD6">
        <v>0</v>
      </c>
      <c r="HE6">
        <v>0</v>
      </c>
      <c r="HF6">
        <v>0</v>
      </c>
    </row>
    <row r="7" spans="1:214" x14ac:dyDescent="0.25">
      <c r="A7" t="s">
        <v>26</v>
      </c>
      <c r="B7" t="s">
        <v>80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214104.991943</v>
      </c>
      <c r="CZ7">
        <v>213626.36130399999</v>
      </c>
      <c r="DA7">
        <v>231136.02954900003</v>
      </c>
      <c r="DB7">
        <v>239587.53417699999</v>
      </c>
      <c r="DC7">
        <v>240116.58496499999</v>
      </c>
      <c r="DD7">
        <v>240410.52282300001</v>
      </c>
      <c r="DE7">
        <v>244790.49243100002</v>
      </c>
      <c r="DF7">
        <v>247417.45316200002</v>
      </c>
      <c r="DG7">
        <v>247282.985307</v>
      </c>
      <c r="DH7">
        <v>247843.50468299998</v>
      </c>
      <c r="DI7">
        <v>239611.588078</v>
      </c>
      <c r="DJ7">
        <v>237504.37738600001</v>
      </c>
      <c r="DK7">
        <v>237625.989279</v>
      </c>
      <c r="DL7">
        <v>237667.60180600002</v>
      </c>
      <c r="DM7">
        <v>222053.06799700001</v>
      </c>
      <c r="DN7">
        <v>237177.348065</v>
      </c>
      <c r="DO7">
        <v>235693.98173599999</v>
      </c>
      <c r="DP7">
        <v>239023.53107500001</v>
      </c>
      <c r="DQ7">
        <v>236324.79935299998</v>
      </c>
      <c r="DR7">
        <v>236891.70538900001</v>
      </c>
      <c r="DS7">
        <v>238737.467386</v>
      </c>
      <c r="DT7">
        <v>238368.66909799998</v>
      </c>
      <c r="DU7">
        <v>239057.758665</v>
      </c>
      <c r="DV7">
        <v>237944.21227199998</v>
      </c>
      <c r="DW7">
        <v>239354.47408000004</v>
      </c>
      <c r="DX7">
        <v>242892.62680900001</v>
      </c>
      <c r="DY7">
        <v>242622.21713800001</v>
      </c>
      <c r="DZ7">
        <v>244796.78031799998</v>
      </c>
      <c r="EA7">
        <v>243834.07177899999</v>
      </c>
      <c r="EB7">
        <v>235550.15143</v>
      </c>
      <c r="EC7">
        <v>241358.17068000001</v>
      </c>
      <c r="ED7">
        <v>247114.86936299998</v>
      </c>
      <c r="EE7">
        <v>241521.701523</v>
      </c>
      <c r="EF7">
        <v>243438.57572200001</v>
      </c>
      <c r="EG7">
        <v>242101.95809699997</v>
      </c>
      <c r="EH7">
        <v>240649.51359300001</v>
      </c>
      <c r="EI7">
        <v>245163.55689999997</v>
      </c>
      <c r="EJ7">
        <v>235953.01662400001</v>
      </c>
      <c r="EK7">
        <v>234534.753038</v>
      </c>
      <c r="EL7">
        <v>232437.74027499999</v>
      </c>
      <c r="EM7">
        <v>233354.08226300002</v>
      </c>
      <c r="EN7">
        <v>235009.76607300004</v>
      </c>
      <c r="EO7">
        <v>235312.29337000003</v>
      </c>
      <c r="EP7">
        <v>237959.63715900001</v>
      </c>
      <c r="EQ7">
        <v>238259.12273800003</v>
      </c>
      <c r="ER7">
        <v>237630.05514099999</v>
      </c>
      <c r="ES7">
        <v>237472.28962300002</v>
      </c>
      <c r="ET7">
        <v>237807.863939</v>
      </c>
      <c r="EU7">
        <v>238426.12244499999</v>
      </c>
      <c r="EV7">
        <v>237447.89792800002</v>
      </c>
      <c r="EW7">
        <v>238621.840352</v>
      </c>
      <c r="EX7">
        <v>239785.06666099999</v>
      </c>
      <c r="EY7">
        <v>238180.74312299999</v>
      </c>
      <c r="EZ7">
        <v>239274.57197700001</v>
      </c>
      <c r="FA7">
        <v>240788.81399099997</v>
      </c>
      <c r="FB7">
        <v>237043.79893699999</v>
      </c>
      <c r="FC7">
        <v>238109.42157900002</v>
      </c>
      <c r="FD7">
        <v>238360.43713400001</v>
      </c>
      <c r="FE7">
        <v>239864.69097900001</v>
      </c>
      <c r="FF7">
        <v>237985.00244800004</v>
      </c>
      <c r="FG7">
        <v>237969.37228300003</v>
      </c>
      <c r="FH7">
        <v>238409.88845899998</v>
      </c>
      <c r="FI7">
        <v>239409.99593199999</v>
      </c>
      <c r="FJ7">
        <v>237304.11545700001</v>
      </c>
      <c r="FK7">
        <v>237438.36025600004</v>
      </c>
      <c r="FL7">
        <v>237488.39399800001</v>
      </c>
      <c r="FM7">
        <v>221934.66656299998</v>
      </c>
      <c r="FN7">
        <v>235942.27692800001</v>
      </c>
      <c r="FO7">
        <v>238414.97102500001</v>
      </c>
      <c r="FP7">
        <v>238886.28743399997</v>
      </c>
      <c r="FQ7">
        <v>236194.81769599998</v>
      </c>
      <c r="FR7">
        <v>236765.96851099998</v>
      </c>
      <c r="FS7">
        <v>238617.05551299997</v>
      </c>
      <c r="FT7">
        <v>238253.38289199999</v>
      </c>
      <c r="FU7">
        <v>238945.757725</v>
      </c>
      <c r="FV7">
        <v>237839.88633900002</v>
      </c>
      <c r="FW7">
        <v>239255.48419799996</v>
      </c>
      <c r="FX7">
        <v>242798.63494400002</v>
      </c>
      <c r="FY7">
        <v>242531.56860700002</v>
      </c>
      <c r="FZ7">
        <v>244713.444995</v>
      </c>
      <c r="GA7">
        <v>243755.94629900003</v>
      </c>
      <c r="GB7">
        <v>235487.53359900002</v>
      </c>
      <c r="GC7">
        <v>241287.56563</v>
      </c>
      <c r="GD7">
        <v>247040.18263600001</v>
      </c>
      <c r="GE7">
        <v>241455.27867100001</v>
      </c>
      <c r="GF7">
        <v>243373.623074</v>
      </c>
      <c r="GG7">
        <v>242041.84021900001</v>
      </c>
      <c r="GH7">
        <v>240592.41140600003</v>
      </c>
      <c r="GI7">
        <v>245102.83224000005</v>
      </c>
      <c r="GJ7">
        <v>235902.18012900001</v>
      </c>
      <c r="GK7">
        <v>234488.57563400001</v>
      </c>
      <c r="GL7">
        <v>232392.29753000001</v>
      </c>
      <c r="GM7">
        <v>233311.47430100001</v>
      </c>
      <c r="GN7">
        <v>234968.79803899999</v>
      </c>
      <c r="GO7">
        <v>235271.359536</v>
      </c>
      <c r="GP7">
        <v>237919.79276899996</v>
      </c>
      <c r="GQ7">
        <v>238222.03709900001</v>
      </c>
      <c r="GR7">
        <v>237594.70094399998</v>
      </c>
      <c r="GS7">
        <v>237438.348157</v>
      </c>
      <c r="GT7">
        <v>237775.68674400001</v>
      </c>
      <c r="GU7">
        <v>238395.77919</v>
      </c>
      <c r="GV7">
        <v>237419.27486999999</v>
      </c>
      <c r="GW7">
        <v>238594.77688399999</v>
      </c>
      <c r="GX7">
        <v>239759.53361799999</v>
      </c>
      <c r="GY7">
        <v>238156.45964099999</v>
      </c>
      <c r="GZ7">
        <v>239251.67599399999</v>
      </c>
      <c r="HA7">
        <v>240767.18610299999</v>
      </c>
      <c r="HB7">
        <v>237025.20230499998</v>
      </c>
      <c r="HC7">
        <v>0</v>
      </c>
      <c r="HD7">
        <v>0</v>
      </c>
      <c r="HE7">
        <v>0</v>
      </c>
      <c r="HF7">
        <v>0</v>
      </c>
    </row>
    <row r="21" spans="1:4" x14ac:dyDescent="0.25">
      <c r="A21" t="s">
        <v>48</v>
      </c>
    </row>
    <row r="22" spans="1:4" x14ac:dyDescent="0.25">
      <c r="A22" t="s">
        <v>49</v>
      </c>
      <c r="B22" t="s">
        <v>69</v>
      </c>
    </row>
    <row r="23" spans="1:4" x14ac:dyDescent="0.25">
      <c r="A23" t="s">
        <v>50</v>
      </c>
      <c r="B23" t="s">
        <v>51</v>
      </c>
    </row>
    <row r="24" spans="1:4" x14ac:dyDescent="0.25">
      <c r="A24" t="s">
        <v>52</v>
      </c>
      <c r="B24" t="s">
        <v>53</v>
      </c>
    </row>
    <row r="25" spans="1:4" x14ac:dyDescent="0.25">
      <c r="A25" t="s">
        <v>54</v>
      </c>
      <c r="B25" t="s">
        <v>70</v>
      </c>
    </row>
    <row r="26" spans="1:4" x14ac:dyDescent="0.25">
      <c r="A26" t="s">
        <v>55</v>
      </c>
      <c r="B26" t="s">
        <v>56</v>
      </c>
    </row>
    <row r="27" spans="1:4" x14ac:dyDescent="0.25">
      <c r="A27" t="s">
        <v>57</v>
      </c>
      <c r="B27" t="s">
        <v>58</v>
      </c>
    </row>
    <row r="28" spans="1:4" ht="409.5" x14ac:dyDescent="0.25">
      <c r="A28" t="s">
        <v>59</v>
      </c>
      <c r="B28" s="63" t="s">
        <v>74</v>
      </c>
      <c r="C28" s="64" t="s">
        <v>60</v>
      </c>
    </row>
    <row r="29" spans="1:4" ht="409.5" x14ac:dyDescent="0.25">
      <c r="A29" t="s">
        <v>61</v>
      </c>
      <c r="B29" s="63" t="s">
        <v>71</v>
      </c>
      <c r="C29" s="63" t="s">
        <v>72</v>
      </c>
      <c r="D29" s="63" t="s">
        <v>73</v>
      </c>
    </row>
    <row r="30" spans="1:4" x14ac:dyDescent="0.25">
      <c r="A30" t="s">
        <v>62</v>
      </c>
      <c r="B30" t="s">
        <v>53</v>
      </c>
    </row>
    <row r="31" spans="1:4" x14ac:dyDescent="0.25">
      <c r="A31" t="s">
        <v>63</v>
      </c>
      <c r="B31" t="s">
        <v>53</v>
      </c>
    </row>
    <row r="32" spans="1:4" x14ac:dyDescent="0.25">
      <c r="A32" t="s">
        <v>64</v>
      </c>
      <c r="B32" t="s">
        <v>53</v>
      </c>
    </row>
    <row r="33" spans="1:2" x14ac:dyDescent="0.25">
      <c r="A33" t="s">
        <v>65</v>
      </c>
      <c r="B33" t="s">
        <v>66</v>
      </c>
    </row>
    <row r="34" spans="1:2" x14ac:dyDescent="0.25">
      <c r="A34" t="s">
        <v>67</v>
      </c>
      <c r="B34" t="s">
        <v>68</v>
      </c>
    </row>
    <row r="50" spans="1:4" x14ac:dyDescent="0.25">
      <c r="A50" t="s">
        <v>31</v>
      </c>
    </row>
    <row r="51" spans="1:4" x14ac:dyDescent="0.25">
      <c r="A51" t="s">
        <v>32</v>
      </c>
    </row>
    <row r="52" spans="1:4" x14ac:dyDescent="0.25">
      <c r="A52" t="s">
        <v>33</v>
      </c>
      <c r="C52" t="s">
        <v>27</v>
      </c>
      <c r="D52" t="s">
        <v>28</v>
      </c>
    </row>
    <row r="53" spans="1:4" x14ac:dyDescent="0.25">
      <c r="A53" t="s">
        <v>33</v>
      </c>
      <c r="B53" t="s">
        <v>29</v>
      </c>
      <c r="C53">
        <v>1</v>
      </c>
      <c r="D53">
        <v>2</v>
      </c>
    </row>
    <row r="54" spans="1:4" x14ac:dyDescent="0.25">
      <c r="A54" t="s">
        <v>33</v>
      </c>
      <c r="B54" t="s">
        <v>30</v>
      </c>
      <c r="C54">
        <v>3</v>
      </c>
      <c r="D54">
        <v>4</v>
      </c>
    </row>
  </sheetData>
  <pageMargins left="0.7" right="0.7" top="0.75" bottom="0.75" header="0.3" footer="0.3"/>
  <pageSetup orientation="portrait" horizontalDpi="300" verticalDpi="0" r:id="rId1"/>
  <customProperties>
    <customPr name="_pios_id" r:id="rId2"/>
    <customPr name="CofWorksheetType" r:id="rId3"/>
    <customPr name="EpmWorksheetKeyString_GUID" r:id="rId4"/>
    <customPr name="IbpWorksheetKeyString_GUID" r:id="rId5"/>
  </customProperties>
  <drawing r:id="rId6"/>
  <legacyDrawing r:id="rId7"/>
  <controls>
    <mc:AlternateContent xmlns:mc="http://schemas.openxmlformats.org/markup-compatibility/2006">
      <mc:Choice Requires="x14">
        <control shapeId="13313" r:id="rId8" name="FPMExcelClientSheetOptionstb1">
          <controlPr defaultSize="0" autoLine="0" autoPict="0" r:id="rId9">
            <anchor moveWithCells="1" sizeWithCells="1">
              <from>
                <xdr:col>0</xdr:col>
                <xdr:colOff>0</xdr:colOff>
                <xdr:row>0</xdr:row>
                <xdr:rowOff>0</xdr:rowOff>
              </from>
              <to>
                <xdr:col>1</xdr:col>
                <xdr:colOff>9525</xdr:colOff>
                <xdr:row>0</xdr:row>
                <xdr:rowOff>0</xdr:rowOff>
              </to>
            </anchor>
          </controlPr>
        </control>
      </mc:Choice>
      <mc:Fallback>
        <control shapeId="13313" r:id="rId8"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Q236"/>
  <sheetViews>
    <sheetView showGridLines="0" topLeftCell="A109" zoomScale="85" zoomScaleNormal="85" workbookViewId="0">
      <selection activeCell="F173" sqref="F173"/>
    </sheetView>
  </sheetViews>
  <sheetFormatPr defaultColWidth="9.140625" defaultRowHeight="15" x14ac:dyDescent="0.25"/>
  <cols>
    <col min="1" max="1" width="1.7109375" style="1" customWidth="1"/>
    <col min="2" max="2" width="12.7109375" style="1" customWidth="1"/>
    <col min="3" max="3" width="15.7109375" style="1" customWidth="1"/>
    <col min="4" max="4" width="82.140625" style="1" customWidth="1"/>
    <col min="5" max="5" width="3.28515625" style="1" customWidth="1"/>
    <col min="6" max="6" width="14.28515625" customWidth="1"/>
    <col min="7" max="7" width="3.28515625" style="1" customWidth="1"/>
    <col min="8" max="8" width="30.7109375" style="1" customWidth="1"/>
    <col min="9" max="9" width="3.28515625" style="1" customWidth="1"/>
    <col min="10" max="10" width="14.28515625" customWidth="1"/>
    <col min="11" max="11" width="3.28515625" style="1" customWidth="1"/>
    <col min="12" max="12" width="36.7109375" style="1" customWidth="1"/>
    <col min="13" max="16" width="10.7109375" style="1" customWidth="1"/>
    <col min="17" max="17" width="90.7109375" style="1" customWidth="1"/>
    <col min="18" max="16384" width="9.140625" style="1"/>
  </cols>
  <sheetData>
    <row r="1" spans="1:17" ht="42" customHeight="1" x14ac:dyDescent="0.2">
      <c r="A1" s="2"/>
      <c r="B1" s="85" t="s">
        <v>47</v>
      </c>
      <c r="C1" s="85"/>
      <c r="D1" s="85"/>
      <c r="E1" s="85"/>
      <c r="F1" s="85"/>
      <c r="G1" s="85"/>
      <c r="H1" s="85"/>
      <c r="I1" s="85"/>
      <c r="J1" s="85"/>
      <c r="K1" s="85"/>
      <c r="L1" s="85"/>
    </row>
    <row r="2" spans="1:17" ht="15.75" customHeight="1" x14ac:dyDescent="0.25">
      <c r="A2" s="35" t="s">
        <v>23</v>
      </c>
      <c r="B2" s="2"/>
      <c r="C2" s="2"/>
      <c r="D2" s="2"/>
      <c r="E2" s="2"/>
      <c r="G2" s="2"/>
      <c r="H2" s="2"/>
      <c r="I2" s="2"/>
      <c r="J2" s="37"/>
      <c r="K2" s="2"/>
      <c r="L2" s="2"/>
    </row>
    <row r="3" spans="1:17" ht="15.75" customHeight="1" x14ac:dyDescent="0.25">
      <c r="A3" s="2"/>
      <c r="B3" s="3" t="s">
        <v>0</v>
      </c>
      <c r="C3" s="2"/>
      <c r="D3" s="2"/>
      <c r="E3" s="2"/>
      <c r="F3" s="37"/>
      <c r="G3" s="2"/>
      <c r="H3" s="2"/>
      <c r="I3" s="2"/>
      <c r="J3" s="37"/>
      <c r="K3" s="2"/>
      <c r="L3" s="2"/>
    </row>
    <row r="4" spans="1:17" ht="18" customHeight="1" thickBot="1" x14ac:dyDescent="0.3">
      <c r="A4" s="2"/>
      <c r="B4" s="2"/>
      <c r="C4" s="2"/>
      <c r="D4" s="2"/>
      <c r="E4" s="2"/>
      <c r="F4" s="37"/>
      <c r="G4" s="2"/>
      <c r="H4" s="2"/>
      <c r="I4" s="2"/>
      <c r="J4" s="37"/>
      <c r="K4" s="2"/>
      <c r="L4" s="2"/>
    </row>
    <row r="5" spans="1:17" ht="28.35" customHeight="1" x14ac:dyDescent="0.2">
      <c r="A5" s="2"/>
      <c r="B5" s="86" t="s">
        <v>309</v>
      </c>
      <c r="C5" s="87"/>
      <c r="D5" s="87"/>
      <c r="E5" s="87"/>
      <c r="F5" s="87"/>
      <c r="G5" s="87"/>
      <c r="H5" s="87"/>
      <c r="I5" s="87"/>
      <c r="J5" s="87"/>
      <c r="K5" s="87"/>
      <c r="L5" s="88"/>
      <c r="Q5" s="20" t="s">
        <v>16</v>
      </c>
    </row>
    <row r="6" spans="1:17" ht="28.35" customHeight="1" thickBot="1" x14ac:dyDescent="0.25">
      <c r="A6" s="2"/>
      <c r="B6" s="89"/>
      <c r="C6" s="90"/>
      <c r="D6" s="90"/>
      <c r="E6" s="90"/>
      <c r="F6" s="90"/>
      <c r="G6" s="90"/>
      <c r="H6" s="90"/>
      <c r="I6" s="90"/>
      <c r="J6" s="90"/>
      <c r="K6" s="90"/>
      <c r="L6" s="91"/>
      <c r="Q6" s="21" t="s">
        <v>17</v>
      </c>
    </row>
    <row r="7" spans="1:17" ht="21.95" customHeight="1" x14ac:dyDescent="0.25">
      <c r="A7" s="2"/>
      <c r="B7" s="92" t="s">
        <v>8</v>
      </c>
      <c r="C7" s="16"/>
      <c r="D7" s="16"/>
      <c r="E7" s="16"/>
      <c r="F7" s="38"/>
      <c r="G7" s="16"/>
      <c r="H7" s="16"/>
      <c r="I7" s="16"/>
      <c r="J7" s="38"/>
      <c r="K7" s="16"/>
      <c r="L7" s="17"/>
      <c r="Q7" s="84" t="s">
        <v>312</v>
      </c>
    </row>
    <row r="8" spans="1:17" ht="18" customHeight="1" x14ac:dyDescent="0.25">
      <c r="A8" s="2"/>
      <c r="B8" s="93"/>
      <c r="C8" s="2"/>
      <c r="D8" s="2"/>
      <c r="E8" s="2"/>
      <c r="F8" s="37"/>
      <c r="G8" s="2"/>
      <c r="H8" s="2"/>
      <c r="I8" s="2"/>
      <c r="J8" s="37"/>
      <c r="K8" s="2"/>
      <c r="L8" s="10"/>
      <c r="Q8" s="84"/>
    </row>
    <row r="9" spans="1:17" ht="17.100000000000001" customHeight="1" x14ac:dyDescent="0.2">
      <c r="A9" s="2"/>
      <c r="B9" s="93"/>
      <c r="C9" s="5"/>
      <c r="D9" s="6"/>
      <c r="E9" s="95" t="s">
        <v>1</v>
      </c>
      <c r="F9" s="96"/>
      <c r="G9" s="97"/>
      <c r="H9" s="4" t="s">
        <v>2</v>
      </c>
      <c r="I9" s="95" t="s">
        <v>3</v>
      </c>
      <c r="J9" s="96"/>
      <c r="K9" s="97"/>
      <c r="L9" s="11" t="s">
        <v>2</v>
      </c>
      <c r="Q9" s="84"/>
    </row>
    <row r="10" spans="1:17" ht="5.0999999999999996" customHeight="1" x14ac:dyDescent="0.25">
      <c r="A10" s="2"/>
      <c r="B10" s="93"/>
      <c r="C10" s="98"/>
      <c r="D10" s="2"/>
      <c r="E10" s="12"/>
      <c r="F10" s="39"/>
      <c r="G10" s="12"/>
      <c r="H10" s="8"/>
      <c r="I10" s="12"/>
      <c r="J10" s="39"/>
      <c r="K10" s="12"/>
      <c r="L10" s="10"/>
      <c r="Q10" s="84"/>
    </row>
    <row r="11" spans="1:17" ht="15.95" customHeight="1" x14ac:dyDescent="0.2">
      <c r="A11" s="2"/>
      <c r="B11" s="93"/>
      <c r="C11" s="99"/>
      <c r="D11" s="57" t="s">
        <v>5</v>
      </c>
      <c r="E11" s="12"/>
      <c r="F11" s="31">
        <v>10000</v>
      </c>
      <c r="G11" s="12"/>
      <c r="H11" s="61" t="s">
        <v>19</v>
      </c>
      <c r="I11" s="12"/>
      <c r="J11" s="34" t="s">
        <v>7</v>
      </c>
      <c r="K11" s="12"/>
      <c r="L11" s="13" t="s">
        <v>6</v>
      </c>
      <c r="Q11" s="84"/>
    </row>
    <row r="12" spans="1:17" ht="5.0999999999999996" customHeight="1" thickBot="1" x14ac:dyDescent="0.3">
      <c r="A12" s="2"/>
      <c r="B12" s="94"/>
      <c r="C12" s="100"/>
      <c r="D12" s="14"/>
      <c r="E12" s="19"/>
      <c r="F12" s="43"/>
      <c r="G12" s="19"/>
      <c r="H12" s="18"/>
      <c r="I12" s="19"/>
      <c r="J12" s="43"/>
      <c r="K12" s="19"/>
      <c r="L12" s="15"/>
      <c r="Q12" s="84"/>
    </row>
    <row r="13" spans="1:17" ht="21.95" customHeight="1" x14ac:dyDescent="0.25">
      <c r="A13" s="2"/>
      <c r="B13" s="93" t="s">
        <v>4</v>
      </c>
      <c r="C13" s="2"/>
      <c r="D13" s="2"/>
      <c r="E13" s="2"/>
      <c r="F13" s="37"/>
      <c r="G13" s="2"/>
      <c r="H13" s="2"/>
      <c r="I13" s="2"/>
      <c r="J13" s="37"/>
      <c r="K13" s="2"/>
      <c r="L13" s="10"/>
      <c r="Q13" s="84"/>
    </row>
    <row r="14" spans="1:17" ht="18" customHeight="1" x14ac:dyDescent="0.25">
      <c r="A14" s="2"/>
      <c r="B14" s="93"/>
      <c r="C14" s="2"/>
      <c r="D14" s="2"/>
      <c r="E14" s="2"/>
      <c r="F14" s="37"/>
      <c r="G14" s="2"/>
      <c r="H14" s="2"/>
      <c r="I14" s="2"/>
      <c r="J14" s="37"/>
      <c r="K14" s="2"/>
      <c r="L14" s="10"/>
      <c r="Q14" s="84"/>
    </row>
    <row r="15" spans="1:17" ht="17.100000000000001" customHeight="1" x14ac:dyDescent="0.2">
      <c r="A15" s="2"/>
      <c r="B15" s="93"/>
      <c r="C15" s="5"/>
      <c r="D15" s="6"/>
      <c r="E15" s="95" t="s">
        <v>1</v>
      </c>
      <c r="F15" s="96"/>
      <c r="G15" s="97"/>
      <c r="H15" s="4" t="s">
        <v>2</v>
      </c>
      <c r="I15" s="95" t="s">
        <v>3</v>
      </c>
      <c r="J15" s="96"/>
      <c r="K15" s="97"/>
      <c r="L15" s="11" t="s">
        <v>2</v>
      </c>
      <c r="Q15" s="84"/>
    </row>
    <row r="16" spans="1:17" ht="5.0999999999999996" customHeight="1" x14ac:dyDescent="0.25">
      <c r="A16" s="2"/>
      <c r="B16" s="93"/>
      <c r="C16" s="98"/>
      <c r="D16" s="2"/>
      <c r="E16" s="12"/>
      <c r="F16" s="39"/>
      <c r="G16" s="12"/>
      <c r="H16" s="8"/>
      <c r="I16" s="12"/>
      <c r="J16" s="39"/>
      <c r="K16" s="12"/>
      <c r="L16" s="10"/>
      <c r="Q16" s="84"/>
    </row>
    <row r="17" spans="1:17" ht="15.95" customHeight="1" x14ac:dyDescent="0.2">
      <c r="A17" s="2"/>
      <c r="B17" s="93"/>
      <c r="C17" s="99"/>
      <c r="D17" s="57" t="s">
        <v>5</v>
      </c>
      <c r="E17" s="12"/>
      <c r="F17" s="31">
        <v>10000</v>
      </c>
      <c r="G17" s="12"/>
      <c r="H17" s="61" t="s">
        <v>6</v>
      </c>
      <c r="I17" s="12"/>
      <c r="J17" s="25" t="s">
        <v>7</v>
      </c>
      <c r="K17" s="12"/>
      <c r="L17" s="13" t="s">
        <v>6</v>
      </c>
      <c r="Q17" s="84"/>
    </row>
    <row r="18" spans="1:17" ht="5.0999999999999996" customHeight="1" thickBot="1" x14ac:dyDescent="0.3">
      <c r="A18" s="2"/>
      <c r="B18" s="101"/>
      <c r="C18" s="102"/>
      <c r="D18" s="78"/>
      <c r="E18" s="79"/>
      <c r="F18" s="80"/>
      <c r="G18" s="79"/>
      <c r="H18" s="81"/>
      <c r="I18" s="79"/>
      <c r="J18" s="80"/>
      <c r="K18" s="79"/>
      <c r="L18" s="82"/>
      <c r="Q18" s="84"/>
    </row>
    <row r="19" spans="1:17" ht="9" customHeight="1" x14ac:dyDescent="0.25">
      <c r="A19" s="2"/>
      <c r="B19" s="2"/>
      <c r="C19" s="2"/>
      <c r="D19" s="2"/>
      <c r="E19" s="2"/>
      <c r="F19" s="37"/>
      <c r="G19" s="2"/>
      <c r="H19" s="2"/>
      <c r="I19" s="2"/>
      <c r="J19" s="37"/>
      <c r="K19" s="2"/>
      <c r="L19" s="2"/>
      <c r="Q19" s="84"/>
    </row>
    <row r="20" spans="1:17" ht="24.6" customHeight="1" x14ac:dyDescent="0.25">
      <c r="A20" s="2"/>
      <c r="B20" s="2"/>
      <c r="C20" s="2"/>
      <c r="D20" s="2"/>
      <c r="E20" s="2"/>
      <c r="F20" s="37"/>
      <c r="G20" s="2"/>
      <c r="H20" s="2"/>
      <c r="I20" s="2"/>
      <c r="J20" s="37"/>
      <c r="K20" s="2"/>
      <c r="L20" s="2"/>
      <c r="Q20" s="22"/>
    </row>
    <row r="21" spans="1:17" ht="15" customHeight="1" thickBot="1" x14ac:dyDescent="0.3">
      <c r="A21" s="2"/>
      <c r="B21" s="2"/>
      <c r="C21" s="2"/>
      <c r="D21" s="2"/>
      <c r="E21" s="2"/>
      <c r="F21" s="37"/>
      <c r="G21" s="2"/>
      <c r="H21" s="2"/>
      <c r="I21" s="2"/>
      <c r="J21" s="37"/>
      <c r="K21" s="2"/>
      <c r="L21" s="2"/>
      <c r="Q21" s="23" t="s">
        <v>18</v>
      </c>
    </row>
    <row r="22" spans="1:17" ht="28.35" customHeight="1" x14ac:dyDescent="0.2">
      <c r="A22" s="2"/>
      <c r="B22" s="103" t="s">
        <v>9</v>
      </c>
      <c r="C22" s="104"/>
      <c r="D22" s="104"/>
      <c r="E22" s="104"/>
      <c r="F22" s="104"/>
      <c r="G22" s="104"/>
      <c r="H22" s="104"/>
      <c r="I22" s="104"/>
      <c r="J22" s="104"/>
      <c r="K22" s="104"/>
      <c r="L22" s="105"/>
      <c r="Q22" s="84" t="s">
        <v>313</v>
      </c>
    </row>
    <row r="23" spans="1:17" ht="28.35" customHeight="1" x14ac:dyDescent="0.2">
      <c r="A23" s="2"/>
      <c r="B23" s="106"/>
      <c r="C23" s="107"/>
      <c r="D23" s="107"/>
      <c r="E23" s="107"/>
      <c r="F23" s="107"/>
      <c r="G23" s="107"/>
      <c r="H23" s="107"/>
      <c r="I23" s="107"/>
      <c r="J23" s="107"/>
      <c r="K23" s="107"/>
      <c r="L23" s="108"/>
      <c r="Q23" s="84"/>
    </row>
    <row r="24" spans="1:17" ht="18" customHeight="1" x14ac:dyDescent="0.25">
      <c r="A24" s="2"/>
      <c r="B24" s="109" t="s">
        <v>4</v>
      </c>
      <c r="C24" s="2"/>
      <c r="D24" s="2"/>
      <c r="E24" s="2"/>
      <c r="F24" s="37"/>
      <c r="G24" s="2"/>
      <c r="H24" s="2"/>
      <c r="I24" s="2"/>
      <c r="J24" s="37"/>
      <c r="K24" s="2"/>
      <c r="L24" s="10"/>
      <c r="Q24" s="84"/>
    </row>
    <row r="25" spans="1:17" ht="17.100000000000001" customHeight="1" x14ac:dyDescent="0.2">
      <c r="A25" s="2"/>
      <c r="B25" s="93"/>
      <c r="C25" s="5"/>
      <c r="D25" s="6"/>
      <c r="E25" s="95" t="s">
        <v>1</v>
      </c>
      <c r="F25" s="96"/>
      <c r="G25" s="97"/>
      <c r="H25" s="4" t="s">
        <v>2</v>
      </c>
      <c r="I25" s="95" t="s">
        <v>3</v>
      </c>
      <c r="J25" s="96"/>
      <c r="K25" s="97"/>
      <c r="L25" s="11" t="s">
        <v>2</v>
      </c>
      <c r="Q25" s="84"/>
    </row>
    <row r="26" spans="1:17" ht="5.0999999999999996" customHeight="1" x14ac:dyDescent="0.25">
      <c r="A26" s="2"/>
      <c r="B26" s="93"/>
      <c r="C26" s="99"/>
      <c r="D26" s="2"/>
      <c r="E26" s="12"/>
      <c r="F26" s="39"/>
      <c r="G26" s="12"/>
      <c r="H26" s="9"/>
      <c r="I26" s="12"/>
      <c r="J26" s="39"/>
      <c r="K26" s="12"/>
      <c r="L26" s="10"/>
      <c r="Q26" s="84"/>
    </row>
    <row r="27" spans="1:17" ht="15.95" customHeight="1" x14ac:dyDescent="0.2">
      <c r="A27" s="2"/>
      <c r="B27" s="93"/>
      <c r="C27" s="99"/>
      <c r="D27" s="57" t="s">
        <v>310</v>
      </c>
      <c r="E27" s="12"/>
      <c r="F27" s="41">
        <v>10000</v>
      </c>
      <c r="G27" s="12"/>
      <c r="H27" s="61" t="s">
        <v>6</v>
      </c>
      <c r="I27" s="12"/>
      <c r="J27" s="44" t="s">
        <v>7</v>
      </c>
      <c r="K27" s="12"/>
      <c r="L27" s="13" t="s">
        <v>6</v>
      </c>
      <c r="Q27" s="84"/>
    </row>
    <row r="28" spans="1:17" ht="5.0999999999999996" customHeight="1" x14ac:dyDescent="0.25">
      <c r="A28" s="2"/>
      <c r="B28" s="93"/>
      <c r="C28" s="110"/>
      <c r="D28" s="58"/>
      <c r="E28" s="7"/>
      <c r="F28" s="40"/>
      <c r="G28" s="7"/>
      <c r="H28" s="6"/>
      <c r="I28" s="7"/>
      <c r="J28" s="40"/>
      <c r="K28" s="7"/>
      <c r="L28" s="59"/>
      <c r="Q28" s="84"/>
    </row>
    <row r="29" spans="1:17" ht="5.0999999999999996" customHeight="1" x14ac:dyDescent="0.25">
      <c r="A29" s="2"/>
      <c r="B29" s="93"/>
      <c r="C29" s="99"/>
      <c r="D29" s="2"/>
      <c r="E29" s="12"/>
      <c r="F29" s="39"/>
      <c r="G29" s="12"/>
      <c r="H29" s="9"/>
      <c r="I29" s="12"/>
      <c r="J29" s="39"/>
      <c r="K29" s="12"/>
      <c r="L29" s="10"/>
      <c r="Q29" s="84"/>
    </row>
    <row r="30" spans="1:17" ht="15.95" customHeight="1" x14ac:dyDescent="0.25">
      <c r="A30" s="2"/>
      <c r="B30" s="93"/>
      <c r="C30" s="99"/>
      <c r="D30" s="57" t="s">
        <v>311</v>
      </c>
      <c r="E30" s="12"/>
      <c r="F30" s="30">
        <v>10000</v>
      </c>
      <c r="G30" s="12"/>
      <c r="H30" s="61" t="s">
        <v>21</v>
      </c>
      <c r="I30" s="12"/>
      <c r="J30" s="45" t="s">
        <v>7</v>
      </c>
      <c r="K30" s="12"/>
      <c r="L30" s="13" t="s">
        <v>19</v>
      </c>
      <c r="Q30" s="24"/>
    </row>
    <row r="31" spans="1:17" ht="5.0999999999999996" customHeight="1" x14ac:dyDescent="0.25">
      <c r="A31" s="2"/>
      <c r="B31" s="93"/>
      <c r="C31" s="110"/>
      <c r="D31" s="58"/>
      <c r="E31" s="7"/>
      <c r="F31" s="40"/>
      <c r="G31" s="7"/>
      <c r="H31" s="6"/>
      <c r="I31" s="7"/>
      <c r="J31" s="40"/>
      <c r="K31" s="7"/>
      <c r="L31" s="59"/>
    </row>
    <row r="32" spans="1:17" ht="5.0999999999999996" customHeight="1" x14ac:dyDescent="0.25">
      <c r="A32" s="2"/>
      <c r="B32" s="93"/>
      <c r="C32" s="99"/>
      <c r="D32" s="2"/>
      <c r="E32" s="12"/>
      <c r="F32" s="39"/>
      <c r="G32" s="12"/>
      <c r="H32" s="9"/>
      <c r="I32" s="12"/>
      <c r="J32" s="39"/>
      <c r="K32" s="12"/>
      <c r="L32" s="10"/>
    </row>
    <row r="33" spans="1:12" ht="15.95" customHeight="1" x14ac:dyDescent="0.2">
      <c r="A33" s="2"/>
      <c r="B33" s="93"/>
      <c r="C33" s="99"/>
      <c r="D33" s="57" t="s">
        <v>10</v>
      </c>
      <c r="E33" s="12"/>
      <c r="F33" s="41">
        <v>10000</v>
      </c>
      <c r="G33" s="12"/>
      <c r="H33" s="61" t="s">
        <v>6</v>
      </c>
      <c r="I33" s="12"/>
      <c r="J33" s="44" t="s">
        <v>7</v>
      </c>
      <c r="K33" s="12"/>
      <c r="L33" s="13" t="s">
        <v>6</v>
      </c>
    </row>
    <row r="34" spans="1:12" ht="5.0999999999999996" customHeight="1" x14ac:dyDescent="0.25">
      <c r="A34" s="2"/>
      <c r="B34" s="93"/>
      <c r="C34" s="110"/>
      <c r="D34" s="58"/>
      <c r="E34" s="7"/>
      <c r="F34" s="40"/>
      <c r="G34" s="7"/>
      <c r="H34" s="6"/>
      <c r="I34" s="7"/>
      <c r="J34" s="40"/>
      <c r="K34" s="7"/>
      <c r="L34" s="59"/>
    </row>
    <row r="35" spans="1:12" ht="5.0999999999999996" customHeight="1" x14ac:dyDescent="0.25">
      <c r="A35" s="2"/>
      <c r="B35" s="93"/>
      <c r="C35" s="99"/>
      <c r="D35" s="2"/>
      <c r="E35" s="12"/>
      <c r="F35" s="39"/>
      <c r="G35" s="12"/>
      <c r="H35" s="9"/>
      <c r="I35" s="12"/>
      <c r="J35" s="39"/>
      <c r="K35" s="12"/>
      <c r="L35" s="10"/>
    </row>
    <row r="36" spans="1:12" ht="15.95" customHeight="1" x14ac:dyDescent="0.2">
      <c r="A36" s="2"/>
      <c r="B36" s="93"/>
      <c r="C36" s="99"/>
      <c r="D36" s="57" t="s">
        <v>11</v>
      </c>
      <c r="E36" s="12"/>
      <c r="F36" s="26">
        <v>10000</v>
      </c>
      <c r="G36" s="12"/>
      <c r="H36" s="61" t="s">
        <v>20</v>
      </c>
      <c r="I36" s="12"/>
      <c r="J36" s="44" t="s">
        <v>7</v>
      </c>
      <c r="K36" s="12"/>
      <c r="L36" s="13" t="s">
        <v>19</v>
      </c>
    </row>
    <row r="37" spans="1:12" ht="5.0999999999999996" customHeight="1" x14ac:dyDescent="0.25">
      <c r="A37" s="2"/>
      <c r="B37" s="93"/>
      <c r="C37" s="110"/>
      <c r="D37" s="58"/>
      <c r="E37" s="7"/>
      <c r="F37" s="40"/>
      <c r="G37" s="7"/>
      <c r="H37" s="6"/>
      <c r="I37" s="7"/>
      <c r="J37" s="40"/>
      <c r="K37" s="7"/>
      <c r="L37" s="59"/>
    </row>
    <row r="38" spans="1:12" ht="5.0999999999999996" customHeight="1" x14ac:dyDescent="0.25">
      <c r="A38" s="2"/>
      <c r="B38" s="93"/>
      <c r="C38" s="99"/>
      <c r="D38" s="2"/>
      <c r="E38" s="12"/>
      <c r="F38" s="39"/>
      <c r="G38" s="12"/>
      <c r="H38" s="9"/>
      <c r="I38" s="12"/>
      <c r="J38" s="39"/>
      <c r="K38" s="12"/>
      <c r="L38" s="10"/>
    </row>
    <row r="39" spans="1:12" ht="15.95" customHeight="1" x14ac:dyDescent="0.25">
      <c r="A39" s="2"/>
      <c r="B39" s="93"/>
      <c r="C39" s="99"/>
      <c r="D39" s="57" t="s">
        <v>12</v>
      </c>
      <c r="E39" s="12"/>
      <c r="F39" s="39"/>
      <c r="G39" s="12"/>
      <c r="H39" s="9"/>
      <c r="I39" s="12"/>
      <c r="J39" s="39"/>
      <c r="K39" s="12"/>
      <c r="L39" s="10"/>
    </row>
    <row r="40" spans="1:12" ht="5.0999999999999996" customHeight="1" x14ac:dyDescent="0.25">
      <c r="A40" s="2"/>
      <c r="B40" s="93"/>
      <c r="C40" s="56"/>
      <c r="D40" s="57"/>
      <c r="E40" s="12"/>
      <c r="F40" s="39"/>
      <c r="G40" s="12"/>
      <c r="H40" s="9"/>
      <c r="I40" s="12"/>
      <c r="J40" s="39"/>
      <c r="K40" s="12"/>
      <c r="L40" s="10"/>
    </row>
    <row r="41" spans="1:12" ht="15.95" customHeight="1" x14ac:dyDescent="0.2">
      <c r="A41" s="2"/>
      <c r="B41" s="93"/>
      <c r="C41" s="56"/>
      <c r="D41" s="33" t="s">
        <v>22</v>
      </c>
      <c r="E41" s="12"/>
      <c r="F41" s="30">
        <v>10000</v>
      </c>
      <c r="G41" s="12"/>
      <c r="H41" s="61" t="s">
        <v>21</v>
      </c>
      <c r="I41" s="12"/>
      <c r="J41" s="44" t="s">
        <v>7</v>
      </c>
      <c r="K41" s="12"/>
      <c r="L41" s="13" t="s">
        <v>19</v>
      </c>
    </row>
    <row r="42" spans="1:12" ht="5.0999999999999996" customHeight="1" x14ac:dyDescent="0.25">
      <c r="A42" s="2"/>
      <c r="B42" s="93"/>
      <c r="C42" s="56"/>
      <c r="D42" s="32"/>
      <c r="E42" s="7"/>
      <c r="F42" s="40"/>
      <c r="G42" s="7"/>
      <c r="H42" s="6"/>
      <c r="I42" s="7"/>
      <c r="J42" s="40"/>
      <c r="K42" s="7"/>
      <c r="L42" s="59"/>
    </row>
    <row r="43" spans="1:12" ht="5.0999999999999996" customHeight="1" x14ac:dyDescent="0.25">
      <c r="A43" s="2"/>
      <c r="B43" s="93"/>
      <c r="C43" s="56"/>
      <c r="D43" s="57"/>
      <c r="E43" s="12"/>
      <c r="F43" s="39"/>
      <c r="G43" s="12"/>
      <c r="H43" s="9"/>
      <c r="I43" s="12"/>
      <c r="J43" s="39"/>
      <c r="K43" s="12"/>
      <c r="L43" s="10"/>
    </row>
    <row r="44" spans="1:12" ht="15.95" customHeight="1" x14ac:dyDescent="0.2">
      <c r="A44" s="2"/>
      <c r="B44" s="93"/>
      <c r="C44" s="56"/>
      <c r="D44" s="33" t="s">
        <v>315</v>
      </c>
      <c r="E44" s="12"/>
      <c r="F44" s="30">
        <v>10000</v>
      </c>
      <c r="G44" s="12"/>
      <c r="H44" s="61" t="s">
        <v>21</v>
      </c>
      <c r="I44" s="12"/>
      <c r="J44" s="44" t="s">
        <v>7</v>
      </c>
      <c r="K44" s="12"/>
      <c r="L44" s="13" t="s">
        <v>19</v>
      </c>
    </row>
    <row r="45" spans="1:12" ht="5.0999999999999996" customHeight="1" x14ac:dyDescent="0.25">
      <c r="A45" s="2"/>
      <c r="B45" s="93"/>
      <c r="C45" s="56"/>
      <c r="D45" s="32"/>
      <c r="E45" s="7"/>
      <c r="F45" s="40"/>
      <c r="G45" s="7"/>
      <c r="H45" s="6"/>
      <c r="I45" s="7"/>
      <c r="J45" s="40"/>
      <c r="K45" s="7"/>
      <c r="L45" s="59"/>
    </row>
    <row r="46" spans="1:12" ht="5.0999999999999996" customHeight="1" x14ac:dyDescent="0.25">
      <c r="A46" s="2"/>
      <c r="B46" s="93"/>
      <c r="C46" s="56"/>
      <c r="D46" s="57"/>
      <c r="E46" s="12"/>
      <c r="F46" s="39"/>
      <c r="G46" s="12"/>
      <c r="H46" s="9"/>
      <c r="I46" s="12"/>
      <c r="J46" s="39"/>
      <c r="K46" s="12"/>
      <c r="L46" s="10"/>
    </row>
    <row r="47" spans="1:12" ht="15.95" customHeight="1" x14ac:dyDescent="0.2">
      <c r="A47" s="2"/>
      <c r="B47" s="93"/>
      <c r="C47" s="56"/>
      <c r="D47" s="33" t="s">
        <v>316</v>
      </c>
      <c r="E47" s="12"/>
      <c r="F47" s="30">
        <v>10000</v>
      </c>
      <c r="G47" s="12"/>
      <c r="H47" s="61" t="s">
        <v>21</v>
      </c>
      <c r="I47" s="12"/>
      <c r="J47" s="44" t="s">
        <v>7</v>
      </c>
      <c r="K47" s="12"/>
      <c r="L47" s="13" t="s">
        <v>19</v>
      </c>
    </row>
    <row r="48" spans="1:12" ht="5.0999999999999996" customHeight="1" x14ac:dyDescent="0.25">
      <c r="A48" s="2"/>
      <c r="B48" s="93"/>
      <c r="C48" s="56"/>
      <c r="D48" s="32"/>
      <c r="E48" s="7"/>
      <c r="F48" s="40"/>
      <c r="G48" s="7"/>
      <c r="H48" s="6"/>
      <c r="I48" s="7"/>
      <c r="J48" s="40"/>
      <c r="K48" s="7"/>
      <c r="L48" s="59"/>
    </row>
    <row r="49" spans="1:12" ht="5.0999999999999996" customHeight="1" x14ac:dyDescent="0.25">
      <c r="A49" s="2"/>
      <c r="B49" s="93"/>
      <c r="C49" s="56"/>
      <c r="D49" s="57"/>
      <c r="E49" s="12"/>
      <c r="F49" s="39"/>
      <c r="G49" s="12"/>
      <c r="H49" s="9"/>
      <c r="I49" s="12"/>
      <c r="J49" s="39"/>
      <c r="K49" s="12"/>
      <c r="L49" s="10"/>
    </row>
    <row r="50" spans="1:12" ht="15.95" customHeight="1" x14ac:dyDescent="0.2">
      <c r="A50" s="2"/>
      <c r="B50" s="93"/>
      <c r="C50" s="56"/>
      <c r="D50" s="33" t="s">
        <v>317</v>
      </c>
      <c r="E50" s="12"/>
      <c r="F50" s="30">
        <v>10000</v>
      </c>
      <c r="G50" s="12"/>
      <c r="H50" s="61" t="s">
        <v>21</v>
      </c>
      <c r="I50" s="12"/>
      <c r="J50" s="44" t="s">
        <v>7</v>
      </c>
      <c r="K50" s="12"/>
      <c r="L50" s="13" t="s">
        <v>19</v>
      </c>
    </row>
    <row r="51" spans="1:12" ht="5.0999999999999996" customHeight="1" x14ac:dyDescent="0.25">
      <c r="A51" s="2"/>
      <c r="B51" s="93"/>
      <c r="C51" s="56"/>
      <c r="D51" s="32"/>
      <c r="E51" s="7"/>
      <c r="F51" s="40"/>
      <c r="G51" s="7"/>
      <c r="H51" s="6"/>
      <c r="I51" s="7"/>
      <c r="J51" s="40"/>
      <c r="K51" s="7"/>
      <c r="L51" s="59"/>
    </row>
    <row r="52" spans="1:12" ht="5.0999999999999996" customHeight="1" x14ac:dyDescent="0.25">
      <c r="A52" s="2"/>
      <c r="B52" s="93"/>
      <c r="C52" s="56"/>
      <c r="D52" s="57"/>
      <c r="E52" s="12"/>
      <c r="F52" s="39"/>
      <c r="G52" s="12"/>
      <c r="H52" s="9"/>
      <c r="I52" s="12"/>
      <c r="J52" s="39"/>
      <c r="K52" s="12"/>
      <c r="L52" s="10"/>
    </row>
    <row r="53" spans="1:12" ht="15.95" customHeight="1" x14ac:dyDescent="0.2">
      <c r="A53" s="2"/>
      <c r="B53" s="93"/>
      <c r="C53" s="56"/>
      <c r="D53" s="33" t="s">
        <v>318</v>
      </c>
      <c r="E53" s="12"/>
      <c r="F53" s="30">
        <v>10000</v>
      </c>
      <c r="G53" s="12"/>
      <c r="H53" s="61" t="s">
        <v>21</v>
      </c>
      <c r="I53" s="12"/>
      <c r="J53" s="44" t="s">
        <v>7</v>
      </c>
      <c r="K53" s="12"/>
      <c r="L53" s="13" t="s">
        <v>19</v>
      </c>
    </row>
    <row r="54" spans="1:12" ht="5.0999999999999996" customHeight="1" x14ac:dyDescent="0.25">
      <c r="A54" s="2"/>
      <c r="B54" s="93"/>
      <c r="C54" s="56"/>
      <c r="D54" s="32"/>
      <c r="E54" s="7"/>
      <c r="F54" s="40"/>
      <c r="G54" s="7"/>
      <c r="H54" s="6"/>
      <c r="I54" s="7"/>
      <c r="J54" s="40"/>
      <c r="K54" s="7"/>
      <c r="L54" s="59"/>
    </row>
    <row r="55" spans="1:12" ht="5.0999999999999996" customHeight="1" x14ac:dyDescent="0.25">
      <c r="A55" s="2"/>
      <c r="B55" s="93"/>
      <c r="C55" s="56"/>
      <c r="D55" s="57"/>
      <c r="E55" s="12"/>
      <c r="F55" s="39"/>
      <c r="G55" s="12"/>
      <c r="H55" s="9"/>
      <c r="I55" s="12"/>
      <c r="J55" s="39"/>
      <c r="K55" s="12"/>
      <c r="L55" s="10"/>
    </row>
    <row r="56" spans="1:12" ht="15.95" customHeight="1" x14ac:dyDescent="0.2">
      <c r="A56" s="2"/>
      <c r="B56" s="93"/>
      <c r="C56" s="56"/>
      <c r="D56" s="33" t="s">
        <v>319</v>
      </c>
      <c r="E56" s="12"/>
      <c r="F56" s="30">
        <v>10000</v>
      </c>
      <c r="G56" s="12"/>
      <c r="H56" s="61" t="s">
        <v>21</v>
      </c>
      <c r="I56" s="12"/>
      <c r="J56" s="44" t="s">
        <v>7</v>
      </c>
      <c r="K56" s="12"/>
      <c r="L56" s="13" t="s">
        <v>19</v>
      </c>
    </row>
    <row r="57" spans="1:12" ht="5.0999999999999996" customHeight="1" x14ac:dyDescent="0.25">
      <c r="A57" s="2"/>
      <c r="B57" s="93"/>
      <c r="C57" s="56"/>
      <c r="D57" s="32"/>
      <c r="E57" s="7"/>
      <c r="F57" s="40"/>
      <c r="G57" s="7"/>
      <c r="H57" s="6"/>
      <c r="I57" s="7"/>
      <c r="J57" s="40"/>
      <c r="K57" s="7"/>
      <c r="L57" s="59"/>
    </row>
    <row r="58" spans="1:12" ht="5.0999999999999996" customHeight="1" x14ac:dyDescent="0.25">
      <c r="A58" s="2"/>
      <c r="B58" s="93"/>
      <c r="C58" s="56"/>
      <c r="D58" s="57"/>
      <c r="E58" s="12"/>
      <c r="F58" s="39"/>
      <c r="G58" s="12"/>
      <c r="H58" s="9"/>
      <c r="I58" s="12"/>
      <c r="J58" s="39"/>
      <c r="K58" s="12"/>
      <c r="L58" s="10"/>
    </row>
    <row r="59" spans="1:12" ht="15.95" customHeight="1" x14ac:dyDescent="0.2">
      <c r="A59" s="2"/>
      <c r="B59" s="93"/>
      <c r="C59" s="56"/>
      <c r="D59" s="33" t="s">
        <v>320</v>
      </c>
      <c r="E59" s="12"/>
      <c r="F59" s="62">
        <v>10000</v>
      </c>
      <c r="G59" s="12"/>
      <c r="H59" s="61" t="s">
        <v>21</v>
      </c>
      <c r="I59" s="12"/>
      <c r="J59" s="44" t="s">
        <v>7</v>
      </c>
      <c r="K59" s="12"/>
      <c r="L59" s="13" t="s">
        <v>19</v>
      </c>
    </row>
    <row r="60" spans="1:12" ht="5.0999999999999996" customHeight="1" x14ac:dyDescent="0.25">
      <c r="A60" s="2"/>
      <c r="B60" s="93"/>
      <c r="C60" s="56"/>
      <c r="D60" s="32"/>
      <c r="E60" s="7"/>
      <c r="F60" s="40"/>
      <c r="G60" s="7"/>
      <c r="H60" s="6"/>
      <c r="I60" s="7"/>
      <c r="J60" s="40"/>
      <c r="K60" s="7"/>
      <c r="L60" s="59"/>
    </row>
    <row r="61" spans="1:12" ht="5.0999999999999996" customHeight="1" x14ac:dyDescent="0.25">
      <c r="A61" s="2"/>
      <c r="B61" s="93"/>
      <c r="C61" s="56"/>
      <c r="D61" s="57"/>
      <c r="E61" s="12"/>
      <c r="F61" s="39"/>
      <c r="G61" s="12"/>
      <c r="H61" s="9"/>
      <c r="I61" s="12"/>
      <c r="J61" s="39"/>
      <c r="K61" s="12"/>
      <c r="L61" s="10"/>
    </row>
    <row r="62" spans="1:12" ht="15.95" customHeight="1" x14ac:dyDescent="0.2">
      <c r="A62" s="2"/>
      <c r="B62" s="93"/>
      <c r="C62" s="56"/>
      <c r="D62" s="33" t="s">
        <v>321</v>
      </c>
      <c r="E62" s="12"/>
      <c r="F62" s="62">
        <v>10000</v>
      </c>
      <c r="G62" s="12"/>
      <c r="H62" s="61" t="s">
        <v>21</v>
      </c>
      <c r="I62" s="12"/>
      <c r="J62" s="44" t="s">
        <v>7</v>
      </c>
      <c r="K62" s="12"/>
      <c r="L62" s="13" t="s">
        <v>19</v>
      </c>
    </row>
    <row r="63" spans="1:12" ht="5.0999999999999996" customHeight="1" x14ac:dyDescent="0.25">
      <c r="A63" s="2"/>
      <c r="B63" s="93"/>
      <c r="C63" s="56"/>
      <c r="D63" s="32"/>
      <c r="E63" s="7"/>
      <c r="F63" s="40"/>
      <c r="G63" s="7"/>
      <c r="H63" s="6"/>
      <c r="I63" s="7"/>
      <c r="J63" s="40"/>
      <c r="K63" s="7"/>
      <c r="L63" s="59"/>
    </row>
    <row r="64" spans="1:12" ht="5.0999999999999996" customHeight="1" x14ac:dyDescent="0.25">
      <c r="A64" s="2"/>
      <c r="B64" s="93"/>
      <c r="C64" s="56"/>
      <c r="D64" s="57"/>
      <c r="E64" s="12"/>
      <c r="F64" s="39"/>
      <c r="G64" s="12"/>
      <c r="H64" s="9"/>
      <c r="I64" s="12"/>
      <c r="J64" s="39"/>
      <c r="K64" s="12"/>
      <c r="L64" s="10"/>
    </row>
    <row r="65" spans="1:12" ht="15.95" customHeight="1" x14ac:dyDescent="0.2">
      <c r="A65" s="2"/>
      <c r="B65" s="93"/>
      <c r="C65" s="56"/>
      <c r="D65" s="33" t="s">
        <v>322</v>
      </c>
      <c r="E65" s="12"/>
      <c r="F65" s="30">
        <v>10000</v>
      </c>
      <c r="G65" s="12"/>
      <c r="H65" s="61" t="s">
        <v>21</v>
      </c>
      <c r="I65" s="12"/>
      <c r="J65" s="44" t="s">
        <v>7</v>
      </c>
      <c r="K65" s="12"/>
      <c r="L65" s="13" t="s">
        <v>19</v>
      </c>
    </row>
    <row r="66" spans="1:12" ht="5.0999999999999996" customHeight="1" x14ac:dyDescent="0.25">
      <c r="A66" s="2"/>
      <c r="B66" s="93"/>
      <c r="C66" s="56"/>
      <c r="D66" s="32"/>
      <c r="E66" s="7"/>
      <c r="F66" s="40"/>
      <c r="G66" s="7"/>
      <c r="H66" s="6"/>
      <c r="I66" s="7"/>
      <c r="J66" s="40"/>
      <c r="K66" s="7"/>
      <c r="L66" s="59"/>
    </row>
    <row r="67" spans="1:12" ht="5.0999999999999996" customHeight="1" x14ac:dyDescent="0.25">
      <c r="A67" s="2"/>
      <c r="B67" s="93"/>
      <c r="C67" s="56"/>
      <c r="D67" s="57"/>
      <c r="E67" s="12"/>
      <c r="F67" s="39"/>
      <c r="G67" s="12"/>
      <c r="H67" s="9"/>
      <c r="I67" s="12"/>
      <c r="J67" s="39"/>
      <c r="K67" s="12"/>
      <c r="L67" s="10"/>
    </row>
    <row r="68" spans="1:12" ht="15.95" customHeight="1" x14ac:dyDescent="0.2">
      <c r="A68" s="2"/>
      <c r="B68" s="93"/>
      <c r="C68" s="56"/>
      <c r="D68" s="33" t="s">
        <v>323</v>
      </c>
      <c r="E68" s="12"/>
      <c r="F68" s="30">
        <v>10000</v>
      </c>
      <c r="G68" s="12"/>
      <c r="H68" s="61" t="s">
        <v>21</v>
      </c>
      <c r="I68" s="12"/>
      <c r="J68" s="44" t="s">
        <v>7</v>
      </c>
      <c r="K68" s="12"/>
      <c r="L68" s="13" t="s">
        <v>19</v>
      </c>
    </row>
    <row r="69" spans="1:12" ht="5.0999999999999996" customHeight="1" x14ac:dyDescent="0.25">
      <c r="A69" s="2"/>
      <c r="B69" s="93"/>
      <c r="C69" s="56"/>
      <c r="D69" s="32"/>
      <c r="E69" s="7"/>
      <c r="F69" s="40"/>
      <c r="G69" s="7"/>
      <c r="H69" s="6"/>
      <c r="I69" s="7"/>
      <c r="J69" s="40"/>
      <c r="K69" s="7"/>
      <c r="L69" s="59"/>
    </row>
    <row r="70" spans="1:12" ht="5.0999999999999996" customHeight="1" x14ac:dyDescent="0.25">
      <c r="A70" s="2"/>
      <c r="B70" s="93"/>
      <c r="C70" s="56"/>
      <c r="D70" s="57"/>
      <c r="E70" s="12"/>
      <c r="F70" s="39"/>
      <c r="G70" s="12"/>
      <c r="H70" s="9"/>
      <c r="I70" s="12"/>
      <c r="J70" s="39"/>
      <c r="K70" s="12"/>
      <c r="L70" s="10"/>
    </row>
    <row r="71" spans="1:12" ht="15.95" customHeight="1" x14ac:dyDescent="0.2">
      <c r="A71" s="2"/>
      <c r="B71" s="93"/>
      <c r="C71" s="56"/>
      <c r="D71" s="33" t="s">
        <v>324</v>
      </c>
      <c r="E71" s="12"/>
      <c r="F71" s="30">
        <v>10000</v>
      </c>
      <c r="G71" s="12"/>
      <c r="H71" s="61" t="s">
        <v>21</v>
      </c>
      <c r="I71" s="12"/>
      <c r="J71" s="44" t="s">
        <v>7</v>
      </c>
      <c r="K71" s="12"/>
      <c r="L71" s="13" t="s">
        <v>19</v>
      </c>
    </row>
    <row r="72" spans="1:12" ht="5.0999999999999996" customHeight="1" x14ac:dyDescent="0.25">
      <c r="A72" s="2"/>
      <c r="B72" s="93"/>
      <c r="C72" s="56"/>
      <c r="D72" s="32"/>
      <c r="E72" s="7"/>
      <c r="F72" s="40"/>
      <c r="G72" s="7"/>
      <c r="H72" s="6"/>
      <c r="I72" s="7"/>
      <c r="J72" s="40"/>
      <c r="K72" s="7"/>
      <c r="L72" s="59"/>
    </row>
    <row r="73" spans="1:12" ht="5.0999999999999996" customHeight="1" x14ac:dyDescent="0.25">
      <c r="A73" s="2"/>
      <c r="B73" s="93"/>
      <c r="C73" s="56"/>
      <c r="D73" s="57"/>
      <c r="E73" s="12"/>
      <c r="F73" s="39"/>
      <c r="G73" s="12"/>
      <c r="H73" s="9"/>
      <c r="I73" s="12"/>
      <c r="J73" s="39"/>
      <c r="K73" s="12"/>
      <c r="L73" s="10"/>
    </row>
    <row r="74" spans="1:12" ht="15.95" customHeight="1" x14ac:dyDescent="0.2">
      <c r="A74" s="2"/>
      <c r="B74" s="93"/>
      <c r="C74" s="56"/>
      <c r="D74" s="33" t="s">
        <v>325</v>
      </c>
      <c r="E74" s="12"/>
      <c r="F74" s="30">
        <v>10000</v>
      </c>
      <c r="G74" s="12"/>
      <c r="H74" s="61" t="s">
        <v>21</v>
      </c>
      <c r="I74" s="12"/>
      <c r="J74" s="44" t="s">
        <v>7</v>
      </c>
      <c r="K74" s="12"/>
      <c r="L74" s="13" t="s">
        <v>19</v>
      </c>
    </row>
    <row r="75" spans="1:12" ht="5.0999999999999996" customHeight="1" x14ac:dyDescent="0.25">
      <c r="A75" s="2"/>
      <c r="B75" s="93"/>
      <c r="C75" s="56"/>
      <c r="D75" s="32"/>
      <c r="E75" s="7"/>
      <c r="F75" s="40"/>
      <c r="G75" s="7"/>
      <c r="H75" s="6"/>
      <c r="I75" s="7"/>
      <c r="J75" s="40"/>
      <c r="K75" s="7"/>
      <c r="L75" s="59"/>
    </row>
    <row r="76" spans="1:12" ht="5.0999999999999996" customHeight="1" x14ac:dyDescent="0.25">
      <c r="A76" s="2"/>
      <c r="B76" s="93"/>
      <c r="C76" s="56"/>
      <c r="D76" s="57"/>
      <c r="E76" s="12"/>
      <c r="F76" s="39"/>
      <c r="G76" s="12"/>
      <c r="H76" s="9"/>
      <c r="I76" s="12"/>
      <c r="J76" s="39"/>
      <c r="K76" s="12"/>
      <c r="L76" s="10"/>
    </row>
    <row r="77" spans="1:12" ht="15.95" customHeight="1" x14ac:dyDescent="0.2">
      <c r="A77" s="2"/>
      <c r="B77" s="93"/>
      <c r="C77" s="56"/>
      <c r="D77" s="33" t="s">
        <v>326</v>
      </c>
      <c r="E77" s="12"/>
      <c r="F77" s="30">
        <v>10000</v>
      </c>
      <c r="G77" s="12"/>
      <c r="H77" s="61" t="s">
        <v>21</v>
      </c>
      <c r="I77" s="12"/>
      <c r="J77" s="44" t="s">
        <v>7</v>
      </c>
      <c r="K77" s="12"/>
      <c r="L77" s="13" t="s">
        <v>19</v>
      </c>
    </row>
    <row r="78" spans="1:12" ht="5.0999999999999996" customHeight="1" x14ac:dyDescent="0.25">
      <c r="A78" s="2"/>
      <c r="B78" s="93"/>
      <c r="C78" s="56"/>
      <c r="D78" s="32"/>
      <c r="E78" s="7"/>
      <c r="F78" s="40"/>
      <c r="G78" s="7"/>
      <c r="H78" s="6"/>
      <c r="I78" s="7"/>
      <c r="J78" s="40"/>
      <c r="K78" s="7"/>
      <c r="L78" s="59"/>
    </row>
    <row r="79" spans="1:12" ht="5.0999999999999996" customHeight="1" x14ac:dyDescent="0.25">
      <c r="A79" s="2"/>
      <c r="B79" s="93"/>
      <c r="C79" s="56"/>
      <c r="D79" s="57"/>
      <c r="E79" s="12"/>
      <c r="F79" s="39"/>
      <c r="G79" s="12"/>
      <c r="H79" s="9"/>
      <c r="I79" s="12"/>
      <c r="J79" s="39"/>
      <c r="K79" s="12"/>
      <c r="L79" s="10"/>
    </row>
    <row r="80" spans="1:12" ht="15.95" customHeight="1" x14ac:dyDescent="0.2">
      <c r="A80" s="2"/>
      <c r="B80" s="93"/>
      <c r="C80" s="56"/>
      <c r="D80" s="33" t="s">
        <v>327</v>
      </c>
      <c r="E80" s="12"/>
      <c r="F80" s="62">
        <v>10000</v>
      </c>
      <c r="G80" s="12"/>
      <c r="H80" s="61" t="s">
        <v>21</v>
      </c>
      <c r="I80" s="12"/>
      <c r="J80" s="44" t="s">
        <v>7</v>
      </c>
      <c r="K80" s="12"/>
      <c r="L80" s="13" t="s">
        <v>19</v>
      </c>
    </row>
    <row r="81" spans="1:12" ht="5.0999999999999996" customHeight="1" x14ac:dyDescent="0.25">
      <c r="A81" s="2"/>
      <c r="B81" s="93"/>
      <c r="C81" s="56"/>
      <c r="D81" s="32"/>
      <c r="E81" s="7"/>
      <c r="F81" s="40"/>
      <c r="G81" s="7"/>
      <c r="H81" s="6"/>
      <c r="I81" s="7"/>
      <c r="J81" s="40"/>
      <c r="K81" s="7"/>
      <c r="L81" s="59"/>
    </row>
    <row r="82" spans="1:12" ht="5.0999999999999996" customHeight="1" x14ac:dyDescent="0.25">
      <c r="A82" s="2"/>
      <c r="B82" s="93"/>
      <c r="C82" s="56"/>
      <c r="D82" s="57"/>
      <c r="E82" s="12"/>
      <c r="F82" s="39"/>
      <c r="G82" s="12"/>
      <c r="H82" s="9"/>
      <c r="I82" s="12"/>
      <c r="J82" s="39"/>
      <c r="K82" s="12"/>
      <c r="L82" s="10"/>
    </row>
    <row r="83" spans="1:12" ht="15.95" customHeight="1" x14ac:dyDescent="0.2">
      <c r="A83" s="2"/>
      <c r="B83" s="93"/>
      <c r="C83" s="56"/>
      <c r="D83" s="33" t="s">
        <v>328</v>
      </c>
      <c r="E83" s="12"/>
      <c r="F83" s="62">
        <v>10000</v>
      </c>
      <c r="G83" s="12"/>
      <c r="H83" s="61" t="s">
        <v>21</v>
      </c>
      <c r="I83" s="12"/>
      <c r="J83" s="44" t="s">
        <v>7</v>
      </c>
      <c r="K83" s="12"/>
      <c r="L83" s="13" t="s">
        <v>19</v>
      </c>
    </row>
    <row r="84" spans="1:12" ht="5.0999999999999996" customHeight="1" x14ac:dyDescent="0.25">
      <c r="A84" s="2"/>
      <c r="B84" s="93"/>
      <c r="C84" s="56"/>
      <c r="D84" s="32"/>
      <c r="E84" s="7"/>
      <c r="F84" s="40"/>
      <c r="G84" s="7"/>
      <c r="H84" s="6"/>
      <c r="I84" s="7"/>
      <c r="J84" s="40"/>
      <c r="K84" s="7"/>
      <c r="L84" s="59"/>
    </row>
    <row r="85" spans="1:12" ht="5.0999999999999996" customHeight="1" x14ac:dyDescent="0.25">
      <c r="A85" s="2"/>
      <c r="B85" s="93"/>
      <c r="C85" s="56"/>
      <c r="D85" s="57"/>
      <c r="E85" s="12"/>
      <c r="F85" s="39"/>
      <c r="G85" s="12"/>
      <c r="H85" s="9"/>
      <c r="I85" s="12"/>
      <c r="J85" s="39"/>
      <c r="K85" s="12"/>
      <c r="L85" s="10"/>
    </row>
    <row r="86" spans="1:12" ht="15.95" customHeight="1" x14ac:dyDescent="0.2">
      <c r="A86" s="2"/>
      <c r="B86" s="93"/>
      <c r="C86" s="56"/>
      <c r="D86" s="33" t="s">
        <v>329</v>
      </c>
      <c r="E86" s="12"/>
      <c r="F86" s="30">
        <v>10000</v>
      </c>
      <c r="G86" s="12"/>
      <c r="H86" s="61" t="s">
        <v>21</v>
      </c>
      <c r="I86" s="12"/>
      <c r="J86" s="44" t="s">
        <v>7</v>
      </c>
      <c r="K86" s="12"/>
      <c r="L86" s="13" t="s">
        <v>19</v>
      </c>
    </row>
    <row r="87" spans="1:12" ht="5.0999999999999996" customHeight="1" x14ac:dyDescent="0.25">
      <c r="A87" s="2"/>
      <c r="B87" s="93"/>
      <c r="C87" s="56"/>
      <c r="D87" s="32"/>
      <c r="E87" s="7"/>
      <c r="F87" s="40"/>
      <c r="G87" s="7"/>
      <c r="H87" s="6"/>
      <c r="I87" s="7"/>
      <c r="J87" s="40"/>
      <c r="K87" s="7"/>
      <c r="L87" s="59"/>
    </row>
    <row r="88" spans="1:12" ht="5.0999999999999996" customHeight="1" x14ac:dyDescent="0.25">
      <c r="A88" s="2"/>
      <c r="B88" s="93"/>
      <c r="C88" s="56"/>
      <c r="D88" s="57"/>
      <c r="E88" s="12"/>
      <c r="F88" s="39"/>
      <c r="G88" s="12"/>
      <c r="H88" s="9"/>
      <c r="I88" s="12"/>
      <c r="J88" s="39"/>
      <c r="K88" s="12"/>
      <c r="L88" s="10"/>
    </row>
    <row r="89" spans="1:12" ht="15.95" customHeight="1" x14ac:dyDescent="0.2">
      <c r="A89" s="2"/>
      <c r="B89" s="93"/>
      <c r="C89" s="56"/>
      <c r="D89" s="33" t="s">
        <v>330</v>
      </c>
      <c r="E89" s="12"/>
      <c r="F89" s="30">
        <v>10000</v>
      </c>
      <c r="G89" s="12"/>
      <c r="H89" s="61" t="s">
        <v>21</v>
      </c>
      <c r="I89" s="12"/>
      <c r="J89" s="44" t="s">
        <v>7</v>
      </c>
      <c r="K89" s="12"/>
      <c r="L89" s="13" t="s">
        <v>19</v>
      </c>
    </row>
    <row r="90" spans="1:12" ht="5.0999999999999996" customHeight="1" x14ac:dyDescent="0.25">
      <c r="A90" s="2"/>
      <c r="B90" s="93"/>
      <c r="C90" s="56"/>
      <c r="D90" s="32"/>
      <c r="E90" s="7"/>
      <c r="F90" s="40"/>
      <c r="G90" s="7"/>
      <c r="H90" s="6"/>
      <c r="I90" s="7"/>
      <c r="J90" s="40"/>
      <c r="K90" s="7"/>
      <c r="L90" s="59"/>
    </row>
    <row r="91" spans="1:12" ht="5.0999999999999996" customHeight="1" x14ac:dyDescent="0.25">
      <c r="A91" s="2"/>
      <c r="B91" s="93"/>
      <c r="C91" s="56"/>
      <c r="D91" s="57"/>
      <c r="E91" s="12"/>
      <c r="F91" s="39"/>
      <c r="G91" s="12"/>
      <c r="H91" s="9"/>
      <c r="I91" s="12"/>
      <c r="J91" s="39"/>
      <c r="K91" s="12"/>
      <c r="L91" s="10"/>
    </row>
    <row r="92" spans="1:12" ht="15.95" customHeight="1" x14ac:dyDescent="0.2">
      <c r="A92" s="2"/>
      <c r="B92" s="93"/>
      <c r="C92" s="56"/>
      <c r="D92" s="33" t="s">
        <v>331</v>
      </c>
      <c r="E92" s="12"/>
      <c r="F92" s="30">
        <v>10000</v>
      </c>
      <c r="G92" s="12"/>
      <c r="H92" s="61" t="s">
        <v>21</v>
      </c>
      <c r="I92" s="12"/>
      <c r="J92" s="44" t="s">
        <v>7</v>
      </c>
      <c r="K92" s="12"/>
      <c r="L92" s="13" t="s">
        <v>19</v>
      </c>
    </row>
    <row r="93" spans="1:12" ht="5.0999999999999996" customHeight="1" x14ac:dyDescent="0.25">
      <c r="A93" s="2"/>
      <c r="B93" s="93"/>
      <c r="C93" s="56"/>
      <c r="D93" s="32"/>
      <c r="E93" s="7"/>
      <c r="F93" s="40"/>
      <c r="G93" s="7"/>
      <c r="H93" s="6"/>
      <c r="I93" s="7"/>
      <c r="J93" s="40"/>
      <c r="K93" s="7"/>
      <c r="L93" s="59"/>
    </row>
    <row r="94" spans="1:12" ht="4.9000000000000004" customHeight="1" x14ac:dyDescent="0.25">
      <c r="A94" s="2"/>
      <c r="B94" s="93"/>
      <c r="C94" s="56"/>
      <c r="D94" s="57"/>
      <c r="E94" s="12"/>
      <c r="F94" s="39"/>
      <c r="G94" s="12"/>
      <c r="H94" s="9"/>
      <c r="I94" s="12"/>
      <c r="J94" s="39"/>
      <c r="K94" s="12"/>
      <c r="L94" s="10"/>
    </row>
    <row r="95" spans="1:12" ht="15.75" customHeight="1" x14ac:dyDescent="0.2">
      <c r="A95" s="2"/>
      <c r="B95" s="93"/>
      <c r="C95" s="56"/>
      <c r="D95" s="33" t="s">
        <v>332</v>
      </c>
      <c r="E95" s="12"/>
      <c r="F95" s="30">
        <v>10000</v>
      </c>
      <c r="G95" s="12"/>
      <c r="H95" s="61" t="s">
        <v>21</v>
      </c>
      <c r="I95" s="12"/>
      <c r="J95" s="44" t="s">
        <v>7</v>
      </c>
      <c r="K95" s="12"/>
      <c r="L95" s="13" t="s">
        <v>19</v>
      </c>
    </row>
    <row r="96" spans="1:12" ht="4.9000000000000004" customHeight="1" x14ac:dyDescent="0.25">
      <c r="A96" s="2"/>
      <c r="B96" s="93"/>
      <c r="C96" s="56"/>
      <c r="D96" s="32"/>
      <c r="E96" s="7"/>
      <c r="F96" s="40"/>
      <c r="G96" s="7"/>
      <c r="H96" s="6"/>
      <c r="I96" s="7"/>
      <c r="J96" s="40"/>
      <c r="K96" s="7"/>
      <c r="L96" s="59"/>
    </row>
    <row r="97" spans="1:12" ht="4.9000000000000004" customHeight="1" x14ac:dyDescent="0.25">
      <c r="A97" s="2"/>
      <c r="B97" s="93"/>
      <c r="C97" s="56"/>
      <c r="D97" s="57"/>
      <c r="E97" s="12"/>
      <c r="F97" s="39"/>
      <c r="G97" s="12"/>
      <c r="H97" s="9"/>
      <c r="I97" s="12"/>
      <c r="J97" s="39"/>
      <c r="K97" s="12"/>
      <c r="L97" s="10"/>
    </row>
    <row r="98" spans="1:12" ht="15.75" customHeight="1" x14ac:dyDescent="0.2">
      <c r="A98" s="2"/>
      <c r="B98" s="93"/>
      <c r="C98" s="56"/>
      <c r="D98" s="33" t="s">
        <v>333</v>
      </c>
      <c r="E98" s="12"/>
      <c r="F98" s="30">
        <v>10000</v>
      </c>
      <c r="G98" s="12"/>
      <c r="H98" s="61" t="s">
        <v>21</v>
      </c>
      <c r="I98" s="12"/>
      <c r="J98" s="44" t="s">
        <v>7</v>
      </c>
      <c r="K98" s="12"/>
      <c r="L98" s="13" t="s">
        <v>19</v>
      </c>
    </row>
    <row r="99" spans="1:12" ht="4.9000000000000004" customHeight="1" x14ac:dyDescent="0.25">
      <c r="A99" s="2"/>
      <c r="B99" s="93"/>
      <c r="C99" s="56"/>
      <c r="D99" s="32"/>
      <c r="E99" s="7"/>
      <c r="F99" s="40"/>
      <c r="G99" s="7"/>
      <c r="H99" s="6"/>
      <c r="I99" s="7"/>
      <c r="J99" s="40"/>
      <c r="K99" s="7"/>
      <c r="L99" s="59"/>
    </row>
    <row r="100" spans="1:12" ht="4.9000000000000004" customHeight="1" x14ac:dyDescent="0.25">
      <c r="A100" s="2"/>
      <c r="B100" s="93"/>
      <c r="C100" s="56"/>
      <c r="D100" s="57"/>
      <c r="E100" s="12"/>
      <c r="F100" s="39"/>
      <c r="G100" s="12"/>
      <c r="H100" s="9"/>
      <c r="I100" s="12"/>
      <c r="J100" s="39"/>
      <c r="K100" s="12"/>
      <c r="L100" s="10"/>
    </row>
    <row r="101" spans="1:12" ht="15.75" customHeight="1" x14ac:dyDescent="0.2">
      <c r="A101" s="2"/>
      <c r="B101" s="93"/>
      <c r="C101" s="56"/>
      <c r="D101" s="33" t="s">
        <v>334</v>
      </c>
      <c r="E101" s="12"/>
      <c r="F101" s="62">
        <v>10000</v>
      </c>
      <c r="G101" s="12"/>
      <c r="H101" s="61" t="s">
        <v>21</v>
      </c>
      <c r="I101" s="12"/>
      <c r="J101" s="44" t="s">
        <v>7</v>
      </c>
      <c r="K101" s="12"/>
      <c r="L101" s="13" t="s">
        <v>19</v>
      </c>
    </row>
    <row r="102" spans="1:12" ht="4.9000000000000004" customHeight="1" x14ac:dyDescent="0.25">
      <c r="A102" s="2"/>
      <c r="B102" s="93"/>
      <c r="C102" s="56"/>
      <c r="D102" s="32"/>
      <c r="E102" s="7"/>
      <c r="F102" s="40"/>
      <c r="G102" s="7"/>
      <c r="H102" s="6"/>
      <c r="I102" s="7"/>
      <c r="J102" s="40"/>
      <c r="K102" s="7"/>
      <c r="L102" s="59"/>
    </row>
    <row r="103" spans="1:12" ht="4.9000000000000004" customHeight="1" x14ac:dyDescent="0.25">
      <c r="A103" s="2"/>
      <c r="B103" s="93"/>
      <c r="C103" s="56"/>
      <c r="D103" s="57"/>
      <c r="E103" s="12"/>
      <c r="F103" s="39"/>
      <c r="G103" s="12"/>
      <c r="H103" s="9"/>
      <c r="I103" s="12"/>
      <c r="J103" s="39"/>
      <c r="K103" s="12"/>
      <c r="L103" s="10"/>
    </row>
    <row r="104" spans="1:12" ht="15.75" customHeight="1" x14ac:dyDescent="0.2">
      <c r="A104" s="2"/>
      <c r="B104" s="93"/>
      <c r="C104" s="56"/>
      <c r="D104" s="33" t="s">
        <v>335</v>
      </c>
      <c r="E104" s="12"/>
      <c r="F104" s="62">
        <v>10000</v>
      </c>
      <c r="G104" s="12"/>
      <c r="H104" s="61" t="s">
        <v>21</v>
      </c>
      <c r="I104" s="12"/>
      <c r="J104" s="44" t="s">
        <v>7</v>
      </c>
      <c r="K104" s="12"/>
      <c r="L104" s="13" t="s">
        <v>19</v>
      </c>
    </row>
    <row r="105" spans="1:12" ht="4.9000000000000004" customHeight="1" x14ac:dyDescent="0.25">
      <c r="A105" s="2"/>
      <c r="B105" s="93"/>
      <c r="C105" s="56"/>
      <c r="D105" s="32"/>
      <c r="E105" s="7"/>
      <c r="F105" s="40"/>
      <c r="G105" s="7"/>
      <c r="H105" s="6"/>
      <c r="I105" s="7"/>
      <c r="J105" s="40"/>
      <c r="K105" s="7"/>
      <c r="L105" s="59"/>
    </row>
    <row r="106" spans="1:12" ht="4.9000000000000004" customHeight="1" x14ac:dyDescent="0.25">
      <c r="A106" s="2"/>
      <c r="B106" s="93"/>
      <c r="C106" s="56"/>
      <c r="D106" s="57"/>
      <c r="E106" s="12"/>
      <c r="F106" s="39"/>
      <c r="G106" s="12"/>
      <c r="H106" s="9"/>
      <c r="I106" s="12"/>
      <c r="J106" s="39"/>
      <c r="K106" s="12"/>
      <c r="L106" s="10"/>
    </row>
    <row r="107" spans="1:12" ht="15.75" customHeight="1" x14ac:dyDescent="0.2">
      <c r="A107" s="2"/>
      <c r="B107" s="93"/>
      <c r="C107" s="56"/>
      <c r="D107" s="33" t="s">
        <v>336</v>
      </c>
      <c r="E107" s="12"/>
      <c r="F107" s="30">
        <v>10000</v>
      </c>
      <c r="G107" s="12"/>
      <c r="H107" s="61" t="s">
        <v>21</v>
      </c>
      <c r="I107" s="12"/>
      <c r="J107" s="44" t="s">
        <v>7</v>
      </c>
      <c r="K107" s="12"/>
      <c r="L107" s="13" t="s">
        <v>19</v>
      </c>
    </row>
    <row r="108" spans="1:12" ht="4.9000000000000004" customHeight="1" x14ac:dyDescent="0.25">
      <c r="A108" s="2"/>
      <c r="B108" s="93"/>
      <c r="C108" s="56"/>
      <c r="D108" s="32"/>
      <c r="E108" s="7"/>
      <c r="F108" s="40"/>
      <c r="G108" s="7"/>
      <c r="H108" s="6"/>
      <c r="I108" s="7"/>
      <c r="J108" s="40"/>
      <c r="K108" s="7"/>
      <c r="L108" s="59"/>
    </row>
    <row r="109" spans="1:12" ht="4.9000000000000004" customHeight="1" x14ac:dyDescent="0.25">
      <c r="A109" s="2"/>
      <c r="B109" s="93"/>
      <c r="C109" s="56"/>
      <c r="D109" s="57"/>
      <c r="E109" s="12"/>
      <c r="F109" s="39"/>
      <c r="G109" s="12"/>
      <c r="H109" s="9"/>
      <c r="I109" s="12"/>
      <c r="J109" s="39"/>
      <c r="K109" s="12"/>
      <c r="L109" s="10"/>
    </row>
    <row r="110" spans="1:12" ht="15.75" customHeight="1" x14ac:dyDescent="0.2">
      <c r="A110" s="2"/>
      <c r="B110" s="93"/>
      <c r="C110" s="56"/>
      <c r="D110" s="33" t="s">
        <v>34</v>
      </c>
      <c r="E110" s="12"/>
      <c r="F110" s="36">
        <v>10000</v>
      </c>
      <c r="G110" s="12"/>
      <c r="H110" s="61" t="s">
        <v>35</v>
      </c>
      <c r="I110" s="12"/>
      <c r="J110" s="46" t="s">
        <v>7</v>
      </c>
      <c r="K110" s="12"/>
      <c r="L110" s="13" t="s">
        <v>36</v>
      </c>
    </row>
    <row r="111" spans="1:12" ht="4.9000000000000004" customHeight="1" x14ac:dyDescent="0.25">
      <c r="A111" s="2"/>
      <c r="B111" s="93"/>
      <c r="C111" s="56"/>
      <c r="D111" s="32"/>
      <c r="E111" s="7"/>
      <c r="F111" s="40"/>
      <c r="G111" s="7"/>
      <c r="H111" s="6"/>
      <c r="I111" s="7"/>
      <c r="J111" s="40"/>
      <c r="K111" s="7"/>
      <c r="L111" s="59"/>
    </row>
    <row r="112" spans="1:12" ht="4.9000000000000004" customHeight="1" x14ac:dyDescent="0.25">
      <c r="A112" s="2"/>
      <c r="B112" s="93"/>
      <c r="C112" s="56"/>
      <c r="D112" s="57"/>
      <c r="E112" s="12"/>
      <c r="F112" s="39"/>
      <c r="G112" s="12"/>
      <c r="H112" s="9"/>
      <c r="I112" s="12"/>
      <c r="J112" s="39"/>
      <c r="K112" s="12"/>
      <c r="L112" s="10"/>
    </row>
    <row r="113" spans="1:12" ht="15.75" customHeight="1" x14ac:dyDescent="0.2">
      <c r="A113" s="2"/>
      <c r="B113" s="93"/>
      <c r="C113" s="56"/>
      <c r="D113" s="54" t="s">
        <v>45</v>
      </c>
      <c r="E113" s="12"/>
      <c r="F113" s="55">
        <v>10000</v>
      </c>
      <c r="G113" s="12"/>
      <c r="H113" s="61" t="s">
        <v>46</v>
      </c>
      <c r="I113" s="12"/>
      <c r="J113" s="44" t="s">
        <v>7</v>
      </c>
      <c r="K113" s="12"/>
      <c r="L113" s="13" t="s">
        <v>19</v>
      </c>
    </row>
    <row r="114" spans="1:12" ht="4.9000000000000004" customHeight="1" x14ac:dyDescent="0.25">
      <c r="A114" s="2"/>
      <c r="B114" s="93"/>
      <c r="C114" s="56"/>
      <c r="D114" s="32"/>
      <c r="E114" s="7"/>
      <c r="F114" s="40"/>
      <c r="G114" s="7"/>
      <c r="H114" s="6"/>
      <c r="I114" s="7"/>
      <c r="J114" s="40"/>
      <c r="K114" s="7"/>
      <c r="L114" s="59"/>
    </row>
    <row r="115" spans="1:12" ht="5.0999999999999996" customHeight="1" x14ac:dyDescent="0.25">
      <c r="A115" s="2"/>
      <c r="B115" s="93"/>
      <c r="C115" s="56"/>
      <c r="D115" s="57"/>
      <c r="E115" s="12"/>
      <c r="F115" s="39"/>
      <c r="G115" s="12"/>
      <c r="H115" s="9"/>
      <c r="I115" s="12"/>
      <c r="J115" s="39"/>
      <c r="K115" s="12"/>
      <c r="L115" s="10"/>
    </row>
    <row r="116" spans="1:12" ht="15.75" customHeight="1" x14ac:dyDescent="0.2">
      <c r="A116" s="2"/>
      <c r="B116" s="93"/>
      <c r="C116" s="56"/>
      <c r="D116" s="33" t="s">
        <v>81</v>
      </c>
      <c r="E116" s="12"/>
      <c r="F116" s="74">
        <v>10000</v>
      </c>
      <c r="G116" s="12"/>
      <c r="H116" s="61" t="s">
        <v>6</v>
      </c>
      <c r="I116" s="12"/>
      <c r="J116" s="44" t="s">
        <v>7</v>
      </c>
      <c r="K116" s="12"/>
      <c r="L116" s="13" t="s">
        <v>6</v>
      </c>
    </row>
    <row r="117" spans="1:12" ht="5.0999999999999996" customHeight="1" x14ac:dyDescent="0.25">
      <c r="A117" s="2"/>
      <c r="B117" s="93"/>
      <c r="C117" s="56"/>
      <c r="D117" s="32"/>
      <c r="E117" s="7"/>
      <c r="F117" s="40"/>
      <c r="G117" s="7"/>
      <c r="H117" s="6"/>
      <c r="I117" s="7"/>
      <c r="J117" s="40"/>
      <c r="K117" s="7"/>
      <c r="L117" s="59"/>
    </row>
    <row r="118" spans="1:12" ht="5.0999999999999996" customHeight="1" x14ac:dyDescent="0.25">
      <c r="A118" s="2"/>
      <c r="B118" s="93"/>
      <c r="C118" s="56"/>
      <c r="D118" s="57"/>
      <c r="E118" s="12"/>
      <c r="F118" s="39"/>
      <c r="G118" s="12"/>
      <c r="H118" s="9"/>
      <c r="I118" s="12"/>
      <c r="J118" s="39"/>
      <c r="K118" s="12"/>
      <c r="L118" s="10"/>
    </row>
    <row r="119" spans="1:12" ht="15.75" customHeight="1" x14ac:dyDescent="0.2">
      <c r="A119" s="2"/>
      <c r="B119" s="93"/>
      <c r="C119" s="56"/>
      <c r="D119" s="33" t="s">
        <v>82</v>
      </c>
      <c r="E119" s="12"/>
      <c r="F119" s="75">
        <v>10000</v>
      </c>
      <c r="G119" s="12"/>
      <c r="H119" s="61" t="s">
        <v>6</v>
      </c>
      <c r="I119" s="12"/>
      <c r="J119" s="44" t="s">
        <v>7</v>
      </c>
      <c r="K119" s="12"/>
      <c r="L119" s="13" t="s">
        <v>6</v>
      </c>
    </row>
    <row r="120" spans="1:12" ht="5.0999999999999996" customHeight="1" x14ac:dyDescent="0.25">
      <c r="A120" s="2"/>
      <c r="B120" s="93"/>
      <c r="C120" s="56"/>
      <c r="D120" s="32"/>
      <c r="E120" s="7"/>
      <c r="F120" s="40"/>
      <c r="G120" s="7"/>
      <c r="H120" s="6"/>
      <c r="I120" s="7"/>
      <c r="J120" s="40"/>
      <c r="K120" s="7"/>
      <c r="L120" s="59"/>
    </row>
    <row r="121" spans="1:12" ht="5.0999999999999996" customHeight="1" x14ac:dyDescent="0.25">
      <c r="A121" s="2"/>
      <c r="B121" s="93"/>
      <c r="C121" s="56"/>
      <c r="D121" s="57"/>
      <c r="E121" s="12"/>
      <c r="F121" s="39"/>
      <c r="G121" s="12"/>
      <c r="H121" s="9"/>
      <c r="I121" s="12"/>
      <c r="J121" s="39"/>
      <c r="K121" s="12"/>
      <c r="L121" s="10"/>
    </row>
    <row r="122" spans="1:12" ht="15.75" customHeight="1" x14ac:dyDescent="0.2">
      <c r="A122" s="2"/>
      <c r="B122" s="93"/>
      <c r="C122" s="56"/>
      <c r="D122" s="33" t="s">
        <v>83</v>
      </c>
      <c r="E122" s="12"/>
      <c r="F122" s="75">
        <v>10000</v>
      </c>
      <c r="G122" s="12"/>
      <c r="H122" s="61" t="s">
        <v>6</v>
      </c>
      <c r="I122" s="12"/>
      <c r="J122" s="44" t="s">
        <v>7</v>
      </c>
      <c r="K122" s="12"/>
      <c r="L122" s="13" t="s">
        <v>6</v>
      </c>
    </row>
    <row r="123" spans="1:12" ht="5.0999999999999996" customHeight="1" x14ac:dyDescent="0.25">
      <c r="A123" s="2"/>
      <c r="B123" s="93"/>
      <c r="C123" s="56"/>
      <c r="D123" s="32"/>
      <c r="E123" s="7"/>
      <c r="F123" s="40"/>
      <c r="G123" s="7"/>
      <c r="H123" s="6"/>
      <c r="I123" s="7"/>
      <c r="J123" s="40"/>
      <c r="K123" s="7"/>
      <c r="L123" s="59"/>
    </row>
    <row r="124" spans="1:12" ht="5.0999999999999996" customHeight="1" x14ac:dyDescent="0.25">
      <c r="A124" s="2"/>
      <c r="B124" s="93"/>
      <c r="C124" s="56"/>
      <c r="D124" s="57"/>
      <c r="E124" s="12"/>
      <c r="F124" s="39"/>
      <c r="G124" s="12"/>
      <c r="H124" s="9"/>
      <c r="I124" s="12"/>
      <c r="J124" s="39"/>
      <c r="K124" s="12"/>
      <c r="L124" s="10"/>
    </row>
    <row r="125" spans="1:12" ht="15.75" customHeight="1" x14ac:dyDescent="0.2">
      <c r="A125" s="2"/>
      <c r="B125" s="93"/>
      <c r="C125" s="56"/>
      <c r="D125" s="33" t="s">
        <v>84</v>
      </c>
      <c r="E125" s="12"/>
      <c r="F125" s="75">
        <v>10000</v>
      </c>
      <c r="G125" s="12"/>
      <c r="H125" s="61" t="s">
        <v>6</v>
      </c>
      <c r="I125" s="12"/>
      <c r="J125" s="44" t="s">
        <v>7</v>
      </c>
      <c r="K125" s="12"/>
      <c r="L125" s="13" t="s">
        <v>6</v>
      </c>
    </row>
    <row r="126" spans="1:12" ht="5.0999999999999996" customHeight="1" x14ac:dyDescent="0.25">
      <c r="A126" s="2"/>
      <c r="B126" s="93"/>
      <c r="C126" s="56"/>
      <c r="D126" s="32"/>
      <c r="E126" s="7"/>
      <c r="F126" s="40"/>
      <c r="G126" s="7"/>
      <c r="H126" s="6"/>
      <c r="I126" s="7"/>
      <c r="J126" s="40"/>
      <c r="K126" s="7"/>
      <c r="L126" s="59"/>
    </row>
    <row r="127" spans="1:12" ht="5.0999999999999996" customHeight="1" x14ac:dyDescent="0.25">
      <c r="A127" s="2"/>
      <c r="B127" s="93"/>
      <c r="C127" s="56"/>
      <c r="D127" s="57"/>
      <c r="E127" s="12"/>
      <c r="F127" s="39"/>
      <c r="G127" s="12"/>
      <c r="H127" s="9"/>
      <c r="I127" s="12"/>
      <c r="J127" s="39"/>
      <c r="K127" s="12"/>
      <c r="L127" s="10"/>
    </row>
    <row r="128" spans="1:12" ht="15.75" customHeight="1" x14ac:dyDescent="0.2">
      <c r="A128" s="2"/>
      <c r="B128" s="93"/>
      <c r="C128" s="56"/>
      <c r="D128" s="33" t="s">
        <v>85</v>
      </c>
      <c r="E128" s="12"/>
      <c r="F128" s="75">
        <v>10000</v>
      </c>
      <c r="G128" s="12"/>
      <c r="H128" s="61" t="s">
        <v>6</v>
      </c>
      <c r="I128" s="12"/>
      <c r="J128" s="44" t="s">
        <v>7</v>
      </c>
      <c r="K128" s="12"/>
      <c r="L128" s="13" t="s">
        <v>6</v>
      </c>
    </row>
    <row r="129" spans="1:12" ht="5.0999999999999996" customHeight="1" x14ac:dyDescent="0.25">
      <c r="A129" s="2"/>
      <c r="B129" s="93"/>
      <c r="C129" s="56"/>
      <c r="D129" s="32"/>
      <c r="E129" s="7"/>
      <c r="F129" s="40"/>
      <c r="G129" s="7"/>
      <c r="H129" s="6"/>
      <c r="I129" s="7"/>
      <c r="J129" s="40"/>
      <c r="K129" s="7"/>
      <c r="L129" s="59"/>
    </row>
    <row r="130" spans="1:12" ht="5.0999999999999996" customHeight="1" x14ac:dyDescent="0.25">
      <c r="A130" s="2"/>
      <c r="B130" s="93"/>
      <c r="C130" s="56"/>
      <c r="D130" s="57"/>
      <c r="E130" s="12"/>
      <c r="F130" s="39"/>
      <c r="G130" s="12"/>
      <c r="H130" s="9"/>
      <c r="I130" s="12"/>
      <c r="J130" s="39"/>
      <c r="K130" s="12"/>
      <c r="L130" s="10"/>
    </row>
    <row r="131" spans="1:12" ht="15.75" customHeight="1" x14ac:dyDescent="0.2">
      <c r="A131" s="2"/>
      <c r="B131" s="93"/>
      <c r="C131" s="56"/>
      <c r="D131" s="33" t="s">
        <v>86</v>
      </c>
      <c r="E131" s="12"/>
      <c r="F131" s="75">
        <v>10000</v>
      </c>
      <c r="G131" s="12"/>
      <c r="H131" s="61" t="s">
        <v>6</v>
      </c>
      <c r="I131" s="12"/>
      <c r="J131" s="44" t="s">
        <v>7</v>
      </c>
      <c r="K131" s="12"/>
      <c r="L131" s="13" t="s">
        <v>6</v>
      </c>
    </row>
    <row r="132" spans="1:12" ht="5.0999999999999996" customHeight="1" x14ac:dyDescent="0.25">
      <c r="A132" s="2"/>
      <c r="B132" s="93"/>
      <c r="C132" s="56"/>
      <c r="D132" s="32"/>
      <c r="E132" s="7"/>
      <c r="F132" s="40"/>
      <c r="G132" s="7"/>
      <c r="H132" s="6"/>
      <c r="I132" s="7"/>
      <c r="J132" s="40"/>
      <c r="K132" s="7"/>
      <c r="L132" s="59"/>
    </row>
    <row r="133" spans="1:12" ht="5.0999999999999996" customHeight="1" x14ac:dyDescent="0.25">
      <c r="A133" s="2"/>
      <c r="B133" s="93"/>
      <c r="C133" s="56"/>
      <c r="D133" s="57"/>
      <c r="E133" s="12"/>
      <c r="F133" s="39"/>
      <c r="G133" s="12"/>
      <c r="H133" s="9"/>
      <c r="I133" s="12"/>
      <c r="J133" s="39"/>
      <c r="K133" s="12"/>
      <c r="L133" s="10"/>
    </row>
    <row r="134" spans="1:12" ht="15.75" customHeight="1" x14ac:dyDescent="0.2">
      <c r="A134" s="2"/>
      <c r="B134" s="93"/>
      <c r="C134" s="56"/>
      <c r="D134" s="33" t="s">
        <v>87</v>
      </c>
      <c r="E134" s="12"/>
      <c r="F134" s="75">
        <v>10000</v>
      </c>
      <c r="G134" s="12"/>
      <c r="H134" s="61" t="s">
        <v>6</v>
      </c>
      <c r="I134" s="12"/>
      <c r="J134" s="44" t="s">
        <v>7</v>
      </c>
      <c r="K134" s="12"/>
      <c r="L134" s="13" t="s">
        <v>6</v>
      </c>
    </row>
    <row r="135" spans="1:12" ht="5.0999999999999996" customHeight="1" x14ac:dyDescent="0.25">
      <c r="A135" s="2"/>
      <c r="B135" s="93"/>
      <c r="C135" s="56"/>
      <c r="D135" s="32"/>
      <c r="E135" s="7"/>
      <c r="F135" s="40"/>
      <c r="G135" s="7"/>
      <c r="H135" s="6"/>
      <c r="I135" s="7"/>
      <c r="J135" s="40"/>
      <c r="K135" s="7"/>
      <c r="L135" s="59"/>
    </row>
    <row r="136" spans="1:12" ht="5.0999999999999996" customHeight="1" x14ac:dyDescent="0.25">
      <c r="A136" s="2"/>
      <c r="B136" s="93"/>
      <c r="C136" s="56"/>
      <c r="D136" s="57"/>
      <c r="E136" s="12"/>
      <c r="F136" s="39"/>
      <c r="G136" s="12"/>
      <c r="H136" s="9"/>
      <c r="I136" s="12"/>
      <c r="J136" s="39"/>
      <c r="K136" s="12"/>
      <c r="L136" s="10"/>
    </row>
    <row r="137" spans="1:12" ht="15.75" customHeight="1" x14ac:dyDescent="0.2">
      <c r="A137" s="2"/>
      <c r="B137" s="93"/>
      <c r="C137" s="56"/>
      <c r="D137" s="33" t="s">
        <v>88</v>
      </c>
      <c r="E137" s="12"/>
      <c r="F137" s="75">
        <v>10000</v>
      </c>
      <c r="G137" s="12"/>
      <c r="H137" s="61" t="s">
        <v>6</v>
      </c>
      <c r="I137" s="12"/>
      <c r="J137" s="44" t="s">
        <v>7</v>
      </c>
      <c r="K137" s="12"/>
      <c r="L137" s="13" t="s">
        <v>6</v>
      </c>
    </row>
    <row r="138" spans="1:12" ht="5.0999999999999996" customHeight="1" x14ac:dyDescent="0.25">
      <c r="A138" s="2"/>
      <c r="B138" s="93"/>
      <c r="C138" s="56"/>
      <c r="D138" s="32"/>
      <c r="E138" s="7"/>
      <c r="F138" s="40"/>
      <c r="G138" s="7"/>
      <c r="H138" s="6"/>
      <c r="I138" s="7"/>
      <c r="J138" s="40"/>
      <c r="K138" s="7"/>
      <c r="L138" s="59"/>
    </row>
    <row r="139" spans="1:12" ht="5.0999999999999996" customHeight="1" x14ac:dyDescent="0.25">
      <c r="A139" s="2"/>
      <c r="B139" s="93"/>
      <c r="C139" s="56"/>
      <c r="D139" s="57"/>
      <c r="E139" s="12"/>
      <c r="F139" s="39"/>
      <c r="G139" s="12"/>
      <c r="H139" s="9"/>
      <c r="I139" s="12"/>
      <c r="J139" s="39"/>
      <c r="K139" s="12"/>
      <c r="L139" s="10"/>
    </row>
    <row r="140" spans="1:12" ht="15.75" customHeight="1" x14ac:dyDescent="0.2">
      <c r="A140" s="2"/>
      <c r="B140" s="93"/>
      <c r="C140" s="56"/>
      <c r="D140" s="33" t="s">
        <v>78</v>
      </c>
      <c r="E140" s="12"/>
      <c r="F140" s="75">
        <v>10000</v>
      </c>
      <c r="G140" s="12"/>
      <c r="H140" s="61" t="s">
        <v>6</v>
      </c>
      <c r="I140" s="12"/>
      <c r="J140" s="44" t="s">
        <v>7</v>
      </c>
      <c r="K140" s="12"/>
      <c r="L140" s="13" t="s">
        <v>6</v>
      </c>
    </row>
    <row r="141" spans="1:12" ht="5.0999999999999996" customHeight="1" x14ac:dyDescent="0.25">
      <c r="A141" s="2"/>
      <c r="B141" s="93"/>
      <c r="C141" s="56"/>
      <c r="D141" s="32"/>
      <c r="E141" s="7"/>
      <c r="F141" s="40"/>
      <c r="G141" s="7"/>
      <c r="H141" s="6"/>
      <c r="I141" s="7"/>
      <c r="J141" s="40"/>
      <c r="K141" s="7"/>
      <c r="L141" s="59"/>
    </row>
    <row r="142" spans="1:12" ht="5.0999999999999996" customHeight="1" x14ac:dyDescent="0.25">
      <c r="A142" s="2"/>
      <c r="B142" s="93"/>
      <c r="C142" s="56"/>
      <c r="D142" s="57"/>
      <c r="E142" s="12"/>
      <c r="F142" s="39"/>
      <c r="G142" s="12"/>
      <c r="H142" s="9"/>
      <c r="I142" s="12"/>
      <c r="J142" s="39"/>
      <c r="K142" s="12"/>
      <c r="L142" s="10"/>
    </row>
    <row r="143" spans="1:12" ht="15.75" customHeight="1" x14ac:dyDescent="0.2">
      <c r="A143" s="2"/>
      <c r="B143" s="93"/>
      <c r="C143" s="56"/>
      <c r="D143" s="33" t="s">
        <v>89</v>
      </c>
      <c r="E143" s="12"/>
      <c r="F143" s="74">
        <v>10000</v>
      </c>
      <c r="G143" s="12"/>
      <c r="H143" s="61" t="s">
        <v>6</v>
      </c>
      <c r="I143" s="12"/>
      <c r="J143" s="44" t="s">
        <v>7</v>
      </c>
      <c r="K143" s="12"/>
      <c r="L143" s="13" t="s">
        <v>6</v>
      </c>
    </row>
    <row r="144" spans="1:12" ht="5.0999999999999996" customHeight="1" x14ac:dyDescent="0.25">
      <c r="A144" s="2"/>
      <c r="B144" s="93"/>
      <c r="C144" s="56"/>
      <c r="D144" s="32"/>
      <c r="E144" s="7"/>
      <c r="F144" s="40"/>
      <c r="G144" s="7"/>
      <c r="H144" s="6"/>
      <c r="I144" s="7"/>
      <c r="J144" s="40"/>
      <c r="K144" s="7"/>
      <c r="L144" s="59"/>
    </row>
    <row r="145" spans="1:12" ht="5.0999999999999996" customHeight="1" x14ac:dyDescent="0.25">
      <c r="A145" s="2"/>
      <c r="B145" s="93"/>
      <c r="C145" s="56"/>
      <c r="D145" s="57"/>
      <c r="E145" s="12"/>
      <c r="F145" s="39"/>
      <c r="G145" s="12"/>
      <c r="H145" s="9"/>
      <c r="I145" s="12"/>
      <c r="J145" s="39"/>
      <c r="K145" s="12"/>
      <c r="L145" s="10"/>
    </row>
    <row r="146" spans="1:12" ht="15.75" customHeight="1" x14ac:dyDescent="0.2">
      <c r="A146" s="2"/>
      <c r="B146" s="93"/>
      <c r="C146" s="56"/>
      <c r="D146" s="33" t="s">
        <v>90</v>
      </c>
      <c r="E146" s="12"/>
      <c r="F146" s="75">
        <v>10000</v>
      </c>
      <c r="G146" s="12"/>
      <c r="H146" s="61" t="s">
        <v>6</v>
      </c>
      <c r="I146" s="12"/>
      <c r="J146" s="44" t="s">
        <v>7</v>
      </c>
      <c r="K146" s="12"/>
      <c r="L146" s="13" t="s">
        <v>6</v>
      </c>
    </row>
    <row r="147" spans="1:12" ht="5.0999999999999996" customHeight="1" x14ac:dyDescent="0.25">
      <c r="A147" s="2"/>
      <c r="B147" s="93"/>
      <c r="C147" s="56"/>
      <c r="D147" s="32"/>
      <c r="E147" s="7"/>
      <c r="F147" s="40"/>
      <c r="G147" s="7"/>
      <c r="H147" s="6"/>
      <c r="I147" s="7"/>
      <c r="J147" s="40"/>
      <c r="K147" s="7"/>
      <c r="L147" s="59"/>
    </row>
    <row r="148" spans="1:12" ht="5.0999999999999996" customHeight="1" x14ac:dyDescent="0.25">
      <c r="A148" s="2"/>
      <c r="B148" s="93"/>
      <c r="C148" s="56"/>
      <c r="D148" s="57"/>
      <c r="E148" s="12"/>
      <c r="F148" s="39"/>
      <c r="G148" s="12"/>
      <c r="H148" s="9"/>
      <c r="I148" s="12"/>
      <c r="J148" s="39"/>
      <c r="K148" s="12"/>
      <c r="L148" s="10"/>
    </row>
    <row r="149" spans="1:12" ht="15.75" customHeight="1" x14ac:dyDescent="0.2">
      <c r="A149" s="2"/>
      <c r="B149" s="93"/>
      <c r="C149" s="56"/>
      <c r="D149" s="33" t="s">
        <v>80</v>
      </c>
      <c r="E149" s="12"/>
      <c r="F149" s="75">
        <v>10000</v>
      </c>
      <c r="G149" s="12"/>
      <c r="H149" s="61" t="s">
        <v>6</v>
      </c>
      <c r="I149" s="12"/>
      <c r="J149" s="44" t="s">
        <v>7</v>
      </c>
      <c r="K149" s="12"/>
      <c r="L149" s="13" t="s">
        <v>6</v>
      </c>
    </row>
    <row r="150" spans="1:12" ht="5.0999999999999996" customHeight="1" x14ac:dyDescent="0.25">
      <c r="A150" s="2"/>
      <c r="B150" s="93"/>
      <c r="C150" s="56"/>
      <c r="D150" s="32"/>
      <c r="E150" s="7"/>
      <c r="F150" s="40"/>
      <c r="G150" s="7"/>
      <c r="H150" s="6"/>
      <c r="I150" s="7"/>
      <c r="J150" s="40"/>
      <c r="K150" s="7"/>
      <c r="L150" s="59"/>
    </row>
    <row r="151" spans="1:12" ht="5.0999999999999996" customHeight="1" x14ac:dyDescent="0.25">
      <c r="A151" s="2"/>
      <c r="B151" s="93"/>
      <c r="C151" s="56"/>
      <c r="D151" s="57"/>
      <c r="E151" s="12"/>
      <c r="F151" s="39"/>
      <c r="G151" s="12"/>
      <c r="H151" s="9"/>
      <c r="I151" s="12"/>
      <c r="J151" s="39"/>
      <c r="K151" s="12"/>
      <c r="L151" s="10"/>
    </row>
    <row r="152" spans="1:12" ht="15.75" customHeight="1" x14ac:dyDescent="0.2">
      <c r="A152" s="2"/>
      <c r="B152" s="93"/>
      <c r="C152" s="56"/>
      <c r="D152" s="33" t="s">
        <v>91</v>
      </c>
      <c r="E152" s="12"/>
      <c r="F152" s="75">
        <v>10000</v>
      </c>
      <c r="G152" s="12"/>
      <c r="H152" s="61" t="s">
        <v>6</v>
      </c>
      <c r="I152" s="12"/>
      <c r="J152" s="44" t="s">
        <v>7</v>
      </c>
      <c r="K152" s="12"/>
      <c r="L152" s="13" t="s">
        <v>6</v>
      </c>
    </row>
    <row r="153" spans="1:12" ht="5.0999999999999996" customHeight="1" x14ac:dyDescent="0.25">
      <c r="A153" s="2"/>
      <c r="B153" s="93"/>
      <c r="C153" s="56"/>
      <c r="D153" s="32"/>
      <c r="E153" s="7"/>
      <c r="F153" s="40"/>
      <c r="G153" s="7"/>
      <c r="H153" s="6"/>
      <c r="I153" s="7"/>
      <c r="J153" s="40"/>
      <c r="K153" s="7"/>
      <c r="L153" s="59"/>
    </row>
    <row r="154" spans="1:12" ht="5.0999999999999996" customHeight="1" x14ac:dyDescent="0.25">
      <c r="A154" s="2"/>
      <c r="B154" s="93"/>
      <c r="C154" s="56"/>
      <c r="D154" s="57"/>
      <c r="E154" s="12"/>
      <c r="F154" s="39"/>
      <c r="G154" s="12"/>
      <c r="H154" s="9"/>
      <c r="I154" s="12"/>
      <c r="J154" s="39"/>
      <c r="K154" s="12"/>
      <c r="L154" s="10"/>
    </row>
    <row r="155" spans="1:12" ht="15.75" customHeight="1" x14ac:dyDescent="0.2">
      <c r="A155" s="2"/>
      <c r="B155" s="93"/>
      <c r="C155" s="56"/>
      <c r="D155" s="33" t="s">
        <v>76</v>
      </c>
      <c r="E155" s="12"/>
      <c r="F155" s="75">
        <v>10000</v>
      </c>
      <c r="G155" s="12"/>
      <c r="H155" s="61" t="s">
        <v>6</v>
      </c>
      <c r="I155" s="12"/>
      <c r="J155" s="44" t="s">
        <v>7</v>
      </c>
      <c r="K155" s="12"/>
      <c r="L155" s="13" t="s">
        <v>6</v>
      </c>
    </row>
    <row r="156" spans="1:12" ht="5.0999999999999996" customHeight="1" x14ac:dyDescent="0.25">
      <c r="A156" s="2"/>
      <c r="B156" s="93"/>
      <c r="C156" s="56"/>
      <c r="D156" s="32"/>
      <c r="E156" s="7"/>
      <c r="F156" s="40"/>
      <c r="G156" s="7"/>
      <c r="H156" s="6"/>
      <c r="I156" s="7"/>
      <c r="J156" s="40"/>
      <c r="K156" s="7"/>
      <c r="L156" s="59"/>
    </row>
    <row r="157" spans="1:12" ht="5.0999999999999996" customHeight="1" x14ac:dyDescent="0.25">
      <c r="A157" s="2"/>
      <c r="B157" s="93"/>
      <c r="C157" s="56"/>
      <c r="D157" s="57"/>
      <c r="E157" s="12"/>
      <c r="F157" s="39"/>
      <c r="G157" s="12"/>
      <c r="H157" s="9"/>
      <c r="I157" s="12"/>
      <c r="J157" s="39"/>
      <c r="K157" s="12"/>
      <c r="L157" s="10"/>
    </row>
    <row r="158" spans="1:12" ht="15.75" customHeight="1" x14ac:dyDescent="0.2">
      <c r="A158" s="2"/>
      <c r="B158" s="93"/>
      <c r="C158" s="56"/>
      <c r="D158" s="33" t="s">
        <v>92</v>
      </c>
      <c r="E158" s="12"/>
      <c r="F158" s="75">
        <v>10000</v>
      </c>
      <c r="G158" s="12"/>
      <c r="H158" s="61" t="s">
        <v>6</v>
      </c>
      <c r="I158" s="12"/>
      <c r="J158" s="44" t="s">
        <v>7</v>
      </c>
      <c r="K158" s="12"/>
      <c r="L158" s="13" t="s">
        <v>6</v>
      </c>
    </row>
    <row r="159" spans="1:12" ht="5.0999999999999996" customHeight="1" x14ac:dyDescent="0.25">
      <c r="A159" s="2"/>
      <c r="B159" s="93"/>
      <c r="C159" s="56"/>
      <c r="D159" s="32"/>
      <c r="E159" s="7"/>
      <c r="F159" s="40"/>
      <c r="G159" s="7"/>
      <c r="H159" s="6"/>
      <c r="I159" s="7"/>
      <c r="J159" s="40"/>
      <c r="K159" s="7"/>
      <c r="L159" s="59"/>
    </row>
    <row r="160" spans="1:12" ht="5.0999999999999996" customHeight="1" x14ac:dyDescent="0.25">
      <c r="A160" s="2"/>
      <c r="B160" s="93"/>
      <c r="C160" s="56"/>
      <c r="D160" s="57"/>
      <c r="E160" s="12"/>
      <c r="F160" s="39"/>
      <c r="G160" s="12"/>
      <c r="H160" s="9"/>
      <c r="I160" s="12"/>
      <c r="J160" s="39"/>
      <c r="K160" s="12"/>
      <c r="L160" s="10"/>
    </row>
    <row r="161" spans="1:12" ht="15.75" customHeight="1" x14ac:dyDescent="0.2">
      <c r="A161" s="2"/>
      <c r="B161" s="93"/>
      <c r="C161" s="56"/>
      <c r="D161" s="33" t="s">
        <v>77</v>
      </c>
      <c r="E161" s="12"/>
      <c r="F161" s="75">
        <v>10000</v>
      </c>
      <c r="G161" s="12"/>
      <c r="H161" s="61" t="s">
        <v>6</v>
      </c>
      <c r="I161" s="12"/>
      <c r="J161" s="44" t="s">
        <v>7</v>
      </c>
      <c r="K161" s="12"/>
      <c r="L161" s="13" t="s">
        <v>6</v>
      </c>
    </row>
    <row r="162" spans="1:12" ht="5.0999999999999996" customHeight="1" x14ac:dyDescent="0.25">
      <c r="A162" s="2"/>
      <c r="B162" s="93"/>
      <c r="C162" s="56"/>
      <c r="D162" s="32"/>
      <c r="E162" s="7"/>
      <c r="F162" s="40"/>
      <c r="G162" s="7"/>
      <c r="H162" s="6"/>
      <c r="I162" s="7"/>
      <c r="J162" s="40"/>
      <c r="K162" s="7"/>
      <c r="L162" s="59"/>
    </row>
    <row r="163" spans="1:12" ht="5.0999999999999996" customHeight="1" x14ac:dyDescent="0.25">
      <c r="A163" s="2"/>
      <c r="B163" s="93"/>
      <c r="C163" s="56"/>
      <c r="D163" s="57"/>
      <c r="E163" s="12"/>
      <c r="F163" s="39"/>
      <c r="G163" s="12"/>
      <c r="H163" s="9"/>
      <c r="I163" s="12"/>
      <c r="J163" s="39"/>
      <c r="K163" s="12"/>
      <c r="L163" s="10"/>
    </row>
    <row r="164" spans="1:12" ht="15.75" customHeight="1" x14ac:dyDescent="0.2">
      <c r="A164" s="2"/>
      <c r="B164" s="93"/>
      <c r="C164" s="56"/>
      <c r="D164" s="33" t="s">
        <v>93</v>
      </c>
      <c r="E164" s="12"/>
      <c r="F164" s="75">
        <v>10000</v>
      </c>
      <c r="G164" s="12"/>
      <c r="H164" s="61" t="s">
        <v>6</v>
      </c>
      <c r="I164" s="12"/>
      <c r="J164" s="44" t="s">
        <v>7</v>
      </c>
      <c r="K164" s="12"/>
      <c r="L164" s="13" t="s">
        <v>6</v>
      </c>
    </row>
    <row r="165" spans="1:12" ht="5.0999999999999996" customHeight="1" x14ac:dyDescent="0.25">
      <c r="A165" s="2"/>
      <c r="B165" s="93"/>
      <c r="C165" s="56"/>
      <c r="D165" s="32"/>
      <c r="E165" s="7"/>
      <c r="F165" s="40"/>
      <c r="G165" s="7"/>
      <c r="H165" s="6"/>
      <c r="I165" s="7"/>
      <c r="J165" s="40"/>
      <c r="K165" s="7"/>
      <c r="L165" s="59"/>
    </row>
    <row r="166" spans="1:12" ht="5.0999999999999996" customHeight="1" x14ac:dyDescent="0.25">
      <c r="A166" s="2"/>
      <c r="B166" s="93"/>
      <c r="C166" s="56"/>
      <c r="D166" s="57"/>
      <c r="E166" s="12"/>
      <c r="F166" s="39"/>
      <c r="G166" s="12"/>
      <c r="H166" s="9"/>
      <c r="I166" s="12"/>
      <c r="J166" s="39"/>
      <c r="K166" s="12"/>
      <c r="L166" s="10"/>
    </row>
    <row r="167" spans="1:12" ht="15.75" customHeight="1" x14ac:dyDescent="0.2">
      <c r="A167" s="2"/>
      <c r="B167" s="93"/>
      <c r="C167" s="56"/>
      <c r="D167" s="33" t="s">
        <v>94</v>
      </c>
      <c r="E167" s="12"/>
      <c r="F167" s="76">
        <v>10000</v>
      </c>
      <c r="G167" s="12"/>
      <c r="H167" s="61" t="s">
        <v>6</v>
      </c>
      <c r="I167" s="12"/>
      <c r="J167" s="44" t="s">
        <v>7</v>
      </c>
      <c r="K167" s="12"/>
      <c r="L167" s="13" t="s">
        <v>6</v>
      </c>
    </row>
    <row r="168" spans="1:12" ht="5.0999999999999996" customHeight="1" x14ac:dyDescent="0.25">
      <c r="A168" s="2"/>
      <c r="B168" s="93"/>
      <c r="C168" s="56"/>
      <c r="D168" s="32"/>
      <c r="E168" s="7"/>
      <c r="F168" s="40"/>
      <c r="G168" s="7"/>
      <c r="H168" s="6"/>
      <c r="I168" s="7"/>
      <c r="J168" s="40"/>
      <c r="K168" s="7"/>
      <c r="L168" s="59"/>
    </row>
    <row r="169" spans="1:12" ht="4.9000000000000004" customHeight="1" x14ac:dyDescent="0.25">
      <c r="A169" s="2"/>
      <c r="B169" s="93"/>
      <c r="C169" s="56"/>
      <c r="D169" s="57"/>
      <c r="E169" s="12"/>
      <c r="F169" s="39"/>
      <c r="G169" s="12"/>
      <c r="H169" s="9"/>
      <c r="I169" s="12"/>
      <c r="J169" s="39"/>
      <c r="K169" s="12"/>
      <c r="L169" s="10"/>
    </row>
    <row r="170" spans="1:12" ht="15.75" customHeight="1" x14ac:dyDescent="0.2">
      <c r="A170" s="2"/>
      <c r="B170" s="93"/>
      <c r="C170" s="56"/>
      <c r="D170" s="33" t="s">
        <v>308</v>
      </c>
      <c r="E170" s="12"/>
      <c r="F170" s="77">
        <v>10000</v>
      </c>
      <c r="G170" s="12"/>
      <c r="H170" s="61" t="s">
        <v>6</v>
      </c>
      <c r="I170" s="12"/>
      <c r="J170" s="44" t="s">
        <v>7</v>
      </c>
      <c r="K170" s="12"/>
      <c r="L170" s="13" t="s">
        <v>6</v>
      </c>
    </row>
    <row r="171" spans="1:12" ht="4.9000000000000004" customHeight="1" x14ac:dyDescent="0.25">
      <c r="A171" s="2"/>
      <c r="B171" s="93"/>
      <c r="C171" s="56"/>
      <c r="D171" s="32"/>
      <c r="E171" s="7"/>
      <c r="F171" s="40"/>
      <c r="G171" s="7"/>
      <c r="H171" s="6"/>
      <c r="I171" s="7"/>
      <c r="J171" s="40"/>
      <c r="K171" s="7"/>
      <c r="L171" s="59"/>
    </row>
    <row r="172" spans="1:12" ht="5.0999999999999996" customHeight="1" x14ac:dyDescent="0.25">
      <c r="A172" s="2"/>
      <c r="B172" s="93"/>
      <c r="C172" s="56"/>
      <c r="D172" s="57"/>
      <c r="E172" s="12"/>
      <c r="F172" s="39"/>
      <c r="G172" s="12"/>
      <c r="H172" s="9"/>
      <c r="I172" s="12"/>
      <c r="J172" s="39"/>
      <c r="K172" s="12"/>
      <c r="L172" s="10"/>
    </row>
    <row r="173" spans="1:12" x14ac:dyDescent="0.2">
      <c r="A173" s="2"/>
      <c r="B173" s="93"/>
      <c r="C173" s="56"/>
      <c r="D173" s="33" t="s">
        <v>314</v>
      </c>
      <c r="E173" s="12"/>
      <c r="F173" s="83">
        <v>10000</v>
      </c>
      <c r="G173" s="12"/>
      <c r="H173" s="61" t="s">
        <v>6</v>
      </c>
      <c r="I173" s="12"/>
      <c r="J173" s="44" t="s">
        <v>7</v>
      </c>
      <c r="K173" s="12"/>
      <c r="L173" s="13" t="s">
        <v>6</v>
      </c>
    </row>
    <row r="174" spans="1:12" ht="5.0999999999999996" customHeight="1" x14ac:dyDescent="0.25">
      <c r="A174" s="2"/>
      <c r="B174" s="93"/>
      <c r="C174" s="56"/>
      <c r="D174" s="32"/>
      <c r="E174" s="7"/>
      <c r="F174" s="40"/>
      <c r="G174" s="7"/>
      <c r="H174" s="6"/>
      <c r="I174" s="7"/>
      <c r="J174" s="40"/>
      <c r="K174" s="7"/>
      <c r="L174" s="59"/>
    </row>
    <row r="175" spans="1:12" ht="21.95" customHeight="1" x14ac:dyDescent="0.25">
      <c r="A175" s="2"/>
      <c r="B175" s="93"/>
      <c r="C175" s="56"/>
      <c r="D175" s="2"/>
      <c r="E175" s="2"/>
      <c r="F175" s="37"/>
      <c r="G175" s="2"/>
      <c r="H175" s="9"/>
      <c r="I175" s="2"/>
      <c r="J175" s="37"/>
      <c r="K175" s="2"/>
      <c r="L175" s="10"/>
    </row>
    <row r="176" spans="1:12" ht="5.0999999999999996" customHeight="1" thickBot="1" x14ac:dyDescent="0.3">
      <c r="A176" s="2"/>
      <c r="B176" s="94"/>
      <c r="C176" s="60"/>
      <c r="D176" s="14"/>
      <c r="E176" s="14"/>
      <c r="F176" s="42"/>
      <c r="G176" s="14"/>
      <c r="H176" s="18"/>
      <c r="I176" s="14"/>
      <c r="J176" s="42"/>
      <c r="K176" s="14"/>
      <c r="L176" s="15"/>
    </row>
    <row r="177" spans="1:12" ht="15.95" customHeight="1" x14ac:dyDescent="0.25">
      <c r="A177" s="2"/>
      <c r="B177" s="92" t="s">
        <v>8</v>
      </c>
      <c r="C177" s="16"/>
      <c r="D177" s="16"/>
      <c r="E177" s="16"/>
      <c r="F177" s="38"/>
      <c r="G177" s="16"/>
      <c r="H177" s="16"/>
      <c r="I177" s="16"/>
      <c r="J177" s="38"/>
      <c r="K177" s="16"/>
      <c r="L177" s="17"/>
    </row>
    <row r="178" spans="1:12" ht="18" customHeight="1" x14ac:dyDescent="0.2">
      <c r="A178" s="2"/>
      <c r="B178" s="93"/>
      <c r="C178" s="5"/>
      <c r="D178" s="6"/>
      <c r="E178" s="95" t="s">
        <v>1</v>
      </c>
      <c r="F178" s="96"/>
      <c r="G178" s="97"/>
      <c r="H178" s="4" t="s">
        <v>2</v>
      </c>
      <c r="I178" s="95" t="s">
        <v>3</v>
      </c>
      <c r="J178" s="96"/>
      <c r="K178" s="97"/>
      <c r="L178" s="11" t="s">
        <v>2</v>
      </c>
    </row>
    <row r="179" spans="1:12" ht="5.0999999999999996" customHeight="1" x14ac:dyDescent="0.25">
      <c r="A179" s="2"/>
      <c r="B179" s="93"/>
      <c r="C179" s="99"/>
      <c r="D179" s="2"/>
      <c r="E179" s="12"/>
      <c r="F179" s="39"/>
      <c r="G179" s="12"/>
      <c r="H179" s="9"/>
      <c r="I179" s="12"/>
      <c r="J179" s="39"/>
      <c r="K179" s="12"/>
      <c r="L179" s="10"/>
    </row>
    <row r="180" spans="1:12" ht="15.95" customHeight="1" x14ac:dyDescent="0.2">
      <c r="A180" s="2"/>
      <c r="B180" s="93"/>
      <c r="C180" s="99"/>
      <c r="D180" s="57" t="s">
        <v>310</v>
      </c>
      <c r="E180" s="12"/>
      <c r="F180" s="41">
        <v>10000</v>
      </c>
      <c r="G180" s="12"/>
      <c r="H180" s="61" t="s">
        <v>6</v>
      </c>
      <c r="I180" s="12"/>
      <c r="J180" s="44" t="s">
        <v>7</v>
      </c>
      <c r="K180" s="12"/>
      <c r="L180" s="13" t="s">
        <v>6</v>
      </c>
    </row>
    <row r="181" spans="1:12" ht="5.0999999999999996" customHeight="1" x14ac:dyDescent="0.25">
      <c r="A181" s="2"/>
      <c r="B181" s="93"/>
      <c r="C181" s="110"/>
      <c r="D181" s="58"/>
      <c r="E181" s="7"/>
      <c r="F181" s="40"/>
      <c r="G181" s="7"/>
      <c r="H181" s="6"/>
      <c r="I181" s="7"/>
      <c r="J181" s="40"/>
      <c r="K181" s="7"/>
      <c r="L181" s="59"/>
    </row>
    <row r="182" spans="1:12" ht="5.0999999999999996" customHeight="1" x14ac:dyDescent="0.25">
      <c r="A182" s="2"/>
      <c r="B182" s="93"/>
      <c r="C182" s="99"/>
      <c r="D182" s="2"/>
      <c r="E182" s="12"/>
      <c r="F182" s="39"/>
      <c r="G182" s="12"/>
      <c r="H182" s="9"/>
      <c r="I182" s="12"/>
      <c r="J182" s="39"/>
      <c r="K182" s="12"/>
      <c r="L182" s="10"/>
    </row>
    <row r="183" spans="1:12" ht="15.95" customHeight="1" x14ac:dyDescent="0.2">
      <c r="A183" s="2"/>
      <c r="B183" s="93"/>
      <c r="C183" s="99"/>
      <c r="D183" s="57" t="s">
        <v>311</v>
      </c>
      <c r="E183" s="12"/>
      <c r="F183" s="41">
        <v>10000</v>
      </c>
      <c r="G183" s="12"/>
      <c r="H183" s="61" t="s">
        <v>6</v>
      </c>
      <c r="I183" s="12"/>
      <c r="J183" s="44" t="s">
        <v>7</v>
      </c>
      <c r="K183" s="12"/>
      <c r="L183" s="13" t="s">
        <v>6</v>
      </c>
    </row>
    <row r="184" spans="1:12" ht="5.0999999999999996" customHeight="1" x14ac:dyDescent="0.25">
      <c r="A184" s="2"/>
      <c r="B184" s="93"/>
      <c r="C184" s="110"/>
      <c r="D184" s="58"/>
      <c r="E184" s="7"/>
      <c r="F184" s="40"/>
      <c r="G184" s="7"/>
      <c r="H184" s="6"/>
      <c r="I184" s="7"/>
      <c r="J184" s="40"/>
      <c r="K184" s="7"/>
      <c r="L184" s="59"/>
    </row>
    <row r="185" spans="1:12" ht="5.0999999999999996" customHeight="1" x14ac:dyDescent="0.25">
      <c r="A185" s="2"/>
      <c r="B185" s="93"/>
      <c r="C185" s="99"/>
      <c r="D185" s="2"/>
      <c r="E185" s="12"/>
      <c r="F185" s="39"/>
      <c r="G185" s="12"/>
      <c r="H185" s="9"/>
      <c r="I185" s="12"/>
      <c r="J185" s="39"/>
      <c r="K185" s="12"/>
      <c r="L185" s="10"/>
    </row>
    <row r="186" spans="1:12" ht="15.95" customHeight="1" x14ac:dyDescent="0.2">
      <c r="A186" s="2"/>
      <c r="B186" s="93"/>
      <c r="C186" s="99"/>
      <c r="D186" s="57" t="s">
        <v>10</v>
      </c>
      <c r="E186" s="12"/>
      <c r="F186" s="41"/>
      <c r="G186" s="12"/>
      <c r="H186" s="61" t="s">
        <v>6</v>
      </c>
      <c r="I186" s="12"/>
      <c r="J186" s="44" t="s">
        <v>7</v>
      </c>
      <c r="K186" s="12"/>
      <c r="L186" s="13" t="s">
        <v>6</v>
      </c>
    </row>
    <row r="187" spans="1:12" ht="5.0999999999999996" customHeight="1" x14ac:dyDescent="0.25">
      <c r="A187" s="2"/>
      <c r="B187" s="93"/>
      <c r="C187" s="110"/>
      <c r="D187" s="58"/>
      <c r="E187" s="7"/>
      <c r="F187" s="40"/>
      <c r="G187" s="7"/>
      <c r="H187" s="6"/>
      <c r="I187" s="7"/>
      <c r="J187" s="40"/>
      <c r="K187" s="7"/>
      <c r="L187" s="59"/>
    </row>
    <row r="188" spans="1:12" ht="5.0999999999999996" customHeight="1" x14ac:dyDescent="0.25">
      <c r="A188" s="2"/>
      <c r="B188" s="93"/>
      <c r="C188" s="99"/>
      <c r="D188" s="2"/>
      <c r="E188" s="12"/>
      <c r="F188" s="39"/>
      <c r="G188" s="12"/>
      <c r="H188" s="9"/>
      <c r="I188" s="12"/>
      <c r="J188" s="39"/>
      <c r="K188" s="12"/>
      <c r="L188" s="10"/>
    </row>
    <row r="189" spans="1:12" ht="15.95" customHeight="1" x14ac:dyDescent="0.2">
      <c r="A189" s="2"/>
      <c r="B189" s="93"/>
      <c r="C189" s="99"/>
      <c r="D189" s="57" t="s">
        <v>11</v>
      </c>
      <c r="E189" s="12"/>
      <c r="F189" s="41">
        <v>10000</v>
      </c>
      <c r="G189" s="12"/>
      <c r="H189" s="61" t="s">
        <v>6</v>
      </c>
      <c r="I189" s="12"/>
      <c r="J189" s="44" t="s">
        <v>7</v>
      </c>
      <c r="K189" s="12"/>
      <c r="L189" s="13" t="s">
        <v>6</v>
      </c>
    </row>
    <row r="190" spans="1:12" ht="5.0999999999999996" customHeight="1" x14ac:dyDescent="0.25">
      <c r="A190" s="2"/>
      <c r="B190" s="93"/>
      <c r="C190" s="110"/>
      <c r="D190" s="58"/>
      <c r="E190" s="7"/>
      <c r="F190" s="40"/>
      <c r="G190" s="7"/>
      <c r="H190" s="6"/>
      <c r="I190" s="7"/>
      <c r="J190" s="40"/>
      <c r="K190" s="7"/>
      <c r="L190" s="59"/>
    </row>
    <row r="191" spans="1:12" ht="5.0999999999999996" customHeight="1" x14ac:dyDescent="0.25">
      <c r="A191" s="2"/>
      <c r="B191" s="93"/>
      <c r="C191" s="99"/>
      <c r="D191" s="2"/>
      <c r="E191" s="12"/>
      <c r="F191" s="39"/>
      <c r="G191" s="12"/>
      <c r="H191" s="9"/>
      <c r="I191" s="12"/>
      <c r="J191" s="39"/>
      <c r="K191" s="12"/>
      <c r="L191" s="10"/>
    </row>
    <row r="192" spans="1:12" ht="15.95" customHeight="1" x14ac:dyDescent="0.25">
      <c r="A192" s="2"/>
      <c r="B192" s="93"/>
      <c r="C192" s="99"/>
      <c r="D192" s="57" t="s">
        <v>12</v>
      </c>
      <c r="E192" s="12"/>
      <c r="F192" s="39"/>
      <c r="G192" s="12"/>
      <c r="H192" s="9"/>
      <c r="I192" s="12"/>
      <c r="J192" s="39"/>
      <c r="K192" s="12"/>
      <c r="L192" s="10"/>
    </row>
    <row r="193" spans="1:12" ht="5.0999999999999996" customHeight="1" x14ac:dyDescent="0.25">
      <c r="A193" s="2"/>
      <c r="B193" s="93"/>
      <c r="C193" s="56"/>
      <c r="D193" s="57"/>
      <c r="E193" s="12"/>
      <c r="F193" s="39"/>
      <c r="G193" s="12"/>
      <c r="H193" s="9"/>
      <c r="I193" s="12"/>
      <c r="J193" s="39"/>
      <c r="K193" s="12"/>
      <c r="L193" s="10"/>
    </row>
    <row r="194" spans="1:12" ht="15.75" customHeight="1" x14ac:dyDescent="0.2">
      <c r="A194" s="2"/>
      <c r="B194" s="93"/>
      <c r="C194" s="56"/>
      <c r="D194" s="33" t="s">
        <v>37</v>
      </c>
      <c r="E194" s="12"/>
      <c r="F194" s="53">
        <v>10000</v>
      </c>
      <c r="G194" s="12"/>
      <c r="H194" s="61" t="s">
        <v>44</v>
      </c>
      <c r="I194" s="12"/>
      <c r="J194" s="44" t="s">
        <v>7</v>
      </c>
      <c r="K194" s="12"/>
      <c r="L194" s="13" t="s">
        <v>19</v>
      </c>
    </row>
    <row r="195" spans="1:12" ht="5.0999999999999996" customHeight="1" x14ac:dyDescent="0.25">
      <c r="A195" s="2"/>
      <c r="B195" s="93"/>
      <c r="C195" s="56"/>
      <c r="D195" s="32"/>
      <c r="E195" s="7"/>
      <c r="F195" s="40"/>
      <c r="G195" s="7"/>
      <c r="H195" s="6"/>
      <c r="I195" s="7"/>
      <c r="J195" s="40"/>
      <c r="K195" s="7"/>
      <c r="L195" s="59"/>
    </row>
    <row r="196" spans="1:12" ht="4.9000000000000004" customHeight="1" x14ac:dyDescent="0.25">
      <c r="A196" s="2"/>
      <c r="B196" s="93"/>
      <c r="C196" s="56"/>
      <c r="D196" s="57"/>
      <c r="E196" s="12"/>
      <c r="F196" s="39"/>
      <c r="G196" s="12"/>
      <c r="H196" s="9"/>
      <c r="I196" s="12"/>
      <c r="J196" s="39"/>
      <c r="K196" s="12"/>
      <c r="L196" s="10"/>
    </row>
    <row r="197" spans="1:12" ht="15.75" customHeight="1" x14ac:dyDescent="0.2">
      <c r="A197" s="2"/>
      <c r="B197" s="93"/>
      <c r="C197" s="56"/>
      <c r="D197" s="33" t="s">
        <v>38</v>
      </c>
      <c r="E197" s="12"/>
      <c r="F197" s="41">
        <v>10000</v>
      </c>
      <c r="G197" s="12"/>
      <c r="H197" s="61" t="s">
        <v>19</v>
      </c>
      <c r="I197" s="12"/>
      <c r="J197" s="47" t="s">
        <v>7</v>
      </c>
      <c r="K197" s="12"/>
      <c r="L197" s="13" t="s">
        <v>20</v>
      </c>
    </row>
    <row r="198" spans="1:12" ht="4.9000000000000004" customHeight="1" x14ac:dyDescent="0.25">
      <c r="A198" s="2"/>
      <c r="B198" s="93"/>
      <c r="C198" s="56"/>
      <c r="D198" s="32"/>
      <c r="E198" s="7"/>
      <c r="F198" s="40"/>
      <c r="G198" s="7"/>
      <c r="H198" s="6"/>
      <c r="I198" s="7"/>
      <c r="J198" s="40"/>
      <c r="K198" s="7"/>
      <c r="L198" s="59"/>
    </row>
    <row r="199" spans="1:12" ht="4.9000000000000004" customHeight="1" x14ac:dyDescent="0.25">
      <c r="A199" s="2"/>
      <c r="B199" s="93"/>
      <c r="C199" s="56"/>
      <c r="D199" s="57"/>
      <c r="E199" s="12"/>
      <c r="F199" s="39"/>
      <c r="G199" s="12"/>
      <c r="H199" s="9"/>
      <c r="I199" s="12"/>
      <c r="J199" s="39"/>
      <c r="K199" s="12"/>
      <c r="L199" s="10"/>
    </row>
    <row r="200" spans="1:12" ht="15.75" customHeight="1" x14ac:dyDescent="0.2">
      <c r="A200" s="2"/>
      <c r="B200" s="93"/>
      <c r="C200" s="56"/>
      <c r="D200" s="33" t="s">
        <v>39</v>
      </c>
      <c r="E200" s="12"/>
      <c r="F200" s="41">
        <v>10000</v>
      </c>
      <c r="G200" s="12"/>
      <c r="H200" s="61" t="s">
        <v>19</v>
      </c>
      <c r="I200" s="12"/>
      <c r="J200" s="48" t="s">
        <v>7</v>
      </c>
      <c r="K200" s="12"/>
      <c r="L200" s="13" t="s">
        <v>20</v>
      </c>
    </row>
    <row r="201" spans="1:12" ht="4.9000000000000004" customHeight="1" x14ac:dyDescent="0.25">
      <c r="A201" s="2"/>
      <c r="B201" s="93"/>
      <c r="C201" s="56"/>
      <c r="D201" s="32"/>
      <c r="E201" s="7"/>
      <c r="F201" s="40"/>
      <c r="G201" s="7"/>
      <c r="H201" s="6"/>
      <c r="I201" s="7"/>
      <c r="J201" s="40"/>
      <c r="K201" s="7"/>
      <c r="L201" s="59"/>
    </row>
    <row r="202" spans="1:12" ht="4.9000000000000004" customHeight="1" x14ac:dyDescent="0.25">
      <c r="A202" s="2"/>
      <c r="B202" s="93"/>
      <c r="C202" s="56"/>
      <c r="D202" s="57"/>
      <c r="E202" s="12"/>
      <c r="F202" s="39"/>
      <c r="G202" s="12"/>
      <c r="H202" s="9"/>
      <c r="I202" s="12"/>
      <c r="J202" s="39"/>
      <c r="K202" s="12"/>
      <c r="L202" s="10"/>
    </row>
    <row r="203" spans="1:12" ht="15.75" customHeight="1" x14ac:dyDescent="0.2">
      <c r="A203" s="2"/>
      <c r="B203" s="93"/>
      <c r="C203" s="56"/>
      <c r="D203" s="33" t="s">
        <v>40</v>
      </c>
      <c r="E203" s="12"/>
      <c r="F203" s="41">
        <v>10000</v>
      </c>
      <c r="G203" s="12"/>
      <c r="H203" s="61" t="s">
        <v>19</v>
      </c>
      <c r="I203" s="12"/>
      <c r="J203" s="49" t="s">
        <v>7</v>
      </c>
      <c r="K203" s="12"/>
      <c r="L203" s="13" t="s">
        <v>20</v>
      </c>
    </row>
    <row r="204" spans="1:12" ht="4.9000000000000004" customHeight="1" x14ac:dyDescent="0.25">
      <c r="A204" s="2"/>
      <c r="B204" s="93"/>
      <c r="C204" s="56"/>
      <c r="D204" s="32"/>
      <c r="E204" s="7"/>
      <c r="F204" s="40"/>
      <c r="G204" s="7"/>
      <c r="H204" s="6"/>
      <c r="I204" s="7"/>
      <c r="J204" s="40"/>
      <c r="K204" s="7"/>
      <c r="L204" s="59"/>
    </row>
    <row r="205" spans="1:12" ht="4.9000000000000004" customHeight="1" x14ac:dyDescent="0.25">
      <c r="A205" s="2"/>
      <c r="B205" s="93"/>
      <c r="C205" s="56"/>
      <c r="D205" s="57"/>
      <c r="E205" s="12"/>
      <c r="F205" s="39"/>
      <c r="G205" s="12"/>
      <c r="H205" s="9"/>
      <c r="I205" s="12"/>
      <c r="J205" s="39"/>
      <c r="K205" s="12"/>
      <c r="L205" s="10"/>
    </row>
    <row r="206" spans="1:12" ht="15.75" customHeight="1" x14ac:dyDescent="0.2">
      <c r="A206" s="2"/>
      <c r="B206" s="93"/>
      <c r="C206" s="56"/>
      <c r="D206" s="33" t="s">
        <v>41</v>
      </c>
      <c r="E206" s="12"/>
      <c r="F206" s="41">
        <v>10000</v>
      </c>
      <c r="G206" s="12"/>
      <c r="H206" s="61" t="s">
        <v>19</v>
      </c>
      <c r="I206" s="12"/>
      <c r="J206" s="50" t="s">
        <v>7</v>
      </c>
      <c r="K206" s="12"/>
      <c r="L206" s="13" t="s">
        <v>20</v>
      </c>
    </row>
    <row r="207" spans="1:12" ht="4.9000000000000004" customHeight="1" x14ac:dyDescent="0.25">
      <c r="A207" s="2"/>
      <c r="B207" s="93"/>
      <c r="C207" s="56"/>
      <c r="D207" s="32"/>
      <c r="E207" s="7"/>
      <c r="F207" s="40"/>
      <c r="G207" s="7"/>
      <c r="H207" s="6"/>
      <c r="I207" s="7"/>
      <c r="J207" s="40"/>
      <c r="K207" s="7"/>
      <c r="L207" s="59"/>
    </row>
    <row r="208" spans="1:12" ht="4.9000000000000004" customHeight="1" x14ac:dyDescent="0.25">
      <c r="A208" s="2"/>
      <c r="B208" s="93"/>
      <c r="C208" s="56"/>
      <c r="D208" s="57"/>
      <c r="E208" s="12"/>
      <c r="F208" s="39"/>
      <c r="G208" s="12"/>
      <c r="H208" s="9"/>
      <c r="I208" s="12"/>
      <c r="J208" s="39"/>
      <c r="K208" s="12"/>
      <c r="L208" s="10"/>
    </row>
    <row r="209" spans="1:12" ht="15.75" customHeight="1" x14ac:dyDescent="0.2">
      <c r="A209" s="2"/>
      <c r="B209" s="93"/>
      <c r="C209" s="56"/>
      <c r="D209" s="33" t="s">
        <v>42</v>
      </c>
      <c r="E209" s="12"/>
      <c r="F209" s="41">
        <v>10000</v>
      </c>
      <c r="G209" s="12"/>
      <c r="H209" s="61" t="s">
        <v>19</v>
      </c>
      <c r="I209" s="12"/>
      <c r="J209" s="51" t="s">
        <v>7</v>
      </c>
      <c r="K209" s="12"/>
      <c r="L209" s="13" t="s">
        <v>20</v>
      </c>
    </row>
    <row r="210" spans="1:12" ht="4.9000000000000004" customHeight="1" x14ac:dyDescent="0.25">
      <c r="A210" s="2"/>
      <c r="B210" s="93"/>
      <c r="C210" s="56"/>
      <c r="D210" s="32"/>
      <c r="E210" s="7"/>
      <c r="F210" s="40"/>
      <c r="G210" s="7"/>
      <c r="H210" s="6"/>
      <c r="I210" s="7"/>
      <c r="J210" s="40"/>
      <c r="K210" s="7"/>
      <c r="L210" s="59"/>
    </row>
    <row r="211" spans="1:12" ht="4.9000000000000004" customHeight="1" x14ac:dyDescent="0.25">
      <c r="A211" s="2"/>
      <c r="B211" s="93"/>
      <c r="C211" s="56"/>
      <c r="D211" s="57"/>
      <c r="E211" s="12"/>
      <c r="F211" s="39"/>
      <c r="G211" s="12"/>
      <c r="H211" s="9"/>
      <c r="I211" s="12"/>
      <c r="J211" s="39"/>
      <c r="K211" s="12"/>
      <c r="L211" s="10"/>
    </row>
    <row r="212" spans="1:12" ht="15.75" customHeight="1" x14ac:dyDescent="0.2">
      <c r="A212" s="2"/>
      <c r="B212" s="93"/>
      <c r="C212" s="56"/>
      <c r="D212" s="33" t="s">
        <v>43</v>
      </c>
      <c r="E212" s="12"/>
      <c r="F212" s="41">
        <v>10000</v>
      </c>
      <c r="G212" s="12"/>
      <c r="H212" s="61" t="s">
        <v>19</v>
      </c>
      <c r="I212" s="12"/>
      <c r="J212" s="52" t="s">
        <v>7</v>
      </c>
      <c r="K212" s="12"/>
      <c r="L212" s="13" t="s">
        <v>20</v>
      </c>
    </row>
    <row r="213" spans="1:12" ht="4.9000000000000004" customHeight="1" x14ac:dyDescent="0.25">
      <c r="A213" s="2"/>
      <c r="B213" s="93"/>
      <c r="C213" s="56"/>
      <c r="D213" s="32"/>
      <c r="E213" s="7"/>
      <c r="F213" s="40"/>
      <c r="G213" s="7"/>
      <c r="H213" s="6"/>
      <c r="I213" s="7"/>
      <c r="J213" s="40"/>
      <c r="K213" s="7"/>
      <c r="L213" s="59"/>
    </row>
    <row r="214" spans="1:12" ht="21.95" customHeight="1" x14ac:dyDescent="0.25">
      <c r="A214" s="2"/>
      <c r="B214" s="93"/>
      <c r="C214" s="56"/>
      <c r="D214" s="2"/>
      <c r="E214" s="2"/>
      <c r="F214" s="37"/>
      <c r="G214" s="2"/>
      <c r="H214" s="9"/>
      <c r="I214" s="2"/>
      <c r="J214" s="37"/>
      <c r="K214" s="2"/>
      <c r="L214" s="10"/>
    </row>
    <row r="215" spans="1:12" ht="5.0999999999999996" customHeight="1" thickBot="1" x14ac:dyDescent="0.3">
      <c r="A215" s="2"/>
      <c r="B215" s="94"/>
      <c r="C215" s="60"/>
      <c r="D215" s="14"/>
      <c r="E215" s="14"/>
      <c r="F215" s="42"/>
      <c r="G215" s="14"/>
      <c r="H215" s="18"/>
      <c r="I215" s="14"/>
      <c r="J215" s="42"/>
      <c r="K215" s="14"/>
      <c r="L215" s="15"/>
    </row>
    <row r="216" spans="1:12" ht="24.6" customHeight="1" x14ac:dyDescent="0.25">
      <c r="A216" s="2"/>
      <c r="B216" s="2"/>
      <c r="C216" s="2"/>
      <c r="D216" s="2"/>
      <c r="E216" s="2"/>
      <c r="F216" s="37"/>
      <c r="G216" s="2"/>
      <c r="H216" s="2"/>
      <c r="I216" s="2"/>
      <c r="J216" s="37"/>
      <c r="K216" s="2"/>
      <c r="L216" s="2"/>
    </row>
    <row r="217" spans="1:12" ht="15.75" thickBot="1" x14ac:dyDescent="0.3">
      <c r="A217" s="2"/>
      <c r="B217" s="2"/>
      <c r="C217" s="2"/>
      <c r="D217" s="2"/>
      <c r="E217" s="2"/>
      <c r="F217" s="37"/>
      <c r="G217" s="2"/>
      <c r="H217" s="2"/>
      <c r="I217" s="2"/>
      <c r="J217" s="37"/>
      <c r="K217" s="2"/>
      <c r="L217" s="2"/>
    </row>
    <row r="218" spans="1:12" ht="28.35" customHeight="1" x14ac:dyDescent="0.2">
      <c r="A218" s="2"/>
      <c r="B218" s="103" t="s">
        <v>13</v>
      </c>
      <c r="C218" s="104"/>
      <c r="D218" s="104"/>
      <c r="E218" s="104"/>
      <c r="F218" s="104"/>
      <c r="G218" s="104"/>
      <c r="H218" s="104"/>
      <c r="I218" s="104"/>
      <c r="J218" s="104"/>
      <c r="K218" s="104"/>
      <c r="L218" s="105"/>
    </row>
    <row r="219" spans="1:12" ht="28.35" customHeight="1" x14ac:dyDescent="0.2">
      <c r="A219" s="2"/>
      <c r="B219" s="106"/>
      <c r="C219" s="107"/>
      <c r="D219" s="107"/>
      <c r="E219" s="107"/>
      <c r="F219" s="107"/>
      <c r="G219" s="107"/>
      <c r="H219" s="107"/>
      <c r="I219" s="107"/>
      <c r="J219" s="107"/>
      <c r="K219" s="107"/>
      <c r="L219" s="108"/>
    </row>
    <row r="220" spans="1:12" ht="21.75" customHeight="1" x14ac:dyDescent="0.25">
      <c r="A220" s="2"/>
      <c r="B220" s="109" t="s">
        <v>4</v>
      </c>
      <c r="C220" s="2"/>
      <c r="D220" s="2"/>
      <c r="E220" s="2"/>
      <c r="F220" s="37"/>
      <c r="G220" s="2"/>
      <c r="H220" s="2"/>
      <c r="I220" s="2"/>
      <c r="J220" s="37"/>
      <c r="K220" s="2"/>
      <c r="L220" s="10"/>
    </row>
    <row r="221" spans="1:12" ht="18" customHeight="1" x14ac:dyDescent="0.2">
      <c r="A221" s="2"/>
      <c r="B221" s="93"/>
      <c r="C221" s="5"/>
      <c r="D221" s="6"/>
      <c r="E221" s="95" t="s">
        <v>1</v>
      </c>
      <c r="F221" s="96"/>
      <c r="G221" s="97"/>
      <c r="H221" s="4" t="s">
        <v>2</v>
      </c>
      <c r="I221" s="95" t="s">
        <v>3</v>
      </c>
      <c r="J221" s="96"/>
      <c r="K221" s="97"/>
      <c r="L221" s="11" t="s">
        <v>2</v>
      </c>
    </row>
    <row r="222" spans="1:12" ht="5.0999999999999996" customHeight="1" x14ac:dyDescent="0.25">
      <c r="A222" s="2"/>
      <c r="B222" s="93"/>
      <c r="C222" s="98"/>
      <c r="D222" s="2"/>
      <c r="E222" s="12"/>
      <c r="F222" s="39"/>
      <c r="G222" s="12"/>
      <c r="H222" s="8"/>
      <c r="I222" s="12"/>
      <c r="J222" s="39"/>
      <c r="K222" s="12"/>
      <c r="L222" s="10"/>
    </row>
    <row r="223" spans="1:12" ht="15.75" customHeight="1" x14ac:dyDescent="0.2">
      <c r="A223" s="2"/>
      <c r="B223" s="93"/>
      <c r="C223" s="99"/>
      <c r="D223" s="57" t="s">
        <v>14</v>
      </c>
      <c r="E223" s="12"/>
      <c r="F223" s="41">
        <v>10000</v>
      </c>
      <c r="G223" s="12"/>
      <c r="H223" s="61" t="s">
        <v>6</v>
      </c>
      <c r="I223" s="12"/>
      <c r="J223" s="44" t="s">
        <v>7</v>
      </c>
      <c r="K223" s="12"/>
      <c r="L223" s="13" t="s">
        <v>6</v>
      </c>
    </row>
    <row r="224" spans="1:12" ht="5.0999999999999996" customHeight="1" x14ac:dyDescent="0.25">
      <c r="A224" s="2"/>
      <c r="B224" s="93"/>
      <c r="C224" s="110"/>
      <c r="D224" s="58"/>
      <c r="E224" s="7"/>
      <c r="F224" s="40"/>
      <c r="G224" s="7"/>
      <c r="H224" s="6"/>
      <c r="I224" s="7"/>
      <c r="J224" s="40"/>
      <c r="K224" s="7"/>
      <c r="L224" s="59"/>
    </row>
    <row r="225" spans="1:12" ht="5.0999999999999996" customHeight="1" x14ac:dyDescent="0.25">
      <c r="A225" s="2"/>
      <c r="B225" s="93"/>
      <c r="C225" s="99"/>
      <c r="D225" s="2"/>
      <c r="E225" s="12"/>
      <c r="F225" s="39"/>
      <c r="G225" s="12"/>
      <c r="H225" s="9"/>
      <c r="I225" s="12"/>
      <c r="J225" s="39"/>
      <c r="K225" s="12"/>
      <c r="L225" s="10"/>
    </row>
    <row r="226" spans="1:12" ht="15.75" customHeight="1" x14ac:dyDescent="0.2">
      <c r="A226" s="2"/>
      <c r="B226" s="93"/>
      <c r="C226" s="99"/>
      <c r="D226" s="57" t="s">
        <v>15</v>
      </c>
      <c r="E226" s="12"/>
      <c r="F226" s="41">
        <v>10000</v>
      </c>
      <c r="G226" s="12"/>
      <c r="H226" s="61" t="s">
        <v>6</v>
      </c>
      <c r="I226" s="12"/>
      <c r="J226" s="44" t="s">
        <v>7</v>
      </c>
      <c r="K226" s="12"/>
      <c r="L226" s="13" t="s">
        <v>6</v>
      </c>
    </row>
    <row r="227" spans="1:12" ht="5.0999999999999996" customHeight="1" x14ac:dyDescent="0.25">
      <c r="A227" s="2"/>
      <c r="B227" s="111"/>
      <c r="C227" s="110"/>
      <c r="D227" s="58"/>
      <c r="E227" s="7"/>
      <c r="F227" s="40"/>
      <c r="G227" s="7"/>
      <c r="H227" s="6"/>
      <c r="I227" s="7"/>
      <c r="J227" s="40"/>
      <c r="K227" s="7"/>
      <c r="L227" s="59"/>
    </row>
    <row r="228" spans="1:12" ht="21.75" customHeight="1" x14ac:dyDescent="0.25">
      <c r="A228" s="2"/>
      <c r="B228" s="109" t="s">
        <v>8</v>
      </c>
      <c r="C228" s="2"/>
      <c r="D228" s="2"/>
      <c r="E228" s="2"/>
      <c r="F228" s="37"/>
      <c r="G228" s="2"/>
      <c r="H228" s="2"/>
      <c r="I228" s="2"/>
      <c r="J228" s="37"/>
      <c r="K228" s="2"/>
      <c r="L228" s="10"/>
    </row>
    <row r="229" spans="1:12" ht="18" customHeight="1" x14ac:dyDescent="0.2">
      <c r="A229" s="2"/>
      <c r="B229" s="93"/>
      <c r="C229" s="5"/>
      <c r="D229" s="6"/>
      <c r="E229" s="95" t="s">
        <v>1</v>
      </c>
      <c r="F229" s="96"/>
      <c r="G229" s="97"/>
      <c r="H229" s="4" t="s">
        <v>2</v>
      </c>
      <c r="I229" s="95" t="s">
        <v>3</v>
      </c>
      <c r="J229" s="96"/>
      <c r="K229" s="97"/>
      <c r="L229" s="11" t="s">
        <v>2</v>
      </c>
    </row>
    <row r="230" spans="1:12" ht="5.0999999999999996" customHeight="1" x14ac:dyDescent="0.25">
      <c r="A230" s="2"/>
      <c r="B230" s="93"/>
      <c r="C230" s="98"/>
      <c r="D230" s="2"/>
      <c r="E230" s="12"/>
      <c r="F230" s="39"/>
      <c r="G230" s="12"/>
      <c r="H230" s="8"/>
      <c r="I230" s="12"/>
      <c r="J230" s="39"/>
      <c r="K230" s="12"/>
      <c r="L230" s="10"/>
    </row>
    <row r="231" spans="1:12" ht="15.75" customHeight="1" x14ac:dyDescent="0.2">
      <c r="A231" s="2"/>
      <c r="B231" s="93"/>
      <c r="C231" s="99"/>
      <c r="D231" s="57" t="s">
        <v>14</v>
      </c>
      <c r="E231" s="12"/>
      <c r="F231" s="41">
        <v>10000</v>
      </c>
      <c r="G231" s="12"/>
      <c r="H231" s="61" t="s">
        <v>6</v>
      </c>
      <c r="I231" s="12"/>
      <c r="J231" s="44" t="s">
        <v>7</v>
      </c>
      <c r="K231" s="12"/>
      <c r="L231" s="13" t="s">
        <v>6</v>
      </c>
    </row>
    <row r="232" spans="1:12" ht="5.0999999999999996" customHeight="1" x14ac:dyDescent="0.25">
      <c r="A232" s="2"/>
      <c r="B232" s="93"/>
      <c r="C232" s="110"/>
      <c r="D232" s="58"/>
      <c r="E232" s="7"/>
      <c r="F232" s="40"/>
      <c r="G232" s="7"/>
      <c r="H232" s="6"/>
      <c r="I232" s="7"/>
      <c r="J232" s="40"/>
      <c r="K232" s="7"/>
      <c r="L232" s="59"/>
    </row>
    <row r="233" spans="1:12" ht="5.0999999999999996" customHeight="1" x14ac:dyDescent="0.25">
      <c r="A233" s="2"/>
      <c r="B233" s="93"/>
      <c r="C233" s="99"/>
      <c r="D233" s="2"/>
      <c r="E233" s="12"/>
      <c r="F233" s="39"/>
      <c r="G233" s="12"/>
      <c r="H233" s="9"/>
      <c r="I233" s="12"/>
      <c r="J233" s="39"/>
      <c r="K233" s="12"/>
      <c r="L233" s="10"/>
    </row>
    <row r="234" spans="1:12" ht="15.75" customHeight="1" x14ac:dyDescent="0.2">
      <c r="A234" s="2"/>
      <c r="B234" s="93"/>
      <c r="C234" s="99"/>
      <c r="D234" s="57" t="s">
        <v>15</v>
      </c>
      <c r="E234" s="12"/>
      <c r="F234" s="41">
        <v>10000</v>
      </c>
      <c r="G234" s="12"/>
      <c r="H234" s="61" t="s">
        <v>6</v>
      </c>
      <c r="I234" s="12"/>
      <c r="J234" s="44" t="s">
        <v>7</v>
      </c>
      <c r="K234" s="12"/>
      <c r="L234" s="13" t="s">
        <v>6</v>
      </c>
    </row>
    <row r="235" spans="1:12" ht="5.0999999999999996" customHeight="1" thickBot="1" x14ac:dyDescent="0.3">
      <c r="A235" s="2"/>
      <c r="B235" s="94"/>
      <c r="C235" s="100"/>
      <c r="D235" s="14"/>
      <c r="E235" s="19"/>
      <c r="F235" s="43"/>
      <c r="G235" s="19"/>
      <c r="H235" s="18"/>
      <c r="I235" s="19"/>
      <c r="J235" s="43"/>
      <c r="K235" s="19"/>
      <c r="L235" s="15"/>
    </row>
    <row r="236" spans="1:12" ht="15" customHeight="1" x14ac:dyDescent="0.25">
      <c r="A236" s="2"/>
      <c r="B236" s="2"/>
      <c r="C236" s="2"/>
      <c r="D236" s="2"/>
      <c r="E236" s="2"/>
      <c r="F236" s="37"/>
      <c r="G236" s="2"/>
      <c r="H236" s="2"/>
      <c r="I236" s="2"/>
      <c r="J236" s="37"/>
      <c r="K236" s="2"/>
      <c r="L236" s="2"/>
    </row>
  </sheetData>
  <sheetProtection algorithmName="SHA-512" hashValue="XMIlkskm0F7kyGxnbKCDFZHVOZmTr2KUX85gHiS4lWyM1HSXLVAvNi6KFz/C+0gue62CgCOHXf47SELNr5PZJQ==" saltValue="YmKaoLJWN3mTutZCE3MQtQ==" spinCount="100000" sheet="1" objects="1" scenarios="1" formatCells="0"/>
  <mergeCells count="43">
    <mergeCell ref="B228:B235"/>
    <mergeCell ref="E229:G229"/>
    <mergeCell ref="I229:K229"/>
    <mergeCell ref="C230:C232"/>
    <mergeCell ref="C233:C235"/>
    <mergeCell ref="B218:L218"/>
    <mergeCell ref="B219:L219"/>
    <mergeCell ref="B220:B227"/>
    <mergeCell ref="E221:G221"/>
    <mergeCell ref="I221:K221"/>
    <mergeCell ref="C222:C224"/>
    <mergeCell ref="C225:C227"/>
    <mergeCell ref="C35:C37"/>
    <mergeCell ref="C38:C39"/>
    <mergeCell ref="B177:B215"/>
    <mergeCell ref="E178:G178"/>
    <mergeCell ref="I178:K178"/>
    <mergeCell ref="C179:C181"/>
    <mergeCell ref="C182:C184"/>
    <mergeCell ref="C185:C187"/>
    <mergeCell ref="C188:C190"/>
    <mergeCell ref="C191:C192"/>
    <mergeCell ref="E25:G25"/>
    <mergeCell ref="I25:K25"/>
    <mergeCell ref="C26:C28"/>
    <mergeCell ref="C29:C31"/>
    <mergeCell ref="C32:C34"/>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176"/>
  </mergeCells>
  <pageMargins left="0.7" right="0.7" top="0.75" bottom="0.75" header="0.3" footer="0.3"/>
  <pageSetup orientation="portrait" horizontalDpi="300" verticalDpi="200" r:id="rId1"/>
  <customProperties>
    <customPr name="_pios_id" r:id="rId2"/>
    <customPr name="IbpWorksheetKeyString_GUID" r:id="rId3"/>
  </customProperties>
  <drawing r:id="rId4"/>
  <legacyDrawing r:id="rId5"/>
  <controls>
    <mc:AlternateContent xmlns:mc="http://schemas.openxmlformats.org/markup-compatibility/2006">
      <mc:Choice Requires="x14">
        <control shapeId="18477" r:id="rId6" name="cbApplyOddEvenFormatting">
          <controlPr defaultSize="0" autoFill="0" autoLine="0" r:id="rId7">
            <anchor moveWithCells="1">
              <from>
                <xdr:col>7</xdr:col>
                <xdr:colOff>1676400</xdr:colOff>
                <xdr:row>217</xdr:row>
                <xdr:rowOff>66675</xdr:rowOff>
              </from>
              <to>
                <xdr:col>7</xdr:col>
                <xdr:colOff>1800225</xdr:colOff>
                <xdr:row>217</xdr:row>
                <xdr:rowOff>342900</xdr:rowOff>
              </to>
            </anchor>
          </controlPr>
        </control>
      </mc:Choice>
      <mc:Fallback>
        <control shapeId="18477" r:id="rId6" name="cbApplyOddEvenFormatting"/>
      </mc:Fallback>
    </mc:AlternateContent>
    <mc:AlternateContent xmlns:mc="http://schemas.openxmlformats.org/markup-compatibility/2006">
      <mc:Choice Requires="x14">
        <control shapeId="18459" r:id="rId8" name="cbApplyMemberFormatting">
          <controlPr defaultSize="0" autoFill="0" autoLine="0" r:id="rId9">
            <anchor moveWithCells="1">
              <from>
                <xdr:col>9</xdr:col>
                <xdr:colOff>476250</xdr:colOff>
                <xdr:row>21</xdr:row>
                <xdr:rowOff>66675</xdr:rowOff>
              </from>
              <to>
                <xdr:col>9</xdr:col>
                <xdr:colOff>600075</xdr:colOff>
                <xdr:row>21</xdr:row>
                <xdr:rowOff>342900</xdr:rowOff>
              </to>
            </anchor>
          </controlPr>
        </control>
      </mc:Choice>
      <mc:Fallback>
        <control shapeId="18459" r:id="rId8" name="cbApplyMemberFormatting"/>
      </mc:Fallback>
    </mc:AlternateContent>
    <mc:AlternateContent xmlns:mc="http://schemas.openxmlformats.org/markup-compatibility/2006">
      <mc:Choice Requires="x14">
        <control shapeId="18433" r:id="rId10" name="cbApplyLevelFormatting">
          <controlPr defaultSize="0" autoFill="0" autoLine="0" r:id="rId11">
            <anchor moveWithCells="1">
              <from>
                <xdr:col>7</xdr:col>
                <xdr:colOff>1485900</xdr:colOff>
                <xdr:row>4</xdr:row>
                <xdr:rowOff>66675</xdr:rowOff>
              </from>
              <to>
                <xdr:col>7</xdr:col>
                <xdr:colOff>1609725</xdr:colOff>
                <xdr:row>4</xdr:row>
                <xdr:rowOff>342900</xdr:rowOff>
              </to>
            </anchor>
          </controlPr>
        </control>
      </mc:Choice>
      <mc:Fallback>
        <control shapeId="18433" r:id="rId10" name="cbApplyLevelFormatting"/>
      </mc:Fallback>
    </mc:AlternateContent>
    <mc:AlternateContent xmlns:mc="http://schemas.openxmlformats.org/markup-compatibility/2006">
      <mc:Choice Requires="x14">
        <control shapeId="18434" r:id="rId12"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18435" r:id="rId13" name="obLevelRowFirst">
          <controlPr defaultSize="0" autoFill="0" autoLine="0" autoPict="0" macro="_xll.IBPXLClient.TechnicalCategory.ButtonActionInIBPClientFormattingSheet">
            <anchor moveWithCells="1">
              <from>
                <xdr:col>3</xdr:col>
                <xdr:colOff>485775</xdr:colOff>
                <xdr:row>5</xdr:row>
                <xdr:rowOff>57150</xdr:rowOff>
              </from>
              <to>
                <xdr:col>3</xdr:col>
                <xdr:colOff>2619375</xdr:colOff>
                <xdr:row>5</xdr:row>
                <xdr:rowOff>276225</xdr:rowOff>
              </to>
            </anchor>
          </controlPr>
        </control>
      </mc:Choice>
    </mc:AlternateContent>
    <mc:AlternateContent xmlns:mc="http://schemas.openxmlformats.org/markup-compatibility/2006">
      <mc:Choice Requires="x14">
        <control shapeId="18436" r:id="rId14" name="obLevelColumnFirst">
          <controlPr defaultSize="0" autoFill="0" autoLine="0" autoPict="0" macro="_xll.IBPXLClient.TechnicalCategory.ButtonActionInIBP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18437" r:id="rId15" name="Group Box 5">
          <controlPr defaultSize="0" autoPict="0">
            <anchor moveWithCells="1">
              <from>
                <xdr:col>3</xdr:col>
                <xdr:colOff>2752725</xdr:colOff>
                <xdr:row>5</xdr:row>
                <xdr:rowOff>0</xdr:rowOff>
              </from>
              <to>
                <xdr:col>8</xdr:col>
                <xdr:colOff>180975</xdr:colOff>
                <xdr:row>6</xdr:row>
                <xdr:rowOff>0</xdr:rowOff>
              </to>
            </anchor>
          </controlPr>
        </control>
      </mc:Choice>
    </mc:AlternateContent>
    <mc:AlternateContent xmlns:mc="http://schemas.openxmlformats.org/markup-compatibility/2006">
      <mc:Choice Requires="x14">
        <control shapeId="18442" r:id="rId16" name="Group Box 10">
          <controlPr defaultSize="0" autoPict="0">
            <anchor moveWithCells="1">
              <from>
                <xdr:col>10</xdr:col>
                <xdr:colOff>209550</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18445" r:id="rId17" name="cbUseDefaultLevelFirst">
          <controlPr defaultSize="0" autoFill="0" autoLine="0" autoPict="0">
            <anchor moveWithCells="1">
              <from>
                <xdr:col>2</xdr:col>
                <xdr:colOff>123825</xdr:colOff>
                <xdr:row>14</xdr:row>
                <xdr:rowOff>200025</xdr:rowOff>
              </from>
              <to>
                <xdr:col>2</xdr:col>
                <xdr:colOff>1019175</xdr:colOff>
                <xdr:row>17</xdr:row>
                <xdr:rowOff>38100</xdr:rowOff>
              </to>
            </anchor>
          </controlPr>
        </control>
      </mc:Choice>
    </mc:AlternateContent>
    <mc:AlternateContent xmlns:mc="http://schemas.openxmlformats.org/markup-compatibility/2006">
      <mc:Choice Requires="x14">
        <control shapeId="18451" r:id="rId18" name="Group Box 19">
          <controlPr defaultSize="0" autoPict="0">
            <anchor moveWithCells="1">
              <from>
                <xdr:col>10</xdr:col>
                <xdr:colOff>209550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8454" r:id="rId19" name="cbUseDefaultLevelSecond">
          <controlPr defaultSize="0" autoFill="0" autoLine="0" autoPict="0">
            <anchor moveWithCells="1">
              <from>
                <xdr:col>2</xdr:col>
                <xdr:colOff>123825</xdr:colOff>
                <xdr:row>9</xdr:row>
                <xdr:rowOff>0</xdr:rowOff>
              </from>
              <to>
                <xdr:col>2</xdr:col>
                <xdr:colOff>1019175</xdr:colOff>
                <xdr:row>11</xdr:row>
                <xdr:rowOff>38100</xdr:rowOff>
              </to>
            </anchor>
          </controlPr>
        </control>
      </mc:Choice>
    </mc:AlternateContent>
    <mc:AlternateContent xmlns:mc="http://schemas.openxmlformats.org/markup-compatibility/2006">
      <mc:Choice Requires="x14">
        <control shapeId="18460" r:id="rId20" name="Group Box 28">
          <controlPr defaultSize="0" autoPict="0">
            <anchor moveWithCells="1">
              <from>
                <xdr:col>1</xdr:col>
                <xdr:colOff>0</xdr:colOff>
                <xdr:row>22</xdr:row>
                <xdr:rowOff>0</xdr:rowOff>
              </from>
              <to>
                <xdr:col>11</xdr:col>
                <xdr:colOff>1276350</xdr:colOff>
                <xdr:row>23</xdr:row>
                <xdr:rowOff>0</xdr:rowOff>
              </to>
            </anchor>
          </controlPr>
        </control>
      </mc:Choice>
    </mc:AlternateContent>
    <mc:AlternateContent xmlns:mc="http://schemas.openxmlformats.org/markup-compatibility/2006">
      <mc:Choice Requires="x14">
        <control shapeId="18461" r:id="rId21" name="obMemberRowFirst">
          <controlPr defaultSize="0" autoFill="0" autoLine="0" autoPict="0" macro="_xll.IBPXLClient.TechnicalCategory.ButtonActionInIBPClientFormattingSheet">
            <anchor moveWithCells="1">
              <from>
                <xdr:col>3</xdr:col>
                <xdr:colOff>485775</xdr:colOff>
                <xdr:row>22</xdr:row>
                <xdr:rowOff>57150</xdr:rowOff>
              </from>
              <to>
                <xdr:col>3</xdr:col>
                <xdr:colOff>2619375</xdr:colOff>
                <xdr:row>22</xdr:row>
                <xdr:rowOff>276225</xdr:rowOff>
              </to>
            </anchor>
          </controlPr>
        </control>
      </mc:Choice>
    </mc:AlternateContent>
    <mc:AlternateContent xmlns:mc="http://schemas.openxmlformats.org/markup-compatibility/2006">
      <mc:Choice Requires="x14">
        <control shapeId="18462" r:id="rId22" name="obMemberColumnFirst">
          <controlPr defaultSize="0" autoFill="0" autoLine="0" autoPict="0" macro="_xll.IBPXLClient.TechnicalCategory.ButtonActionInIBPClientFormattingSheet">
            <anchor moveWithCells="1">
              <from>
                <xdr:col>1</xdr:col>
                <xdr:colOff>209550</xdr:colOff>
                <xdr:row>22</xdr:row>
                <xdr:rowOff>57150</xdr:rowOff>
              </from>
              <to>
                <xdr:col>3</xdr:col>
                <xdr:colOff>447675</xdr:colOff>
                <xdr:row>22</xdr:row>
                <xdr:rowOff>276225</xdr:rowOff>
              </to>
            </anchor>
          </controlPr>
        </control>
      </mc:Choice>
    </mc:AlternateContent>
    <mc:AlternateContent xmlns:mc="http://schemas.openxmlformats.org/markup-compatibility/2006">
      <mc:Choice Requires="x14">
        <control shapeId="18464" r:id="rId23" name="cbApplyCalculatedMemberFirst">
          <controlPr defaultSize="0" autoFill="0" autoLine="0" autoPict="0">
            <anchor moveWithCells="1">
              <from>
                <xdr:col>2</xdr:col>
                <xdr:colOff>123825</xdr:colOff>
                <xdr:row>25</xdr:row>
                <xdr:rowOff>0</xdr:rowOff>
              </from>
              <to>
                <xdr:col>2</xdr:col>
                <xdr:colOff>1019175</xdr:colOff>
                <xdr:row>28</xdr:row>
                <xdr:rowOff>0</xdr:rowOff>
              </to>
            </anchor>
          </controlPr>
        </control>
      </mc:Choice>
    </mc:AlternateContent>
    <mc:AlternateContent xmlns:mc="http://schemas.openxmlformats.org/markup-compatibility/2006">
      <mc:Choice Requires="x14">
        <control shapeId="18465" r:id="rId24" name="cbApplyImputableMemberFirst">
          <controlPr defaultSize="0" autoFill="0" autoLine="0" autoPict="0">
            <anchor moveWithCells="1">
              <from>
                <xdr:col>2</xdr:col>
                <xdr:colOff>123825</xdr:colOff>
                <xdr:row>28</xdr:row>
                <xdr:rowOff>0</xdr:rowOff>
              </from>
              <to>
                <xdr:col>2</xdr:col>
                <xdr:colOff>1019175</xdr:colOff>
                <xdr:row>30</xdr:row>
                <xdr:rowOff>38100</xdr:rowOff>
              </to>
            </anchor>
          </controlPr>
        </control>
      </mc:Choice>
    </mc:AlternateContent>
    <mc:AlternateContent xmlns:mc="http://schemas.openxmlformats.org/markup-compatibility/2006">
      <mc:Choice Requires="x14">
        <control shapeId="18466" r:id="rId25" name="cbApplyLocalMemberFirst">
          <controlPr defaultSize="0" autoFill="0" autoLine="0" autoPict="0">
            <anchor moveWithCells="1">
              <from>
                <xdr:col>2</xdr:col>
                <xdr:colOff>123825</xdr:colOff>
                <xdr:row>31</xdr:row>
                <xdr:rowOff>0</xdr:rowOff>
              </from>
              <to>
                <xdr:col>2</xdr:col>
                <xdr:colOff>1019175</xdr:colOff>
                <xdr:row>33</xdr:row>
                <xdr:rowOff>38100</xdr:rowOff>
              </to>
            </anchor>
          </controlPr>
        </control>
      </mc:Choice>
    </mc:AlternateContent>
    <mc:AlternateContent xmlns:mc="http://schemas.openxmlformats.org/markup-compatibility/2006">
      <mc:Choice Requires="x14">
        <control shapeId="18467" r:id="rId26" name="cbApplyChangedMemberFirst">
          <controlPr defaultSize="0" autoFill="0" autoLine="0" autoPict="0">
            <anchor moveWithCells="1">
              <from>
                <xdr:col>2</xdr:col>
                <xdr:colOff>123825</xdr:colOff>
                <xdr:row>34</xdr:row>
                <xdr:rowOff>0</xdr:rowOff>
              </from>
              <to>
                <xdr:col>2</xdr:col>
                <xdr:colOff>1019175</xdr:colOff>
                <xdr:row>36</xdr:row>
                <xdr:rowOff>38100</xdr:rowOff>
              </to>
            </anchor>
          </controlPr>
        </control>
      </mc:Choice>
    </mc:AlternateContent>
    <mc:AlternateContent xmlns:mc="http://schemas.openxmlformats.org/markup-compatibility/2006">
      <mc:Choice Requires="x14">
        <control shapeId="18468" r:id="rId27" name="cbApplySpecificMemberFirst">
          <controlPr defaultSize="0" autoFill="0" autoLine="0" autoPict="0">
            <anchor moveWithCells="1">
              <from>
                <xdr:col>2</xdr:col>
                <xdr:colOff>123825</xdr:colOff>
                <xdr:row>37</xdr:row>
                <xdr:rowOff>47625</xdr:rowOff>
              </from>
              <to>
                <xdr:col>2</xdr:col>
                <xdr:colOff>1019175</xdr:colOff>
                <xdr:row>39</xdr:row>
                <xdr:rowOff>0</xdr:rowOff>
              </to>
            </anchor>
          </controlPr>
        </control>
      </mc:Choice>
    </mc:AlternateContent>
    <mc:AlternateContent xmlns:mc="http://schemas.openxmlformats.org/markup-compatibility/2006">
      <mc:Choice Requires="x14">
        <control shapeId="18469" r:id="rId28" name="AddMemberFirst">
          <controlPr defaultSize="0" print="0" autoFill="0" autoPict="0" macro="_xll.IBPXLClient.TechnicalCategory.ButtonActionInIBPClientFormattingSheet">
            <anchor moveWithCells="1" sizeWithCells="1">
              <from>
                <xdr:col>3</xdr:col>
                <xdr:colOff>57150</xdr:colOff>
                <xdr:row>174</xdr:row>
                <xdr:rowOff>19050</xdr:rowOff>
              </from>
              <to>
                <xdr:col>3</xdr:col>
                <xdr:colOff>4286250</xdr:colOff>
                <xdr:row>174</xdr:row>
                <xdr:rowOff>266700</xdr:rowOff>
              </to>
            </anchor>
          </controlPr>
        </control>
      </mc:Choice>
    </mc:AlternateContent>
    <mc:AlternateContent xmlns:mc="http://schemas.openxmlformats.org/markup-compatibility/2006">
      <mc:Choice Requires="x14">
        <control shapeId="18471" r:id="rId29" name="cbApplyCalculatedMemberSecond">
          <controlPr defaultSize="0" autoFill="0" autoLine="0" autoPict="0">
            <anchor moveWithCells="1">
              <from>
                <xdr:col>2</xdr:col>
                <xdr:colOff>123825</xdr:colOff>
                <xdr:row>178</xdr:row>
                <xdr:rowOff>0</xdr:rowOff>
              </from>
              <to>
                <xdr:col>2</xdr:col>
                <xdr:colOff>1019175</xdr:colOff>
                <xdr:row>180</xdr:row>
                <xdr:rowOff>47625</xdr:rowOff>
              </to>
            </anchor>
          </controlPr>
        </control>
      </mc:Choice>
    </mc:AlternateContent>
    <mc:AlternateContent xmlns:mc="http://schemas.openxmlformats.org/markup-compatibility/2006">
      <mc:Choice Requires="x14">
        <control shapeId="18472" r:id="rId30" name="cbApplyImputableMemberSecond">
          <controlPr defaultSize="0" autoFill="0" autoLine="0" autoPict="0">
            <anchor moveWithCells="1">
              <from>
                <xdr:col>2</xdr:col>
                <xdr:colOff>123825</xdr:colOff>
                <xdr:row>181</xdr:row>
                <xdr:rowOff>0</xdr:rowOff>
              </from>
              <to>
                <xdr:col>2</xdr:col>
                <xdr:colOff>1019175</xdr:colOff>
                <xdr:row>183</xdr:row>
                <xdr:rowOff>38100</xdr:rowOff>
              </to>
            </anchor>
          </controlPr>
        </control>
      </mc:Choice>
    </mc:AlternateContent>
    <mc:AlternateContent xmlns:mc="http://schemas.openxmlformats.org/markup-compatibility/2006">
      <mc:Choice Requires="x14">
        <control shapeId="18473" r:id="rId31" name="cbApplyLocalMemberSecond">
          <controlPr defaultSize="0" autoFill="0" autoLine="0" autoPict="0">
            <anchor moveWithCells="1">
              <from>
                <xdr:col>2</xdr:col>
                <xdr:colOff>123825</xdr:colOff>
                <xdr:row>184</xdr:row>
                <xdr:rowOff>0</xdr:rowOff>
              </from>
              <to>
                <xdr:col>2</xdr:col>
                <xdr:colOff>1019175</xdr:colOff>
                <xdr:row>186</xdr:row>
                <xdr:rowOff>38100</xdr:rowOff>
              </to>
            </anchor>
          </controlPr>
        </control>
      </mc:Choice>
    </mc:AlternateContent>
    <mc:AlternateContent xmlns:mc="http://schemas.openxmlformats.org/markup-compatibility/2006">
      <mc:Choice Requires="x14">
        <control shapeId="18474" r:id="rId32" name="cbApplyChangedMemberSecond">
          <controlPr defaultSize="0" autoFill="0" autoLine="0" autoPict="0">
            <anchor moveWithCells="1">
              <from>
                <xdr:col>2</xdr:col>
                <xdr:colOff>123825</xdr:colOff>
                <xdr:row>187</xdr:row>
                <xdr:rowOff>0</xdr:rowOff>
              </from>
              <to>
                <xdr:col>2</xdr:col>
                <xdr:colOff>1019175</xdr:colOff>
                <xdr:row>189</xdr:row>
                <xdr:rowOff>38100</xdr:rowOff>
              </to>
            </anchor>
          </controlPr>
        </control>
      </mc:Choice>
    </mc:AlternateContent>
    <mc:AlternateContent xmlns:mc="http://schemas.openxmlformats.org/markup-compatibility/2006">
      <mc:Choice Requires="x14">
        <control shapeId="18475" r:id="rId33" name="cbApplySpecificMemberSecond">
          <controlPr defaultSize="0" autoFill="0" autoLine="0" autoPict="0">
            <anchor moveWithCells="1">
              <from>
                <xdr:col>2</xdr:col>
                <xdr:colOff>123825</xdr:colOff>
                <xdr:row>190</xdr:row>
                <xdr:rowOff>47625</xdr:rowOff>
              </from>
              <to>
                <xdr:col>2</xdr:col>
                <xdr:colOff>1019175</xdr:colOff>
                <xdr:row>192</xdr:row>
                <xdr:rowOff>0</xdr:rowOff>
              </to>
            </anchor>
          </controlPr>
        </control>
      </mc:Choice>
    </mc:AlternateContent>
    <mc:AlternateContent xmlns:mc="http://schemas.openxmlformats.org/markup-compatibility/2006">
      <mc:Choice Requires="x14">
        <control shapeId="18476" r:id="rId34" name="AddMemberSecond">
          <controlPr defaultSize="0" print="0" autoFill="0" autoPict="0" macro="_xll.IBPXLClient.TechnicalCategory.ButtonActionInIBPClientFormattingSheet">
            <anchor moveWithCells="1" sizeWithCells="1">
              <from>
                <xdr:col>3</xdr:col>
                <xdr:colOff>57150</xdr:colOff>
                <xdr:row>213</xdr:row>
                <xdr:rowOff>19050</xdr:rowOff>
              </from>
              <to>
                <xdr:col>3</xdr:col>
                <xdr:colOff>4286250</xdr:colOff>
                <xdr:row>213</xdr:row>
                <xdr:rowOff>266700</xdr:rowOff>
              </to>
            </anchor>
          </controlPr>
        </control>
      </mc:Choice>
    </mc:AlternateContent>
    <mc:AlternateContent xmlns:mc="http://schemas.openxmlformats.org/markup-compatibility/2006">
      <mc:Choice Requires="x14">
        <control shapeId="18478" r:id="rId35" name="Group Box 46">
          <controlPr defaultSize="0" autoPict="0">
            <anchor moveWithCells="1">
              <from>
                <xdr:col>1</xdr:col>
                <xdr:colOff>0</xdr:colOff>
                <xdr:row>218</xdr:row>
                <xdr:rowOff>0</xdr:rowOff>
              </from>
              <to>
                <xdr:col>11</xdr:col>
                <xdr:colOff>1276350</xdr:colOff>
                <xdr:row>219</xdr:row>
                <xdr:rowOff>0</xdr:rowOff>
              </to>
            </anchor>
          </controlPr>
        </control>
      </mc:Choice>
    </mc:AlternateContent>
    <mc:AlternateContent xmlns:mc="http://schemas.openxmlformats.org/markup-compatibility/2006">
      <mc:Choice Requires="x14">
        <control shapeId="18479" r:id="rId36" name="obOddEvenRowFirst">
          <controlPr defaultSize="0" autoFill="0" autoLine="0" autoPict="0" macro="_xll.IBPXLClient.TechnicalCategory.ButtonActionInIBPClientFormattingSheet">
            <anchor moveWithCells="1">
              <from>
                <xdr:col>3</xdr:col>
                <xdr:colOff>485775</xdr:colOff>
                <xdr:row>218</xdr:row>
                <xdr:rowOff>66675</xdr:rowOff>
              </from>
              <to>
                <xdr:col>3</xdr:col>
                <xdr:colOff>2619375</xdr:colOff>
                <xdr:row>218</xdr:row>
                <xdr:rowOff>276225</xdr:rowOff>
              </to>
            </anchor>
          </controlPr>
        </control>
      </mc:Choice>
    </mc:AlternateContent>
    <mc:AlternateContent xmlns:mc="http://schemas.openxmlformats.org/markup-compatibility/2006">
      <mc:Choice Requires="x14">
        <control shapeId="18480" r:id="rId37" name="obOddEvenColumnFirst">
          <controlPr defaultSize="0" autoFill="0" autoLine="0" autoPict="0" macro="_xll.IBPXLClient.TechnicalCategory.ButtonActionInIBPClientFormattingSheet">
            <anchor moveWithCells="1">
              <from>
                <xdr:col>1</xdr:col>
                <xdr:colOff>209550</xdr:colOff>
                <xdr:row>218</xdr:row>
                <xdr:rowOff>66675</xdr:rowOff>
              </from>
              <to>
                <xdr:col>3</xdr:col>
                <xdr:colOff>447675</xdr:colOff>
                <xdr:row>218</xdr:row>
                <xdr:rowOff>276225</xdr:rowOff>
              </to>
            </anchor>
          </controlPr>
        </control>
      </mc:Choice>
    </mc:AlternateContent>
    <mc:AlternateContent xmlns:mc="http://schemas.openxmlformats.org/markup-compatibility/2006">
      <mc:Choice Requires="x14">
        <control shapeId="18481" r:id="rId38" name="cbUseOddFirst">
          <controlPr defaultSize="0" autoFill="0" autoLine="0" autoPict="0">
            <anchor moveWithCells="1">
              <from>
                <xdr:col>2</xdr:col>
                <xdr:colOff>123825</xdr:colOff>
                <xdr:row>221</xdr:row>
                <xdr:rowOff>0</xdr:rowOff>
              </from>
              <to>
                <xdr:col>2</xdr:col>
                <xdr:colOff>1019175</xdr:colOff>
                <xdr:row>223</xdr:row>
                <xdr:rowOff>38100</xdr:rowOff>
              </to>
            </anchor>
          </controlPr>
        </control>
      </mc:Choice>
    </mc:AlternateContent>
    <mc:AlternateContent xmlns:mc="http://schemas.openxmlformats.org/markup-compatibility/2006">
      <mc:Choice Requires="x14">
        <control shapeId="18482" r:id="rId39" name="cbUseEvenFirst">
          <controlPr defaultSize="0" autoFill="0" autoLine="0" autoPict="0">
            <anchor moveWithCells="1">
              <from>
                <xdr:col>2</xdr:col>
                <xdr:colOff>123825</xdr:colOff>
                <xdr:row>224</xdr:row>
                <xdr:rowOff>0</xdr:rowOff>
              </from>
              <to>
                <xdr:col>2</xdr:col>
                <xdr:colOff>1019175</xdr:colOff>
                <xdr:row>226</xdr:row>
                <xdr:rowOff>38100</xdr:rowOff>
              </to>
            </anchor>
          </controlPr>
        </control>
      </mc:Choice>
    </mc:AlternateContent>
    <mc:AlternateContent xmlns:mc="http://schemas.openxmlformats.org/markup-compatibility/2006">
      <mc:Choice Requires="x14">
        <control shapeId="18483" r:id="rId40" name="cbUseOddSecond">
          <controlPr defaultSize="0" autoFill="0" autoLine="0" autoPict="0">
            <anchor moveWithCells="1">
              <from>
                <xdr:col>2</xdr:col>
                <xdr:colOff>123825</xdr:colOff>
                <xdr:row>229</xdr:row>
                <xdr:rowOff>0</xdr:rowOff>
              </from>
              <to>
                <xdr:col>2</xdr:col>
                <xdr:colOff>1019175</xdr:colOff>
                <xdr:row>231</xdr:row>
                <xdr:rowOff>38100</xdr:rowOff>
              </to>
            </anchor>
          </controlPr>
        </control>
      </mc:Choice>
    </mc:AlternateContent>
    <mc:AlternateContent xmlns:mc="http://schemas.openxmlformats.org/markup-compatibility/2006">
      <mc:Choice Requires="x14">
        <control shapeId="18484" r:id="rId41" name="cbUseEvenSecond">
          <controlPr defaultSize="0" autoFill="0" autoLine="0" autoPict="0">
            <anchor moveWithCells="1">
              <from>
                <xdr:col>2</xdr:col>
                <xdr:colOff>123825</xdr:colOff>
                <xdr:row>231</xdr:row>
                <xdr:rowOff>47625</xdr:rowOff>
              </from>
              <to>
                <xdr:col>2</xdr:col>
                <xdr:colOff>1019175</xdr:colOff>
                <xdr:row>234</xdr:row>
                <xdr:rowOff>38100</xdr:rowOff>
              </to>
            </anchor>
          </controlPr>
        </control>
      </mc:Choice>
    </mc:AlternateContent>
    <mc:AlternateContent xmlns:mc="http://schemas.openxmlformats.org/markup-compatibility/2006">
      <mc:Choice Requires="x14">
        <control shapeId="18489" r:id="rId42" name="AddedMember1_1">
          <controlPr defaultSize="0" print="0" autoFill="0" autoPict="0" macro="_xll.IBPXLClient.TechnicalCategory.ButtonActionInIBPClientFormattingSheet">
            <anchor moveWithCells="1" sizeWithCells="1">
              <from>
                <xdr:col>11</xdr:col>
                <xdr:colOff>2438400</xdr:colOff>
                <xdr:row>39</xdr:row>
                <xdr:rowOff>47625</xdr:rowOff>
              </from>
              <to>
                <xdr:col>12</xdr:col>
                <xdr:colOff>676275</xdr:colOff>
                <xdr:row>40</xdr:row>
                <xdr:rowOff>190500</xdr:rowOff>
              </to>
            </anchor>
          </controlPr>
        </control>
      </mc:Choice>
    </mc:AlternateContent>
    <mc:AlternateContent xmlns:mc="http://schemas.openxmlformats.org/markup-compatibility/2006">
      <mc:Choice Requires="x14">
        <control shapeId="18490" r:id="rId43" name="ChangeMember1_1">
          <controlPr defaultSize="0" print="0" autoFill="0" autoPict="0" macro="_xll.IBPXLClient.TechnicalCategory.ButtonActionInIBPClientFormattingSheet">
            <anchor moveWithCells="1" sizeWithCells="1">
              <from>
                <xdr:col>13</xdr:col>
                <xdr:colOff>0</xdr:colOff>
                <xdr:row>39</xdr:row>
                <xdr:rowOff>47625</xdr:rowOff>
              </from>
              <to>
                <xdr:col>13</xdr:col>
                <xdr:colOff>685800</xdr:colOff>
                <xdr:row>40</xdr:row>
                <xdr:rowOff>190500</xdr:rowOff>
              </to>
            </anchor>
          </controlPr>
        </control>
      </mc:Choice>
    </mc:AlternateContent>
    <mc:AlternateContent xmlns:mc="http://schemas.openxmlformats.org/markup-compatibility/2006">
      <mc:Choice Requires="x14">
        <control shapeId="18491" r:id="rId44" name="UpMember1_1">
          <controlPr defaultSize="0" print="0" autoFill="0" autoPict="0" macro="_xll.IBPXLClient.TechnicalCategory.ButtonActionInIBPClientFormattingSheet">
            <anchor moveWithCells="1" sizeWithCells="1">
              <from>
                <xdr:col>14</xdr:col>
                <xdr:colOff>0</xdr:colOff>
                <xdr:row>39</xdr:row>
                <xdr:rowOff>47625</xdr:rowOff>
              </from>
              <to>
                <xdr:col>14</xdr:col>
                <xdr:colOff>685800</xdr:colOff>
                <xdr:row>40</xdr:row>
                <xdr:rowOff>190500</xdr:rowOff>
              </to>
            </anchor>
          </controlPr>
        </control>
      </mc:Choice>
    </mc:AlternateContent>
    <mc:AlternateContent xmlns:mc="http://schemas.openxmlformats.org/markup-compatibility/2006">
      <mc:Choice Requires="x14">
        <control shapeId="18492" r:id="rId45" name="DownMember1_1">
          <controlPr defaultSize="0" print="0" autoFill="0" autoPict="0" macro="_xll.IBPXLClient.TechnicalCategory.ButtonActionInIBPClientFormattingSheet">
            <anchor moveWithCells="1" sizeWithCells="1">
              <from>
                <xdr:col>14</xdr:col>
                <xdr:colOff>704850</xdr:colOff>
                <xdr:row>39</xdr:row>
                <xdr:rowOff>47625</xdr:rowOff>
              </from>
              <to>
                <xdr:col>15</xdr:col>
                <xdr:colOff>676275</xdr:colOff>
                <xdr:row>40</xdr:row>
                <xdr:rowOff>190500</xdr:rowOff>
              </to>
            </anchor>
          </controlPr>
        </control>
      </mc:Choice>
    </mc:AlternateContent>
    <mc:AlternateContent xmlns:mc="http://schemas.openxmlformats.org/markup-compatibility/2006">
      <mc:Choice Requires="x14">
        <control shapeId="18493" r:id="rId46" name="AddedMember1_2">
          <controlPr defaultSize="0" print="0" autoFill="0" autoPict="0" macro="_xll.IBPXLClient.TechnicalCategory.ButtonActionInIBPClientFormattingSheet">
            <anchor moveWithCells="1" sizeWithCells="1">
              <from>
                <xdr:col>11</xdr:col>
                <xdr:colOff>2438400</xdr:colOff>
                <xdr:row>42</xdr:row>
                <xdr:rowOff>47625</xdr:rowOff>
              </from>
              <to>
                <xdr:col>12</xdr:col>
                <xdr:colOff>676275</xdr:colOff>
                <xdr:row>44</xdr:row>
                <xdr:rowOff>0</xdr:rowOff>
              </to>
            </anchor>
          </controlPr>
        </control>
      </mc:Choice>
    </mc:AlternateContent>
    <mc:AlternateContent xmlns:mc="http://schemas.openxmlformats.org/markup-compatibility/2006">
      <mc:Choice Requires="x14">
        <control shapeId="18494" r:id="rId47" name="ChangeMember1_2">
          <controlPr defaultSize="0" print="0" autoFill="0" autoPict="0" macro="_xll.IBPXLClient.TechnicalCategory.ButtonActionInIBPClientFormattingSheet">
            <anchor moveWithCells="1" sizeWithCells="1">
              <from>
                <xdr:col>13</xdr:col>
                <xdr:colOff>0</xdr:colOff>
                <xdr:row>42</xdr:row>
                <xdr:rowOff>47625</xdr:rowOff>
              </from>
              <to>
                <xdr:col>13</xdr:col>
                <xdr:colOff>685800</xdr:colOff>
                <xdr:row>44</xdr:row>
                <xdr:rowOff>0</xdr:rowOff>
              </to>
            </anchor>
          </controlPr>
        </control>
      </mc:Choice>
    </mc:AlternateContent>
    <mc:AlternateContent xmlns:mc="http://schemas.openxmlformats.org/markup-compatibility/2006">
      <mc:Choice Requires="x14">
        <control shapeId="18495" r:id="rId48" name="UpMember1_2">
          <controlPr defaultSize="0" print="0" autoFill="0" autoPict="0" macro="_xll.IBPXLClient.TechnicalCategory.ButtonActionInIBPClientFormattingSheet">
            <anchor moveWithCells="1" sizeWithCells="1">
              <from>
                <xdr:col>14</xdr:col>
                <xdr:colOff>0</xdr:colOff>
                <xdr:row>42</xdr:row>
                <xdr:rowOff>47625</xdr:rowOff>
              </from>
              <to>
                <xdr:col>14</xdr:col>
                <xdr:colOff>685800</xdr:colOff>
                <xdr:row>44</xdr:row>
                <xdr:rowOff>0</xdr:rowOff>
              </to>
            </anchor>
          </controlPr>
        </control>
      </mc:Choice>
    </mc:AlternateContent>
    <mc:AlternateContent xmlns:mc="http://schemas.openxmlformats.org/markup-compatibility/2006">
      <mc:Choice Requires="x14">
        <control shapeId="18496" r:id="rId49" name="DownMember1_2">
          <controlPr defaultSize="0" print="0" autoFill="0" autoPict="0" macro="_xll.IBPXLClient.TechnicalCategory.ButtonActionInIBPClientFormattingSheet">
            <anchor moveWithCells="1" sizeWithCells="1">
              <from>
                <xdr:col>14</xdr:col>
                <xdr:colOff>704850</xdr:colOff>
                <xdr:row>42</xdr:row>
                <xdr:rowOff>47625</xdr:rowOff>
              </from>
              <to>
                <xdr:col>15</xdr:col>
                <xdr:colOff>676275</xdr:colOff>
                <xdr:row>44</xdr:row>
                <xdr:rowOff>0</xdr:rowOff>
              </to>
            </anchor>
          </controlPr>
        </control>
      </mc:Choice>
    </mc:AlternateContent>
    <mc:AlternateContent xmlns:mc="http://schemas.openxmlformats.org/markup-compatibility/2006">
      <mc:Choice Requires="x14">
        <control shapeId="18497" r:id="rId50" name="AddedMember1_3">
          <controlPr defaultSize="0" print="0" autoFill="0" autoPict="0" macro="_xll.IBPXLClient.TechnicalCategory.ButtonActionInIBPClientFormattingSheet">
            <anchor moveWithCells="1" sizeWithCells="1">
              <from>
                <xdr:col>11</xdr:col>
                <xdr:colOff>2438400</xdr:colOff>
                <xdr:row>46</xdr:row>
                <xdr:rowOff>0</xdr:rowOff>
              </from>
              <to>
                <xdr:col>12</xdr:col>
                <xdr:colOff>676275</xdr:colOff>
                <xdr:row>47</xdr:row>
                <xdr:rowOff>0</xdr:rowOff>
              </to>
            </anchor>
          </controlPr>
        </control>
      </mc:Choice>
    </mc:AlternateContent>
    <mc:AlternateContent xmlns:mc="http://schemas.openxmlformats.org/markup-compatibility/2006">
      <mc:Choice Requires="x14">
        <control shapeId="18498" r:id="rId51" name="ChangeMember1_3">
          <controlPr defaultSize="0" print="0" autoFill="0" autoPict="0" macro="_xll.IBPXLClient.TechnicalCategory.ButtonActionInIBPClientFormattingSheet">
            <anchor moveWithCells="1" sizeWithCells="1">
              <from>
                <xdr:col>13</xdr:col>
                <xdr:colOff>0</xdr:colOff>
                <xdr:row>46</xdr:row>
                <xdr:rowOff>0</xdr:rowOff>
              </from>
              <to>
                <xdr:col>13</xdr:col>
                <xdr:colOff>685800</xdr:colOff>
                <xdr:row>47</xdr:row>
                <xdr:rowOff>0</xdr:rowOff>
              </to>
            </anchor>
          </controlPr>
        </control>
      </mc:Choice>
    </mc:AlternateContent>
    <mc:AlternateContent xmlns:mc="http://schemas.openxmlformats.org/markup-compatibility/2006">
      <mc:Choice Requires="x14">
        <control shapeId="18499" r:id="rId52" name="UpMember1_3">
          <controlPr defaultSize="0" print="0" autoFill="0" autoPict="0" macro="_xll.IBPXLClient.TechnicalCategory.ButtonActionInIBPClientFormattingSheet">
            <anchor moveWithCells="1" sizeWithCells="1">
              <from>
                <xdr:col>14</xdr:col>
                <xdr:colOff>0</xdr:colOff>
                <xdr:row>46</xdr:row>
                <xdr:rowOff>0</xdr:rowOff>
              </from>
              <to>
                <xdr:col>14</xdr:col>
                <xdr:colOff>685800</xdr:colOff>
                <xdr:row>47</xdr:row>
                <xdr:rowOff>0</xdr:rowOff>
              </to>
            </anchor>
          </controlPr>
        </control>
      </mc:Choice>
    </mc:AlternateContent>
    <mc:AlternateContent xmlns:mc="http://schemas.openxmlformats.org/markup-compatibility/2006">
      <mc:Choice Requires="x14">
        <control shapeId="18500" r:id="rId53" name="DownMember1_3">
          <controlPr defaultSize="0" print="0" autoFill="0" autoPict="0" macro="_xll.IBPXLClient.TechnicalCategory.ButtonActionInIBPClientFormattingSheet">
            <anchor moveWithCells="1" sizeWithCells="1">
              <from>
                <xdr:col>14</xdr:col>
                <xdr:colOff>704850</xdr:colOff>
                <xdr:row>46</xdr:row>
                <xdr:rowOff>0</xdr:rowOff>
              </from>
              <to>
                <xdr:col>15</xdr:col>
                <xdr:colOff>676275</xdr:colOff>
                <xdr:row>47</xdr:row>
                <xdr:rowOff>0</xdr:rowOff>
              </to>
            </anchor>
          </controlPr>
        </control>
      </mc:Choice>
    </mc:AlternateContent>
    <mc:AlternateContent xmlns:mc="http://schemas.openxmlformats.org/markup-compatibility/2006">
      <mc:Choice Requires="x14">
        <control shapeId="18501" r:id="rId54" name="AddedMember1_4">
          <controlPr defaultSize="0" print="0" autoFill="0" autoPict="0" macro="_xll.IBPXLClient.TechnicalCategory.ButtonActionInIBPClientFormattingSheet">
            <anchor moveWithCells="1" sizeWithCells="1">
              <from>
                <xdr:col>11</xdr:col>
                <xdr:colOff>2438400</xdr:colOff>
                <xdr:row>49</xdr:row>
                <xdr:rowOff>0</xdr:rowOff>
              </from>
              <to>
                <xdr:col>12</xdr:col>
                <xdr:colOff>676275</xdr:colOff>
                <xdr:row>50</xdr:row>
                <xdr:rowOff>0</xdr:rowOff>
              </to>
            </anchor>
          </controlPr>
        </control>
      </mc:Choice>
    </mc:AlternateContent>
    <mc:AlternateContent xmlns:mc="http://schemas.openxmlformats.org/markup-compatibility/2006">
      <mc:Choice Requires="x14">
        <control shapeId="18502" r:id="rId55" name="ChangeMember1_4">
          <controlPr defaultSize="0" print="0" autoFill="0" autoPict="0" macro="_xll.IBPXLClient.TechnicalCategory.ButtonActionInIBPClientFormattingSheet">
            <anchor moveWithCells="1" sizeWithCells="1">
              <from>
                <xdr:col>13</xdr:col>
                <xdr:colOff>0</xdr:colOff>
                <xdr:row>49</xdr:row>
                <xdr:rowOff>0</xdr:rowOff>
              </from>
              <to>
                <xdr:col>13</xdr:col>
                <xdr:colOff>685800</xdr:colOff>
                <xdr:row>50</xdr:row>
                <xdr:rowOff>0</xdr:rowOff>
              </to>
            </anchor>
          </controlPr>
        </control>
      </mc:Choice>
    </mc:AlternateContent>
    <mc:AlternateContent xmlns:mc="http://schemas.openxmlformats.org/markup-compatibility/2006">
      <mc:Choice Requires="x14">
        <control shapeId="18503" r:id="rId56" name="UpMember1_4">
          <controlPr defaultSize="0" print="0" autoFill="0" autoPict="0" macro="_xll.IBPXLClient.TechnicalCategory.ButtonActionInIBPClientFormattingSheet">
            <anchor moveWithCells="1" sizeWithCells="1">
              <from>
                <xdr:col>14</xdr:col>
                <xdr:colOff>0</xdr:colOff>
                <xdr:row>49</xdr:row>
                <xdr:rowOff>0</xdr:rowOff>
              </from>
              <to>
                <xdr:col>14</xdr:col>
                <xdr:colOff>685800</xdr:colOff>
                <xdr:row>50</xdr:row>
                <xdr:rowOff>0</xdr:rowOff>
              </to>
            </anchor>
          </controlPr>
        </control>
      </mc:Choice>
    </mc:AlternateContent>
    <mc:AlternateContent xmlns:mc="http://schemas.openxmlformats.org/markup-compatibility/2006">
      <mc:Choice Requires="x14">
        <control shapeId="18504" r:id="rId57" name="DownMember1_4">
          <controlPr defaultSize="0" print="0" autoFill="0" autoPict="0" macro="_xll.IBPXLClient.TechnicalCategory.ButtonActionInIBPClientFormattingSheet">
            <anchor moveWithCells="1" sizeWithCells="1">
              <from>
                <xdr:col>14</xdr:col>
                <xdr:colOff>704850</xdr:colOff>
                <xdr:row>49</xdr:row>
                <xdr:rowOff>0</xdr:rowOff>
              </from>
              <to>
                <xdr:col>15</xdr:col>
                <xdr:colOff>676275</xdr:colOff>
                <xdr:row>50</xdr:row>
                <xdr:rowOff>0</xdr:rowOff>
              </to>
            </anchor>
          </controlPr>
        </control>
      </mc:Choice>
    </mc:AlternateContent>
    <mc:AlternateContent xmlns:mc="http://schemas.openxmlformats.org/markup-compatibility/2006">
      <mc:Choice Requires="x14">
        <control shapeId="18505" r:id="rId58" name="AddedMember1_5">
          <controlPr defaultSize="0" print="0" autoFill="0" autoPict="0" macro="_xll.IBPXLClient.TechnicalCategory.ButtonActionInIBPClientFormattingSheet">
            <anchor moveWithCells="1" sizeWithCells="1">
              <from>
                <xdr:col>11</xdr:col>
                <xdr:colOff>2438400</xdr:colOff>
                <xdr:row>52</xdr:row>
                <xdr:rowOff>0</xdr:rowOff>
              </from>
              <to>
                <xdr:col>12</xdr:col>
                <xdr:colOff>676275</xdr:colOff>
                <xdr:row>53</xdr:row>
                <xdr:rowOff>9525</xdr:rowOff>
              </to>
            </anchor>
          </controlPr>
        </control>
      </mc:Choice>
    </mc:AlternateContent>
    <mc:AlternateContent xmlns:mc="http://schemas.openxmlformats.org/markup-compatibility/2006">
      <mc:Choice Requires="x14">
        <control shapeId="18506" r:id="rId59" name="ChangeMember1_5">
          <controlPr defaultSize="0" print="0" autoFill="0" autoPict="0" macro="_xll.IBPXLClient.TechnicalCategory.ButtonActionInIBPClientFormattingSheet">
            <anchor moveWithCells="1" sizeWithCells="1">
              <from>
                <xdr:col>13</xdr:col>
                <xdr:colOff>0</xdr:colOff>
                <xdr:row>52</xdr:row>
                <xdr:rowOff>0</xdr:rowOff>
              </from>
              <to>
                <xdr:col>13</xdr:col>
                <xdr:colOff>685800</xdr:colOff>
                <xdr:row>53</xdr:row>
                <xdr:rowOff>9525</xdr:rowOff>
              </to>
            </anchor>
          </controlPr>
        </control>
      </mc:Choice>
    </mc:AlternateContent>
    <mc:AlternateContent xmlns:mc="http://schemas.openxmlformats.org/markup-compatibility/2006">
      <mc:Choice Requires="x14">
        <control shapeId="18507" r:id="rId60" name="UpMember1_5">
          <controlPr defaultSize="0" print="0" autoFill="0" autoPict="0" macro="_xll.IBPXLClient.TechnicalCategory.ButtonActionInIBPClientFormattingSheet">
            <anchor moveWithCells="1" sizeWithCells="1">
              <from>
                <xdr:col>14</xdr:col>
                <xdr:colOff>0</xdr:colOff>
                <xdr:row>52</xdr:row>
                <xdr:rowOff>0</xdr:rowOff>
              </from>
              <to>
                <xdr:col>14</xdr:col>
                <xdr:colOff>685800</xdr:colOff>
                <xdr:row>53</xdr:row>
                <xdr:rowOff>9525</xdr:rowOff>
              </to>
            </anchor>
          </controlPr>
        </control>
      </mc:Choice>
    </mc:AlternateContent>
    <mc:AlternateContent xmlns:mc="http://schemas.openxmlformats.org/markup-compatibility/2006">
      <mc:Choice Requires="x14">
        <control shapeId="18508" r:id="rId61" name="DownMember1_5">
          <controlPr defaultSize="0" print="0" autoFill="0" autoPict="0" macro="_xll.IBPXLClient.TechnicalCategory.ButtonActionInIBPClientFormattingSheet">
            <anchor moveWithCells="1" sizeWithCells="1">
              <from>
                <xdr:col>14</xdr:col>
                <xdr:colOff>704850</xdr:colOff>
                <xdr:row>52</xdr:row>
                <xdr:rowOff>0</xdr:rowOff>
              </from>
              <to>
                <xdr:col>15</xdr:col>
                <xdr:colOff>676275</xdr:colOff>
                <xdr:row>53</xdr:row>
                <xdr:rowOff>9525</xdr:rowOff>
              </to>
            </anchor>
          </controlPr>
        </control>
      </mc:Choice>
    </mc:AlternateContent>
    <mc:AlternateContent xmlns:mc="http://schemas.openxmlformats.org/markup-compatibility/2006">
      <mc:Choice Requires="x14">
        <control shapeId="18509" r:id="rId62" name="AddedMember1_6">
          <controlPr defaultSize="0" print="0" autoFill="0" autoPict="0" macro="_xll.IBPXLClient.TechnicalCategory.ButtonActionInIBPClientFormattingSheet">
            <anchor moveWithCells="1" sizeWithCells="1">
              <from>
                <xdr:col>11</xdr:col>
                <xdr:colOff>2438400</xdr:colOff>
                <xdr:row>54</xdr:row>
                <xdr:rowOff>47625</xdr:rowOff>
              </from>
              <to>
                <xdr:col>12</xdr:col>
                <xdr:colOff>676275</xdr:colOff>
                <xdr:row>56</xdr:row>
                <xdr:rowOff>0</xdr:rowOff>
              </to>
            </anchor>
          </controlPr>
        </control>
      </mc:Choice>
    </mc:AlternateContent>
    <mc:AlternateContent xmlns:mc="http://schemas.openxmlformats.org/markup-compatibility/2006">
      <mc:Choice Requires="x14">
        <control shapeId="18510" r:id="rId63" name="ChangeMember1_6">
          <controlPr defaultSize="0" print="0" autoFill="0" autoPict="0" macro="_xll.IBPXLClient.TechnicalCategory.ButtonActionInIBPClientFormattingSheet">
            <anchor moveWithCells="1" sizeWithCells="1">
              <from>
                <xdr:col>13</xdr:col>
                <xdr:colOff>0</xdr:colOff>
                <xdr:row>54</xdr:row>
                <xdr:rowOff>47625</xdr:rowOff>
              </from>
              <to>
                <xdr:col>13</xdr:col>
                <xdr:colOff>685800</xdr:colOff>
                <xdr:row>56</xdr:row>
                <xdr:rowOff>0</xdr:rowOff>
              </to>
            </anchor>
          </controlPr>
        </control>
      </mc:Choice>
    </mc:AlternateContent>
    <mc:AlternateContent xmlns:mc="http://schemas.openxmlformats.org/markup-compatibility/2006">
      <mc:Choice Requires="x14">
        <control shapeId="18511" r:id="rId64" name="UpMember1_6">
          <controlPr defaultSize="0" print="0" autoFill="0" autoPict="0" macro="_xll.IBPXLClient.TechnicalCategory.ButtonActionInIBPClientFormattingSheet">
            <anchor moveWithCells="1" sizeWithCells="1">
              <from>
                <xdr:col>14</xdr:col>
                <xdr:colOff>0</xdr:colOff>
                <xdr:row>54</xdr:row>
                <xdr:rowOff>47625</xdr:rowOff>
              </from>
              <to>
                <xdr:col>14</xdr:col>
                <xdr:colOff>685800</xdr:colOff>
                <xdr:row>56</xdr:row>
                <xdr:rowOff>0</xdr:rowOff>
              </to>
            </anchor>
          </controlPr>
        </control>
      </mc:Choice>
    </mc:AlternateContent>
    <mc:AlternateContent xmlns:mc="http://schemas.openxmlformats.org/markup-compatibility/2006">
      <mc:Choice Requires="x14">
        <control shapeId="18512" r:id="rId65" name="DownMember1_6">
          <controlPr defaultSize="0" print="0" autoFill="0" autoPict="0" macro="_xll.IBPXLClient.TechnicalCategory.ButtonActionInIBPClientFormattingSheet">
            <anchor moveWithCells="1" sizeWithCells="1">
              <from>
                <xdr:col>14</xdr:col>
                <xdr:colOff>704850</xdr:colOff>
                <xdr:row>54</xdr:row>
                <xdr:rowOff>47625</xdr:rowOff>
              </from>
              <to>
                <xdr:col>15</xdr:col>
                <xdr:colOff>676275</xdr:colOff>
                <xdr:row>56</xdr:row>
                <xdr:rowOff>0</xdr:rowOff>
              </to>
            </anchor>
          </controlPr>
        </control>
      </mc:Choice>
    </mc:AlternateContent>
    <mc:AlternateContent xmlns:mc="http://schemas.openxmlformats.org/markup-compatibility/2006">
      <mc:Choice Requires="x14">
        <control shapeId="18513" r:id="rId66" name="AddedMember1_7">
          <controlPr defaultSize="0" print="0" autoFill="0" autoPict="0" macro="_xll.IBPXLClient.TechnicalCategory.ButtonActionInIBPClientFormattingSheet">
            <anchor moveWithCells="1" sizeWithCells="1">
              <from>
                <xdr:col>11</xdr:col>
                <xdr:colOff>2438400</xdr:colOff>
                <xdr:row>58</xdr:row>
                <xdr:rowOff>0</xdr:rowOff>
              </from>
              <to>
                <xdr:col>12</xdr:col>
                <xdr:colOff>676275</xdr:colOff>
                <xdr:row>59</xdr:row>
                <xdr:rowOff>0</xdr:rowOff>
              </to>
            </anchor>
          </controlPr>
        </control>
      </mc:Choice>
    </mc:AlternateContent>
    <mc:AlternateContent xmlns:mc="http://schemas.openxmlformats.org/markup-compatibility/2006">
      <mc:Choice Requires="x14">
        <control shapeId="18514" r:id="rId67" name="ChangeMember1_7">
          <controlPr defaultSize="0" print="0" autoFill="0" autoPict="0" macro="_xll.IBPXLClient.TechnicalCategory.ButtonActionInIBPClientFormattingSheet">
            <anchor moveWithCells="1" sizeWithCells="1">
              <from>
                <xdr:col>13</xdr:col>
                <xdr:colOff>0</xdr:colOff>
                <xdr:row>58</xdr:row>
                <xdr:rowOff>0</xdr:rowOff>
              </from>
              <to>
                <xdr:col>13</xdr:col>
                <xdr:colOff>685800</xdr:colOff>
                <xdr:row>59</xdr:row>
                <xdr:rowOff>0</xdr:rowOff>
              </to>
            </anchor>
          </controlPr>
        </control>
      </mc:Choice>
    </mc:AlternateContent>
    <mc:AlternateContent xmlns:mc="http://schemas.openxmlformats.org/markup-compatibility/2006">
      <mc:Choice Requires="x14">
        <control shapeId="18515" r:id="rId68" name="UpMember1_7">
          <controlPr defaultSize="0" print="0" autoFill="0" autoPict="0" macro="_xll.IBPXLClient.TechnicalCategory.ButtonActionInIBPClientFormattingSheet">
            <anchor moveWithCells="1" sizeWithCells="1">
              <from>
                <xdr:col>14</xdr:col>
                <xdr:colOff>0</xdr:colOff>
                <xdr:row>58</xdr:row>
                <xdr:rowOff>0</xdr:rowOff>
              </from>
              <to>
                <xdr:col>14</xdr:col>
                <xdr:colOff>685800</xdr:colOff>
                <xdr:row>59</xdr:row>
                <xdr:rowOff>0</xdr:rowOff>
              </to>
            </anchor>
          </controlPr>
        </control>
      </mc:Choice>
    </mc:AlternateContent>
    <mc:AlternateContent xmlns:mc="http://schemas.openxmlformats.org/markup-compatibility/2006">
      <mc:Choice Requires="x14">
        <control shapeId="18516" r:id="rId69" name="DownMember1_7">
          <controlPr defaultSize="0" print="0" autoFill="0" autoPict="0" macro="_xll.IBPXLClient.TechnicalCategory.ButtonActionInIBPClientFormattingSheet">
            <anchor moveWithCells="1" sizeWithCells="1">
              <from>
                <xdr:col>14</xdr:col>
                <xdr:colOff>704850</xdr:colOff>
                <xdr:row>58</xdr:row>
                <xdr:rowOff>0</xdr:rowOff>
              </from>
              <to>
                <xdr:col>15</xdr:col>
                <xdr:colOff>676275</xdr:colOff>
                <xdr:row>59</xdr:row>
                <xdr:rowOff>0</xdr:rowOff>
              </to>
            </anchor>
          </controlPr>
        </control>
      </mc:Choice>
    </mc:AlternateContent>
    <mc:AlternateContent xmlns:mc="http://schemas.openxmlformats.org/markup-compatibility/2006">
      <mc:Choice Requires="x14">
        <control shapeId="18517" r:id="rId70" name="AddedMember1_8">
          <controlPr defaultSize="0" print="0" autoFill="0" autoPict="0" macro="_xll.IBPXLClient.TechnicalCategory.ButtonActionInIBPClientFormattingSheet">
            <anchor moveWithCells="1" sizeWithCells="1">
              <from>
                <xdr:col>11</xdr:col>
                <xdr:colOff>2438400</xdr:colOff>
                <xdr:row>61</xdr:row>
                <xdr:rowOff>0</xdr:rowOff>
              </from>
              <to>
                <xdr:col>12</xdr:col>
                <xdr:colOff>676275</xdr:colOff>
                <xdr:row>62</xdr:row>
                <xdr:rowOff>0</xdr:rowOff>
              </to>
            </anchor>
          </controlPr>
        </control>
      </mc:Choice>
    </mc:AlternateContent>
    <mc:AlternateContent xmlns:mc="http://schemas.openxmlformats.org/markup-compatibility/2006">
      <mc:Choice Requires="x14">
        <control shapeId="18518" r:id="rId71" name="ChangeMember1_8">
          <controlPr defaultSize="0" print="0" autoFill="0" autoPict="0" macro="_xll.IBPXLClient.TechnicalCategory.ButtonActionInIBPClientFormattingSheet">
            <anchor moveWithCells="1" sizeWithCells="1">
              <from>
                <xdr:col>13</xdr:col>
                <xdr:colOff>0</xdr:colOff>
                <xdr:row>61</xdr:row>
                <xdr:rowOff>0</xdr:rowOff>
              </from>
              <to>
                <xdr:col>13</xdr:col>
                <xdr:colOff>685800</xdr:colOff>
                <xdr:row>62</xdr:row>
                <xdr:rowOff>0</xdr:rowOff>
              </to>
            </anchor>
          </controlPr>
        </control>
      </mc:Choice>
    </mc:AlternateContent>
    <mc:AlternateContent xmlns:mc="http://schemas.openxmlformats.org/markup-compatibility/2006">
      <mc:Choice Requires="x14">
        <control shapeId="18519" r:id="rId72" name="UpMember1_8">
          <controlPr defaultSize="0" print="0" autoFill="0" autoPict="0" macro="_xll.IBPXLClient.TechnicalCategory.ButtonActionInIBPClientFormattingSheet">
            <anchor moveWithCells="1" sizeWithCells="1">
              <from>
                <xdr:col>14</xdr:col>
                <xdr:colOff>0</xdr:colOff>
                <xdr:row>61</xdr:row>
                <xdr:rowOff>0</xdr:rowOff>
              </from>
              <to>
                <xdr:col>14</xdr:col>
                <xdr:colOff>685800</xdr:colOff>
                <xdr:row>62</xdr:row>
                <xdr:rowOff>0</xdr:rowOff>
              </to>
            </anchor>
          </controlPr>
        </control>
      </mc:Choice>
    </mc:AlternateContent>
    <mc:AlternateContent xmlns:mc="http://schemas.openxmlformats.org/markup-compatibility/2006">
      <mc:Choice Requires="x14">
        <control shapeId="18520" r:id="rId73" name="DownMember1_8">
          <controlPr defaultSize="0" print="0" autoFill="0" autoPict="0" macro="_xll.IBPXLClient.TechnicalCategory.ButtonActionInIBPClientFormattingSheet">
            <anchor moveWithCells="1" sizeWithCells="1">
              <from>
                <xdr:col>14</xdr:col>
                <xdr:colOff>704850</xdr:colOff>
                <xdr:row>61</xdr:row>
                <xdr:rowOff>0</xdr:rowOff>
              </from>
              <to>
                <xdr:col>15</xdr:col>
                <xdr:colOff>676275</xdr:colOff>
                <xdr:row>62</xdr:row>
                <xdr:rowOff>0</xdr:rowOff>
              </to>
            </anchor>
          </controlPr>
        </control>
      </mc:Choice>
    </mc:AlternateContent>
    <mc:AlternateContent xmlns:mc="http://schemas.openxmlformats.org/markup-compatibility/2006">
      <mc:Choice Requires="x14">
        <control shapeId="18521" r:id="rId74" name="AddedMember1_9">
          <controlPr defaultSize="0" print="0" autoFill="0" autoPict="0" macro="_xll.IBPXLClient.TechnicalCategory.ButtonActionInIBPClientFormattingSheet">
            <anchor moveWithCells="1" sizeWithCells="1">
              <from>
                <xdr:col>11</xdr:col>
                <xdr:colOff>2438400</xdr:colOff>
                <xdr:row>63</xdr:row>
                <xdr:rowOff>47625</xdr:rowOff>
              </from>
              <to>
                <xdr:col>12</xdr:col>
                <xdr:colOff>676275</xdr:colOff>
                <xdr:row>64</xdr:row>
                <xdr:rowOff>190500</xdr:rowOff>
              </to>
            </anchor>
          </controlPr>
        </control>
      </mc:Choice>
    </mc:AlternateContent>
    <mc:AlternateContent xmlns:mc="http://schemas.openxmlformats.org/markup-compatibility/2006">
      <mc:Choice Requires="x14">
        <control shapeId="18522" r:id="rId75" name="ChangeMember1_9">
          <controlPr defaultSize="0" print="0" autoFill="0" autoPict="0" macro="_xll.IBPXLClient.TechnicalCategory.ButtonActionInIBPClientFormattingSheet">
            <anchor moveWithCells="1" sizeWithCells="1">
              <from>
                <xdr:col>13</xdr:col>
                <xdr:colOff>0</xdr:colOff>
                <xdr:row>63</xdr:row>
                <xdr:rowOff>47625</xdr:rowOff>
              </from>
              <to>
                <xdr:col>13</xdr:col>
                <xdr:colOff>685800</xdr:colOff>
                <xdr:row>64</xdr:row>
                <xdr:rowOff>190500</xdr:rowOff>
              </to>
            </anchor>
          </controlPr>
        </control>
      </mc:Choice>
    </mc:AlternateContent>
    <mc:AlternateContent xmlns:mc="http://schemas.openxmlformats.org/markup-compatibility/2006">
      <mc:Choice Requires="x14">
        <control shapeId="18523" r:id="rId76" name="UpMember1_9">
          <controlPr defaultSize="0" print="0" autoFill="0" autoPict="0" macro="_xll.IBPXLClient.TechnicalCategory.ButtonActionInIBPClientFormattingSheet">
            <anchor moveWithCells="1" sizeWithCells="1">
              <from>
                <xdr:col>14</xdr:col>
                <xdr:colOff>0</xdr:colOff>
                <xdr:row>63</xdr:row>
                <xdr:rowOff>47625</xdr:rowOff>
              </from>
              <to>
                <xdr:col>14</xdr:col>
                <xdr:colOff>685800</xdr:colOff>
                <xdr:row>64</xdr:row>
                <xdr:rowOff>190500</xdr:rowOff>
              </to>
            </anchor>
          </controlPr>
        </control>
      </mc:Choice>
    </mc:AlternateContent>
    <mc:AlternateContent xmlns:mc="http://schemas.openxmlformats.org/markup-compatibility/2006">
      <mc:Choice Requires="x14">
        <control shapeId="18524" r:id="rId77" name="DownMember1_9">
          <controlPr defaultSize="0" print="0" autoFill="0" autoPict="0" macro="_xll.IBPXLClient.TechnicalCategory.ButtonActionInIBPClientFormattingSheet">
            <anchor moveWithCells="1" sizeWithCells="1">
              <from>
                <xdr:col>14</xdr:col>
                <xdr:colOff>704850</xdr:colOff>
                <xdr:row>63</xdr:row>
                <xdr:rowOff>47625</xdr:rowOff>
              </from>
              <to>
                <xdr:col>15</xdr:col>
                <xdr:colOff>676275</xdr:colOff>
                <xdr:row>64</xdr:row>
                <xdr:rowOff>190500</xdr:rowOff>
              </to>
            </anchor>
          </controlPr>
        </control>
      </mc:Choice>
    </mc:AlternateContent>
    <mc:AlternateContent xmlns:mc="http://schemas.openxmlformats.org/markup-compatibility/2006">
      <mc:Choice Requires="x14">
        <control shapeId="18525" r:id="rId78" name="AddedMember1_10">
          <controlPr defaultSize="0" print="0" autoFill="0" autoPict="0" macro="_xll.IBPXLClient.TechnicalCategory.ButtonActionInIBPClientFormattingSheet">
            <anchor moveWithCells="1" sizeWithCells="1">
              <from>
                <xdr:col>11</xdr:col>
                <xdr:colOff>2438400</xdr:colOff>
                <xdr:row>66</xdr:row>
                <xdr:rowOff>47625</xdr:rowOff>
              </from>
              <to>
                <xdr:col>12</xdr:col>
                <xdr:colOff>676275</xdr:colOff>
                <xdr:row>68</xdr:row>
                <xdr:rowOff>0</xdr:rowOff>
              </to>
            </anchor>
          </controlPr>
        </control>
      </mc:Choice>
    </mc:AlternateContent>
    <mc:AlternateContent xmlns:mc="http://schemas.openxmlformats.org/markup-compatibility/2006">
      <mc:Choice Requires="x14">
        <control shapeId="18526" r:id="rId79" name="ChangeMember1_10">
          <controlPr defaultSize="0" print="0" autoFill="0" autoPict="0" macro="_xll.IBPXLClient.TechnicalCategory.ButtonActionInIBPClientFormattingSheet">
            <anchor moveWithCells="1" sizeWithCells="1">
              <from>
                <xdr:col>13</xdr:col>
                <xdr:colOff>0</xdr:colOff>
                <xdr:row>66</xdr:row>
                <xdr:rowOff>47625</xdr:rowOff>
              </from>
              <to>
                <xdr:col>13</xdr:col>
                <xdr:colOff>685800</xdr:colOff>
                <xdr:row>68</xdr:row>
                <xdr:rowOff>0</xdr:rowOff>
              </to>
            </anchor>
          </controlPr>
        </control>
      </mc:Choice>
    </mc:AlternateContent>
    <mc:AlternateContent xmlns:mc="http://schemas.openxmlformats.org/markup-compatibility/2006">
      <mc:Choice Requires="x14">
        <control shapeId="18527" r:id="rId80" name="UpMember1_10">
          <controlPr defaultSize="0" print="0" autoFill="0" autoPict="0" macro="_xll.IBPXLClient.TechnicalCategory.ButtonActionInIBPClientFormattingSheet">
            <anchor moveWithCells="1" sizeWithCells="1">
              <from>
                <xdr:col>14</xdr:col>
                <xdr:colOff>0</xdr:colOff>
                <xdr:row>66</xdr:row>
                <xdr:rowOff>47625</xdr:rowOff>
              </from>
              <to>
                <xdr:col>14</xdr:col>
                <xdr:colOff>685800</xdr:colOff>
                <xdr:row>68</xdr:row>
                <xdr:rowOff>0</xdr:rowOff>
              </to>
            </anchor>
          </controlPr>
        </control>
      </mc:Choice>
    </mc:AlternateContent>
    <mc:AlternateContent xmlns:mc="http://schemas.openxmlformats.org/markup-compatibility/2006">
      <mc:Choice Requires="x14">
        <control shapeId="18528" r:id="rId81" name="DownMember1_10">
          <controlPr defaultSize="0" print="0" autoFill="0" autoPict="0" macro="_xll.IBPXLClient.TechnicalCategory.ButtonActionInIBPClientFormattingSheet">
            <anchor moveWithCells="1" sizeWithCells="1">
              <from>
                <xdr:col>14</xdr:col>
                <xdr:colOff>704850</xdr:colOff>
                <xdr:row>66</xdr:row>
                <xdr:rowOff>47625</xdr:rowOff>
              </from>
              <to>
                <xdr:col>15</xdr:col>
                <xdr:colOff>676275</xdr:colOff>
                <xdr:row>68</xdr:row>
                <xdr:rowOff>0</xdr:rowOff>
              </to>
            </anchor>
          </controlPr>
        </control>
      </mc:Choice>
    </mc:AlternateContent>
    <mc:AlternateContent xmlns:mc="http://schemas.openxmlformats.org/markup-compatibility/2006">
      <mc:Choice Requires="x14">
        <control shapeId="18529" r:id="rId82" name="AddedMember1_11">
          <controlPr defaultSize="0" print="0" autoFill="0" autoPict="0" macro="_xll.IBPXLClient.TechnicalCategory.ButtonActionInIBPClientFormattingSheet">
            <anchor moveWithCells="1" sizeWithCells="1">
              <from>
                <xdr:col>11</xdr:col>
                <xdr:colOff>2438400</xdr:colOff>
                <xdr:row>70</xdr:row>
                <xdr:rowOff>0</xdr:rowOff>
              </from>
              <to>
                <xdr:col>12</xdr:col>
                <xdr:colOff>676275</xdr:colOff>
                <xdr:row>71</xdr:row>
                <xdr:rowOff>0</xdr:rowOff>
              </to>
            </anchor>
          </controlPr>
        </control>
      </mc:Choice>
    </mc:AlternateContent>
    <mc:AlternateContent xmlns:mc="http://schemas.openxmlformats.org/markup-compatibility/2006">
      <mc:Choice Requires="x14">
        <control shapeId="18530" r:id="rId83" name="ChangeMember1_11">
          <controlPr defaultSize="0" print="0" autoFill="0" autoPict="0" macro="_xll.IBPXLClient.TechnicalCategory.ButtonActionInIBPClientFormattingSheet">
            <anchor moveWithCells="1" sizeWithCells="1">
              <from>
                <xdr:col>13</xdr:col>
                <xdr:colOff>0</xdr:colOff>
                <xdr:row>70</xdr:row>
                <xdr:rowOff>0</xdr:rowOff>
              </from>
              <to>
                <xdr:col>13</xdr:col>
                <xdr:colOff>685800</xdr:colOff>
                <xdr:row>71</xdr:row>
                <xdr:rowOff>0</xdr:rowOff>
              </to>
            </anchor>
          </controlPr>
        </control>
      </mc:Choice>
    </mc:AlternateContent>
    <mc:AlternateContent xmlns:mc="http://schemas.openxmlformats.org/markup-compatibility/2006">
      <mc:Choice Requires="x14">
        <control shapeId="18531" r:id="rId84" name="UpMember1_11">
          <controlPr defaultSize="0" print="0" autoFill="0" autoPict="0" macro="_xll.IBPXLClient.TechnicalCategory.ButtonActionInIBPClientFormattingSheet">
            <anchor moveWithCells="1" sizeWithCells="1">
              <from>
                <xdr:col>14</xdr:col>
                <xdr:colOff>0</xdr:colOff>
                <xdr:row>70</xdr:row>
                <xdr:rowOff>0</xdr:rowOff>
              </from>
              <to>
                <xdr:col>14</xdr:col>
                <xdr:colOff>685800</xdr:colOff>
                <xdr:row>71</xdr:row>
                <xdr:rowOff>0</xdr:rowOff>
              </to>
            </anchor>
          </controlPr>
        </control>
      </mc:Choice>
    </mc:AlternateContent>
    <mc:AlternateContent xmlns:mc="http://schemas.openxmlformats.org/markup-compatibility/2006">
      <mc:Choice Requires="x14">
        <control shapeId="18532" r:id="rId85" name="DownMember1_11">
          <controlPr defaultSize="0" print="0" autoFill="0" autoPict="0" macro="_xll.IBPXLClient.TechnicalCategory.ButtonActionInIBPClientFormattingSheet">
            <anchor moveWithCells="1" sizeWithCells="1">
              <from>
                <xdr:col>14</xdr:col>
                <xdr:colOff>704850</xdr:colOff>
                <xdr:row>70</xdr:row>
                <xdr:rowOff>0</xdr:rowOff>
              </from>
              <to>
                <xdr:col>15</xdr:col>
                <xdr:colOff>676275</xdr:colOff>
                <xdr:row>71</xdr:row>
                <xdr:rowOff>0</xdr:rowOff>
              </to>
            </anchor>
          </controlPr>
        </control>
      </mc:Choice>
    </mc:AlternateContent>
    <mc:AlternateContent xmlns:mc="http://schemas.openxmlformats.org/markup-compatibility/2006">
      <mc:Choice Requires="x14">
        <control shapeId="18533" r:id="rId86" name="AddedMember1_12">
          <controlPr defaultSize="0" print="0" autoFill="0" autoPict="0" macro="_xll.IBPXLClient.TechnicalCategory.ButtonActionInIBPClientFormattingSheet">
            <anchor moveWithCells="1" sizeWithCells="1">
              <from>
                <xdr:col>11</xdr:col>
                <xdr:colOff>2438400</xdr:colOff>
                <xdr:row>73</xdr:row>
                <xdr:rowOff>0</xdr:rowOff>
              </from>
              <to>
                <xdr:col>12</xdr:col>
                <xdr:colOff>676275</xdr:colOff>
                <xdr:row>74</xdr:row>
                <xdr:rowOff>0</xdr:rowOff>
              </to>
            </anchor>
          </controlPr>
        </control>
      </mc:Choice>
    </mc:AlternateContent>
    <mc:AlternateContent xmlns:mc="http://schemas.openxmlformats.org/markup-compatibility/2006">
      <mc:Choice Requires="x14">
        <control shapeId="18534" r:id="rId87" name="ChangeMember1_12">
          <controlPr defaultSize="0" print="0" autoFill="0" autoPict="0" macro="_xll.IBPXLClient.TechnicalCategory.ButtonActionInIBPClientFormattingSheet">
            <anchor moveWithCells="1" sizeWithCells="1">
              <from>
                <xdr:col>13</xdr:col>
                <xdr:colOff>0</xdr:colOff>
                <xdr:row>73</xdr:row>
                <xdr:rowOff>0</xdr:rowOff>
              </from>
              <to>
                <xdr:col>13</xdr:col>
                <xdr:colOff>685800</xdr:colOff>
                <xdr:row>74</xdr:row>
                <xdr:rowOff>0</xdr:rowOff>
              </to>
            </anchor>
          </controlPr>
        </control>
      </mc:Choice>
    </mc:AlternateContent>
    <mc:AlternateContent xmlns:mc="http://schemas.openxmlformats.org/markup-compatibility/2006">
      <mc:Choice Requires="x14">
        <control shapeId="18535" r:id="rId88" name="UpMember1_12">
          <controlPr defaultSize="0" print="0" autoFill="0" autoPict="0" macro="_xll.IBPXLClient.TechnicalCategory.ButtonActionInIBPClientFormattingSheet">
            <anchor moveWithCells="1" sizeWithCells="1">
              <from>
                <xdr:col>14</xdr:col>
                <xdr:colOff>0</xdr:colOff>
                <xdr:row>73</xdr:row>
                <xdr:rowOff>0</xdr:rowOff>
              </from>
              <to>
                <xdr:col>14</xdr:col>
                <xdr:colOff>685800</xdr:colOff>
                <xdr:row>74</xdr:row>
                <xdr:rowOff>0</xdr:rowOff>
              </to>
            </anchor>
          </controlPr>
        </control>
      </mc:Choice>
    </mc:AlternateContent>
    <mc:AlternateContent xmlns:mc="http://schemas.openxmlformats.org/markup-compatibility/2006">
      <mc:Choice Requires="x14">
        <control shapeId="18536" r:id="rId89" name="DownMember1_12">
          <controlPr defaultSize="0" print="0" autoFill="0" autoPict="0" macro="_xll.IBPXLClient.TechnicalCategory.ButtonActionInIBPClientFormattingSheet">
            <anchor moveWithCells="1" sizeWithCells="1">
              <from>
                <xdr:col>14</xdr:col>
                <xdr:colOff>704850</xdr:colOff>
                <xdr:row>73</xdr:row>
                <xdr:rowOff>0</xdr:rowOff>
              </from>
              <to>
                <xdr:col>15</xdr:col>
                <xdr:colOff>676275</xdr:colOff>
                <xdr:row>74</xdr:row>
                <xdr:rowOff>0</xdr:rowOff>
              </to>
            </anchor>
          </controlPr>
        </control>
      </mc:Choice>
    </mc:AlternateContent>
    <mc:AlternateContent xmlns:mc="http://schemas.openxmlformats.org/markup-compatibility/2006">
      <mc:Choice Requires="x14">
        <control shapeId="18537" r:id="rId90" name="AddedMember1_13">
          <controlPr defaultSize="0" print="0" autoFill="0" autoPict="0" macro="_xll.IBPXLClient.TechnicalCategory.ButtonActionInIBPClientFormattingSheet">
            <anchor moveWithCells="1" sizeWithCells="1">
              <from>
                <xdr:col>11</xdr:col>
                <xdr:colOff>2438400</xdr:colOff>
                <xdr:row>76</xdr:row>
                <xdr:rowOff>0</xdr:rowOff>
              </from>
              <to>
                <xdr:col>12</xdr:col>
                <xdr:colOff>676275</xdr:colOff>
                <xdr:row>77</xdr:row>
                <xdr:rowOff>9525</xdr:rowOff>
              </to>
            </anchor>
          </controlPr>
        </control>
      </mc:Choice>
    </mc:AlternateContent>
    <mc:AlternateContent xmlns:mc="http://schemas.openxmlformats.org/markup-compatibility/2006">
      <mc:Choice Requires="x14">
        <control shapeId="18538" r:id="rId91" name="ChangeMember1_13">
          <controlPr defaultSize="0" print="0" autoFill="0" autoPict="0" macro="_xll.IBPXLClient.TechnicalCategory.ButtonActionInIBPClientFormattingSheet">
            <anchor moveWithCells="1" sizeWithCells="1">
              <from>
                <xdr:col>13</xdr:col>
                <xdr:colOff>0</xdr:colOff>
                <xdr:row>76</xdr:row>
                <xdr:rowOff>0</xdr:rowOff>
              </from>
              <to>
                <xdr:col>13</xdr:col>
                <xdr:colOff>685800</xdr:colOff>
                <xdr:row>77</xdr:row>
                <xdr:rowOff>9525</xdr:rowOff>
              </to>
            </anchor>
          </controlPr>
        </control>
      </mc:Choice>
    </mc:AlternateContent>
    <mc:AlternateContent xmlns:mc="http://schemas.openxmlformats.org/markup-compatibility/2006">
      <mc:Choice Requires="x14">
        <control shapeId="18539" r:id="rId92" name="UpMember1_13">
          <controlPr defaultSize="0" print="0" autoFill="0" autoPict="0" macro="_xll.IBPXLClient.TechnicalCategory.ButtonActionInIBPClientFormattingSheet">
            <anchor moveWithCells="1" sizeWithCells="1">
              <from>
                <xdr:col>14</xdr:col>
                <xdr:colOff>0</xdr:colOff>
                <xdr:row>76</xdr:row>
                <xdr:rowOff>0</xdr:rowOff>
              </from>
              <to>
                <xdr:col>14</xdr:col>
                <xdr:colOff>685800</xdr:colOff>
                <xdr:row>77</xdr:row>
                <xdr:rowOff>9525</xdr:rowOff>
              </to>
            </anchor>
          </controlPr>
        </control>
      </mc:Choice>
    </mc:AlternateContent>
    <mc:AlternateContent xmlns:mc="http://schemas.openxmlformats.org/markup-compatibility/2006">
      <mc:Choice Requires="x14">
        <control shapeId="18540" r:id="rId93" name="DownMember1_13">
          <controlPr defaultSize="0" print="0" autoFill="0" autoPict="0" macro="_xll.IBPXLClient.TechnicalCategory.ButtonActionInIBPClientFormattingSheet">
            <anchor moveWithCells="1" sizeWithCells="1">
              <from>
                <xdr:col>14</xdr:col>
                <xdr:colOff>704850</xdr:colOff>
                <xdr:row>76</xdr:row>
                <xdr:rowOff>0</xdr:rowOff>
              </from>
              <to>
                <xdr:col>15</xdr:col>
                <xdr:colOff>676275</xdr:colOff>
                <xdr:row>77</xdr:row>
                <xdr:rowOff>9525</xdr:rowOff>
              </to>
            </anchor>
          </controlPr>
        </control>
      </mc:Choice>
    </mc:AlternateContent>
    <mc:AlternateContent xmlns:mc="http://schemas.openxmlformats.org/markup-compatibility/2006">
      <mc:Choice Requires="x14">
        <control shapeId="18541" r:id="rId94" name="AddedMember1_14">
          <controlPr defaultSize="0" print="0" autoFill="0" autoPict="0" macro="_xll.IBPXLClient.TechnicalCategory.ButtonActionInIBPClientFormattingSheet">
            <anchor moveWithCells="1">
              <from>
                <xdr:col>12</xdr:col>
                <xdr:colOff>0</xdr:colOff>
                <xdr:row>79</xdr:row>
                <xdr:rowOff>0</xdr:rowOff>
              </from>
              <to>
                <xdr:col>12</xdr:col>
                <xdr:colOff>704850</xdr:colOff>
                <xdr:row>80</xdr:row>
                <xdr:rowOff>9525</xdr:rowOff>
              </to>
            </anchor>
          </controlPr>
        </control>
      </mc:Choice>
    </mc:AlternateContent>
    <mc:AlternateContent xmlns:mc="http://schemas.openxmlformats.org/markup-compatibility/2006">
      <mc:Choice Requires="x14">
        <control shapeId="18542" r:id="rId95" name="ChangeMember1_14">
          <controlPr defaultSize="0" print="0" autoFill="0" autoPict="0" macro="_xll.IBPXLClient.TechnicalCategory.ButtonActionInIBPClientFormattingSheet">
            <anchor moveWithCells="1">
              <from>
                <xdr:col>12</xdr:col>
                <xdr:colOff>723900</xdr:colOff>
                <xdr:row>79</xdr:row>
                <xdr:rowOff>0</xdr:rowOff>
              </from>
              <to>
                <xdr:col>13</xdr:col>
                <xdr:colOff>704850</xdr:colOff>
                <xdr:row>80</xdr:row>
                <xdr:rowOff>9525</xdr:rowOff>
              </to>
            </anchor>
          </controlPr>
        </control>
      </mc:Choice>
    </mc:AlternateContent>
    <mc:AlternateContent xmlns:mc="http://schemas.openxmlformats.org/markup-compatibility/2006">
      <mc:Choice Requires="x14">
        <control shapeId="18543" r:id="rId96" name="UpMember1_14">
          <controlPr defaultSize="0" print="0" autoFill="0" autoPict="0" macro="_xll.IBPXLClient.TechnicalCategory.ButtonActionInIBPClientFormattingSheet">
            <anchor moveWithCells="1">
              <from>
                <xdr:col>14</xdr:col>
                <xdr:colOff>0</xdr:colOff>
                <xdr:row>79</xdr:row>
                <xdr:rowOff>0</xdr:rowOff>
              </from>
              <to>
                <xdr:col>14</xdr:col>
                <xdr:colOff>704850</xdr:colOff>
                <xdr:row>80</xdr:row>
                <xdr:rowOff>9525</xdr:rowOff>
              </to>
            </anchor>
          </controlPr>
        </control>
      </mc:Choice>
    </mc:AlternateContent>
    <mc:AlternateContent xmlns:mc="http://schemas.openxmlformats.org/markup-compatibility/2006">
      <mc:Choice Requires="x14">
        <control shapeId="18544" r:id="rId97" name="DownMember1_14">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9525</xdr:rowOff>
              </to>
            </anchor>
          </controlPr>
        </control>
      </mc:Choice>
    </mc:AlternateContent>
    <mc:AlternateContent xmlns:mc="http://schemas.openxmlformats.org/markup-compatibility/2006">
      <mc:Choice Requires="x14">
        <control shapeId="18545" r:id="rId98" name="AddedMember1_15">
          <controlPr defaultSize="0" print="0" autoFill="0" autoPict="0" macro="_xll.IBPXLClient.TechnicalCategory.ButtonActionInIBPClientFormattingSheet">
            <anchor moveWithCells="1">
              <from>
                <xdr:col>12</xdr:col>
                <xdr:colOff>0</xdr:colOff>
                <xdr:row>82</xdr:row>
                <xdr:rowOff>0</xdr:rowOff>
              </from>
              <to>
                <xdr:col>12</xdr:col>
                <xdr:colOff>704850</xdr:colOff>
                <xdr:row>83</xdr:row>
                <xdr:rowOff>0</xdr:rowOff>
              </to>
            </anchor>
          </controlPr>
        </control>
      </mc:Choice>
    </mc:AlternateContent>
    <mc:AlternateContent xmlns:mc="http://schemas.openxmlformats.org/markup-compatibility/2006">
      <mc:Choice Requires="x14">
        <control shapeId="18546" r:id="rId99" name="ChangeMember1_15">
          <controlPr defaultSize="0" print="0" autoFill="0" autoPict="0" macro="_xll.IBPXLClient.TechnicalCategory.ButtonActionInIBPClientFormattingSheet">
            <anchor moveWithCells="1">
              <from>
                <xdr:col>12</xdr:col>
                <xdr:colOff>723900</xdr:colOff>
                <xdr:row>82</xdr:row>
                <xdr:rowOff>0</xdr:rowOff>
              </from>
              <to>
                <xdr:col>13</xdr:col>
                <xdr:colOff>704850</xdr:colOff>
                <xdr:row>83</xdr:row>
                <xdr:rowOff>0</xdr:rowOff>
              </to>
            </anchor>
          </controlPr>
        </control>
      </mc:Choice>
    </mc:AlternateContent>
    <mc:AlternateContent xmlns:mc="http://schemas.openxmlformats.org/markup-compatibility/2006">
      <mc:Choice Requires="x14">
        <control shapeId="18547" r:id="rId100" name="UpMember1_15">
          <controlPr defaultSize="0" print="0" autoFill="0" autoPict="0" macro="_xll.IBPXLClient.TechnicalCategory.ButtonActionInIBPClientFormattingSheet">
            <anchor moveWithCells="1">
              <from>
                <xdr:col>14</xdr:col>
                <xdr:colOff>0</xdr:colOff>
                <xdr:row>82</xdr:row>
                <xdr:rowOff>0</xdr:rowOff>
              </from>
              <to>
                <xdr:col>14</xdr:col>
                <xdr:colOff>704850</xdr:colOff>
                <xdr:row>83</xdr:row>
                <xdr:rowOff>0</xdr:rowOff>
              </to>
            </anchor>
          </controlPr>
        </control>
      </mc:Choice>
    </mc:AlternateContent>
    <mc:AlternateContent xmlns:mc="http://schemas.openxmlformats.org/markup-compatibility/2006">
      <mc:Choice Requires="x14">
        <control shapeId="18548" r:id="rId101" name="DownMember1_15">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8549" r:id="rId102" name="AddedMember1_16">
          <controlPr defaultSize="0" print="0" autoFill="0" autoPict="0" macro="_xll.IBPXLClient.TechnicalCategory.ButtonActionInIBPClientFormattingSheet">
            <anchor moveWithCells="1">
              <from>
                <xdr:col>12</xdr:col>
                <xdr:colOff>0</xdr:colOff>
                <xdr:row>84</xdr:row>
                <xdr:rowOff>57150</xdr:rowOff>
              </from>
              <to>
                <xdr:col>12</xdr:col>
                <xdr:colOff>704850</xdr:colOff>
                <xdr:row>86</xdr:row>
                <xdr:rowOff>0</xdr:rowOff>
              </to>
            </anchor>
          </controlPr>
        </control>
      </mc:Choice>
    </mc:AlternateContent>
    <mc:AlternateContent xmlns:mc="http://schemas.openxmlformats.org/markup-compatibility/2006">
      <mc:Choice Requires="x14">
        <control shapeId="18550" r:id="rId103" name="ChangeMember1_16">
          <controlPr defaultSize="0" print="0" autoFill="0" autoPict="0" macro="_xll.IBPXLClient.TechnicalCategory.ButtonActionInIBPClientFormattingSheet">
            <anchor moveWithCells="1">
              <from>
                <xdr:col>12</xdr:col>
                <xdr:colOff>723900</xdr:colOff>
                <xdr:row>84</xdr:row>
                <xdr:rowOff>57150</xdr:rowOff>
              </from>
              <to>
                <xdr:col>13</xdr:col>
                <xdr:colOff>704850</xdr:colOff>
                <xdr:row>86</xdr:row>
                <xdr:rowOff>0</xdr:rowOff>
              </to>
            </anchor>
          </controlPr>
        </control>
      </mc:Choice>
    </mc:AlternateContent>
    <mc:AlternateContent xmlns:mc="http://schemas.openxmlformats.org/markup-compatibility/2006">
      <mc:Choice Requires="x14">
        <control shapeId="18551" r:id="rId104" name="UpMember1_16">
          <controlPr defaultSize="0" print="0" autoFill="0" autoPict="0" macro="_xll.IBPXLClient.TechnicalCategory.ButtonActionInIBPClientFormattingSheet">
            <anchor moveWithCells="1">
              <from>
                <xdr:col>14</xdr:col>
                <xdr:colOff>0</xdr:colOff>
                <xdr:row>84</xdr:row>
                <xdr:rowOff>57150</xdr:rowOff>
              </from>
              <to>
                <xdr:col>14</xdr:col>
                <xdr:colOff>704850</xdr:colOff>
                <xdr:row>86</xdr:row>
                <xdr:rowOff>0</xdr:rowOff>
              </to>
            </anchor>
          </controlPr>
        </control>
      </mc:Choice>
    </mc:AlternateContent>
    <mc:AlternateContent xmlns:mc="http://schemas.openxmlformats.org/markup-compatibility/2006">
      <mc:Choice Requires="x14">
        <control shapeId="18552" r:id="rId105" name="DownMember1_16">
          <controlPr defaultSize="0" print="0" autoFill="0" autoPict="0" macro="_xll.IBPXLClient.TechnicalCategory.ButtonActionInIBPClientFormattingSheet">
            <anchor moveWithCells="1">
              <from>
                <xdr:col>15</xdr:col>
                <xdr:colOff>0</xdr:colOff>
                <xdr:row>84</xdr:row>
                <xdr:rowOff>57150</xdr:rowOff>
              </from>
              <to>
                <xdr:col>16</xdr:col>
                <xdr:colOff>0</xdr:colOff>
                <xdr:row>86</xdr:row>
                <xdr:rowOff>0</xdr:rowOff>
              </to>
            </anchor>
          </controlPr>
        </control>
      </mc:Choice>
    </mc:AlternateContent>
    <mc:AlternateContent xmlns:mc="http://schemas.openxmlformats.org/markup-compatibility/2006">
      <mc:Choice Requires="x14">
        <control shapeId="18553" r:id="rId106" name="AddedMember1_17">
          <controlPr defaultSize="0" print="0" autoFill="0" autoPict="0" macro="_xll.IBPXLClient.TechnicalCategory.ButtonActionInIBPClientFormattingSheet">
            <anchor moveWithCells="1">
              <from>
                <xdr:col>12</xdr:col>
                <xdr:colOff>0</xdr:colOff>
                <xdr:row>87</xdr:row>
                <xdr:rowOff>57150</xdr:rowOff>
              </from>
              <to>
                <xdr:col>12</xdr:col>
                <xdr:colOff>704850</xdr:colOff>
                <xdr:row>89</xdr:row>
                <xdr:rowOff>0</xdr:rowOff>
              </to>
            </anchor>
          </controlPr>
        </control>
      </mc:Choice>
    </mc:AlternateContent>
    <mc:AlternateContent xmlns:mc="http://schemas.openxmlformats.org/markup-compatibility/2006">
      <mc:Choice Requires="x14">
        <control shapeId="18554" r:id="rId107" name="ChangeMember1_17">
          <controlPr defaultSize="0" print="0" autoFill="0" autoPict="0" macro="_xll.IBPXLClient.TechnicalCategory.ButtonActionInIBPClientFormattingSheet">
            <anchor moveWithCells="1">
              <from>
                <xdr:col>12</xdr:col>
                <xdr:colOff>723900</xdr:colOff>
                <xdr:row>87</xdr:row>
                <xdr:rowOff>57150</xdr:rowOff>
              </from>
              <to>
                <xdr:col>13</xdr:col>
                <xdr:colOff>704850</xdr:colOff>
                <xdr:row>89</xdr:row>
                <xdr:rowOff>0</xdr:rowOff>
              </to>
            </anchor>
          </controlPr>
        </control>
      </mc:Choice>
    </mc:AlternateContent>
    <mc:AlternateContent xmlns:mc="http://schemas.openxmlformats.org/markup-compatibility/2006">
      <mc:Choice Requires="x14">
        <control shapeId="18555" r:id="rId108" name="UpMember1_17">
          <controlPr defaultSize="0" print="0" autoFill="0" autoPict="0" macro="_xll.IBPXLClient.TechnicalCategory.ButtonActionInIBPClientFormattingSheet">
            <anchor moveWithCells="1">
              <from>
                <xdr:col>14</xdr:col>
                <xdr:colOff>0</xdr:colOff>
                <xdr:row>87</xdr:row>
                <xdr:rowOff>57150</xdr:rowOff>
              </from>
              <to>
                <xdr:col>14</xdr:col>
                <xdr:colOff>704850</xdr:colOff>
                <xdr:row>89</xdr:row>
                <xdr:rowOff>0</xdr:rowOff>
              </to>
            </anchor>
          </controlPr>
        </control>
      </mc:Choice>
    </mc:AlternateContent>
    <mc:AlternateContent xmlns:mc="http://schemas.openxmlformats.org/markup-compatibility/2006">
      <mc:Choice Requires="x14">
        <control shapeId="18556" r:id="rId109" name="DownMember1_17">
          <controlPr defaultSize="0" print="0" autoFill="0" autoPict="0" macro="_xll.IBPXLClient.TechnicalCategory.ButtonActionInIBPClientFormattingSheet">
            <anchor moveWithCells="1">
              <from>
                <xdr:col>15</xdr:col>
                <xdr:colOff>0</xdr:colOff>
                <xdr:row>87</xdr:row>
                <xdr:rowOff>57150</xdr:rowOff>
              </from>
              <to>
                <xdr:col>16</xdr:col>
                <xdr:colOff>0</xdr:colOff>
                <xdr:row>89</xdr:row>
                <xdr:rowOff>0</xdr:rowOff>
              </to>
            </anchor>
          </controlPr>
        </control>
      </mc:Choice>
    </mc:AlternateContent>
    <mc:AlternateContent xmlns:mc="http://schemas.openxmlformats.org/markup-compatibility/2006">
      <mc:Choice Requires="x14">
        <control shapeId="18557" r:id="rId110" name="AddedMember1_18">
          <controlPr defaultSize="0" print="0" autoFill="0" autoPict="0" macro="_xll.IBPXLClient.TechnicalCategory.ButtonActionInIBPClientFormattingSheet">
            <anchor moveWithCells="1">
              <from>
                <xdr:col>12</xdr:col>
                <xdr:colOff>0</xdr:colOff>
                <xdr:row>91</xdr:row>
                <xdr:rowOff>0</xdr:rowOff>
              </from>
              <to>
                <xdr:col>12</xdr:col>
                <xdr:colOff>704850</xdr:colOff>
                <xdr:row>92</xdr:row>
                <xdr:rowOff>9525</xdr:rowOff>
              </to>
            </anchor>
          </controlPr>
        </control>
      </mc:Choice>
    </mc:AlternateContent>
    <mc:AlternateContent xmlns:mc="http://schemas.openxmlformats.org/markup-compatibility/2006">
      <mc:Choice Requires="x14">
        <control shapeId="18558" r:id="rId111" name="ChangeMember1_18">
          <controlPr defaultSize="0" print="0" autoFill="0" autoPict="0" macro="_xll.IBPXLClient.TechnicalCategory.ButtonActionInIBPClientFormattingSheet">
            <anchor moveWithCells="1">
              <from>
                <xdr:col>12</xdr:col>
                <xdr:colOff>723900</xdr:colOff>
                <xdr:row>91</xdr:row>
                <xdr:rowOff>0</xdr:rowOff>
              </from>
              <to>
                <xdr:col>13</xdr:col>
                <xdr:colOff>704850</xdr:colOff>
                <xdr:row>92</xdr:row>
                <xdr:rowOff>9525</xdr:rowOff>
              </to>
            </anchor>
          </controlPr>
        </control>
      </mc:Choice>
    </mc:AlternateContent>
    <mc:AlternateContent xmlns:mc="http://schemas.openxmlformats.org/markup-compatibility/2006">
      <mc:Choice Requires="x14">
        <control shapeId="18559" r:id="rId112" name="UpMember1_18">
          <controlPr defaultSize="0" print="0" autoFill="0" autoPict="0" macro="_xll.IBPXLClient.TechnicalCategory.ButtonActionInIBPClientFormattingSheet">
            <anchor moveWithCells="1">
              <from>
                <xdr:col>14</xdr:col>
                <xdr:colOff>0</xdr:colOff>
                <xdr:row>91</xdr:row>
                <xdr:rowOff>0</xdr:rowOff>
              </from>
              <to>
                <xdr:col>14</xdr:col>
                <xdr:colOff>704850</xdr:colOff>
                <xdr:row>92</xdr:row>
                <xdr:rowOff>9525</xdr:rowOff>
              </to>
            </anchor>
          </controlPr>
        </control>
      </mc:Choice>
    </mc:AlternateContent>
    <mc:AlternateContent xmlns:mc="http://schemas.openxmlformats.org/markup-compatibility/2006">
      <mc:Choice Requires="x14">
        <control shapeId="18560" r:id="rId113" name="DownMember1_18">
          <controlPr defaultSize="0" print="0" autoFill="0" autoPict="0" macro="_xll.IBPXLClient.TechnicalCategory.ButtonActionInIBPClientFormattingSheet">
            <anchor moveWithCells="1">
              <from>
                <xdr:col>15</xdr:col>
                <xdr:colOff>0</xdr:colOff>
                <xdr:row>91</xdr:row>
                <xdr:rowOff>0</xdr:rowOff>
              </from>
              <to>
                <xdr:col>16</xdr:col>
                <xdr:colOff>0</xdr:colOff>
                <xdr:row>92</xdr:row>
                <xdr:rowOff>9525</xdr:rowOff>
              </to>
            </anchor>
          </controlPr>
        </control>
      </mc:Choice>
    </mc:AlternateContent>
    <mc:AlternateContent xmlns:mc="http://schemas.openxmlformats.org/markup-compatibility/2006">
      <mc:Choice Requires="x14">
        <control shapeId="18561" r:id="rId114" name="AddedMember2_1">
          <controlPr defaultSize="0" print="0" autoFill="0" autoPict="0" macro="_xll.IBPXLClient.TechnicalCategory.ButtonActionInIBPClientFormattingSheet">
            <anchor moveWithCells="1">
              <from>
                <xdr:col>11</xdr:col>
                <xdr:colOff>2438400</xdr:colOff>
                <xdr:row>192</xdr:row>
                <xdr:rowOff>47625</xdr:rowOff>
              </from>
              <to>
                <xdr:col>12</xdr:col>
                <xdr:colOff>676275</xdr:colOff>
                <xdr:row>193</xdr:row>
                <xdr:rowOff>190500</xdr:rowOff>
              </to>
            </anchor>
          </controlPr>
        </control>
      </mc:Choice>
    </mc:AlternateContent>
    <mc:AlternateContent xmlns:mc="http://schemas.openxmlformats.org/markup-compatibility/2006">
      <mc:Choice Requires="x14">
        <control shapeId="18562" r:id="rId115" name="ChangeMember2_1">
          <controlPr defaultSize="0" print="0" autoFill="0" autoPict="0" macro="_xll.IBPXLClient.TechnicalCategory.ButtonActionInIBPClientFormattingSheet">
            <anchor moveWithCells="1">
              <from>
                <xdr:col>13</xdr:col>
                <xdr:colOff>0</xdr:colOff>
                <xdr:row>192</xdr:row>
                <xdr:rowOff>47625</xdr:rowOff>
              </from>
              <to>
                <xdr:col>13</xdr:col>
                <xdr:colOff>695325</xdr:colOff>
                <xdr:row>193</xdr:row>
                <xdr:rowOff>190500</xdr:rowOff>
              </to>
            </anchor>
          </controlPr>
        </control>
      </mc:Choice>
    </mc:AlternateContent>
    <mc:AlternateContent xmlns:mc="http://schemas.openxmlformats.org/markup-compatibility/2006">
      <mc:Choice Requires="x14">
        <control shapeId="18563" r:id="rId116" name="UpMember2_1">
          <controlPr defaultSize="0" print="0" autoFill="0" autoPict="0" macro="_xll.IBPXLClient.TechnicalCategory.ButtonActionInIBPClientFormattingSheet">
            <anchor moveWithCells="1">
              <from>
                <xdr:col>14</xdr:col>
                <xdr:colOff>0</xdr:colOff>
                <xdr:row>192</xdr:row>
                <xdr:rowOff>47625</xdr:rowOff>
              </from>
              <to>
                <xdr:col>14</xdr:col>
                <xdr:colOff>695325</xdr:colOff>
                <xdr:row>193</xdr:row>
                <xdr:rowOff>190500</xdr:rowOff>
              </to>
            </anchor>
          </controlPr>
        </control>
      </mc:Choice>
    </mc:AlternateContent>
    <mc:AlternateContent xmlns:mc="http://schemas.openxmlformats.org/markup-compatibility/2006">
      <mc:Choice Requires="x14">
        <control shapeId="18564" r:id="rId117" name="DownMember2_1">
          <controlPr defaultSize="0" print="0" autoFill="0" autoPict="0" macro="_xll.IBPXLClient.TechnicalCategory.ButtonActionInIBPClientFormattingSheet">
            <anchor moveWithCells="1">
              <from>
                <xdr:col>14</xdr:col>
                <xdr:colOff>704850</xdr:colOff>
                <xdr:row>192</xdr:row>
                <xdr:rowOff>47625</xdr:rowOff>
              </from>
              <to>
                <xdr:col>15</xdr:col>
                <xdr:colOff>676275</xdr:colOff>
                <xdr:row>193</xdr:row>
                <xdr:rowOff>190500</xdr:rowOff>
              </to>
            </anchor>
          </controlPr>
        </control>
      </mc:Choice>
    </mc:AlternateContent>
    <mc:AlternateContent xmlns:mc="http://schemas.openxmlformats.org/markup-compatibility/2006">
      <mc:Choice Requires="x14">
        <control shapeId="18565" r:id="rId118" name="AddedMember2_2">
          <controlPr defaultSize="0" print="0" autoFill="0" autoPict="0" macro="_xll.IBPXLClient.TechnicalCategory.ButtonActionInIBPClientFormattingSheet">
            <anchor moveWithCells="1">
              <from>
                <xdr:col>12</xdr:col>
                <xdr:colOff>0</xdr:colOff>
                <xdr:row>196</xdr:row>
                <xdr:rowOff>0</xdr:rowOff>
              </from>
              <to>
                <xdr:col>12</xdr:col>
                <xdr:colOff>704850</xdr:colOff>
                <xdr:row>197</xdr:row>
                <xdr:rowOff>0</xdr:rowOff>
              </to>
            </anchor>
          </controlPr>
        </control>
      </mc:Choice>
    </mc:AlternateContent>
    <mc:AlternateContent xmlns:mc="http://schemas.openxmlformats.org/markup-compatibility/2006">
      <mc:Choice Requires="x14">
        <control shapeId="18566" r:id="rId119" name="ChangeMember2_2">
          <controlPr defaultSize="0" print="0" autoFill="0" autoPict="0" macro="_xll.IBPXLClient.TechnicalCategory.ButtonActionInIBPClientFormattingSheet">
            <anchor moveWithCells="1">
              <from>
                <xdr:col>12</xdr:col>
                <xdr:colOff>723900</xdr:colOff>
                <xdr:row>196</xdr:row>
                <xdr:rowOff>0</xdr:rowOff>
              </from>
              <to>
                <xdr:col>13</xdr:col>
                <xdr:colOff>704850</xdr:colOff>
                <xdr:row>197</xdr:row>
                <xdr:rowOff>0</xdr:rowOff>
              </to>
            </anchor>
          </controlPr>
        </control>
      </mc:Choice>
    </mc:AlternateContent>
    <mc:AlternateContent xmlns:mc="http://schemas.openxmlformats.org/markup-compatibility/2006">
      <mc:Choice Requires="x14">
        <control shapeId="18567" r:id="rId120" name="UpMember2_2">
          <controlPr defaultSize="0" print="0" autoFill="0" autoPict="0" macro="_xll.IBPXLClient.TechnicalCategory.ButtonActionInIBPClientFormattingSheet">
            <anchor moveWithCells="1">
              <from>
                <xdr:col>14</xdr:col>
                <xdr:colOff>0</xdr:colOff>
                <xdr:row>196</xdr:row>
                <xdr:rowOff>0</xdr:rowOff>
              </from>
              <to>
                <xdr:col>14</xdr:col>
                <xdr:colOff>704850</xdr:colOff>
                <xdr:row>197</xdr:row>
                <xdr:rowOff>0</xdr:rowOff>
              </to>
            </anchor>
          </controlPr>
        </control>
      </mc:Choice>
    </mc:AlternateContent>
    <mc:AlternateContent xmlns:mc="http://schemas.openxmlformats.org/markup-compatibility/2006">
      <mc:Choice Requires="x14">
        <control shapeId="18568" r:id="rId121" name="DownMember2_2">
          <controlPr defaultSize="0" print="0" autoFill="0" autoPict="0" macro="_xll.IBPXLClient.TechnicalCategory.ButtonActionInIBPClientFormattingSheet">
            <anchor moveWithCells="1">
              <from>
                <xdr:col>15</xdr:col>
                <xdr:colOff>0</xdr:colOff>
                <xdr:row>196</xdr:row>
                <xdr:rowOff>0</xdr:rowOff>
              </from>
              <to>
                <xdr:col>16</xdr:col>
                <xdr:colOff>0</xdr:colOff>
                <xdr:row>197</xdr:row>
                <xdr:rowOff>0</xdr:rowOff>
              </to>
            </anchor>
          </controlPr>
        </control>
      </mc:Choice>
    </mc:AlternateContent>
    <mc:AlternateContent xmlns:mc="http://schemas.openxmlformats.org/markup-compatibility/2006">
      <mc:Choice Requires="x14">
        <control shapeId="18569" r:id="rId122" name="AddedMember2_3">
          <controlPr defaultSize="0" print="0" autoFill="0" autoPict="0" macro="_xll.IBPXLClient.TechnicalCategory.ButtonActionInIBPClientFormattingSheet">
            <anchor moveWithCells="1">
              <from>
                <xdr:col>12</xdr:col>
                <xdr:colOff>0</xdr:colOff>
                <xdr:row>198</xdr:row>
                <xdr:rowOff>57150</xdr:rowOff>
              </from>
              <to>
                <xdr:col>12</xdr:col>
                <xdr:colOff>704850</xdr:colOff>
                <xdr:row>200</xdr:row>
                <xdr:rowOff>0</xdr:rowOff>
              </to>
            </anchor>
          </controlPr>
        </control>
      </mc:Choice>
    </mc:AlternateContent>
    <mc:AlternateContent xmlns:mc="http://schemas.openxmlformats.org/markup-compatibility/2006">
      <mc:Choice Requires="x14">
        <control shapeId="18570" r:id="rId123" name="ChangeMember2_3">
          <controlPr defaultSize="0" print="0" autoFill="0" autoPict="0" macro="_xll.IBPXLClient.TechnicalCategory.ButtonActionInIBPClientFormattingSheet">
            <anchor moveWithCells="1">
              <from>
                <xdr:col>12</xdr:col>
                <xdr:colOff>723900</xdr:colOff>
                <xdr:row>198</xdr:row>
                <xdr:rowOff>57150</xdr:rowOff>
              </from>
              <to>
                <xdr:col>13</xdr:col>
                <xdr:colOff>704850</xdr:colOff>
                <xdr:row>200</xdr:row>
                <xdr:rowOff>0</xdr:rowOff>
              </to>
            </anchor>
          </controlPr>
        </control>
      </mc:Choice>
    </mc:AlternateContent>
    <mc:AlternateContent xmlns:mc="http://schemas.openxmlformats.org/markup-compatibility/2006">
      <mc:Choice Requires="x14">
        <control shapeId="18571" r:id="rId124" name="UpMember2_3">
          <controlPr defaultSize="0" print="0" autoFill="0" autoPict="0" macro="_xll.IBPXLClient.TechnicalCategory.ButtonActionInIBPClientFormattingSheet">
            <anchor moveWithCells="1">
              <from>
                <xdr:col>14</xdr:col>
                <xdr:colOff>0</xdr:colOff>
                <xdr:row>198</xdr:row>
                <xdr:rowOff>57150</xdr:rowOff>
              </from>
              <to>
                <xdr:col>14</xdr:col>
                <xdr:colOff>704850</xdr:colOff>
                <xdr:row>200</xdr:row>
                <xdr:rowOff>0</xdr:rowOff>
              </to>
            </anchor>
          </controlPr>
        </control>
      </mc:Choice>
    </mc:AlternateContent>
    <mc:AlternateContent xmlns:mc="http://schemas.openxmlformats.org/markup-compatibility/2006">
      <mc:Choice Requires="x14">
        <control shapeId="18572" r:id="rId125" name="DownMember2_3">
          <controlPr defaultSize="0" print="0" autoFill="0" autoPict="0" macro="_xll.IBPXLClient.TechnicalCategory.ButtonActionInIBPClientFormattingSheet">
            <anchor moveWithCells="1">
              <from>
                <xdr:col>15</xdr:col>
                <xdr:colOff>0</xdr:colOff>
                <xdr:row>198</xdr:row>
                <xdr:rowOff>57150</xdr:rowOff>
              </from>
              <to>
                <xdr:col>16</xdr:col>
                <xdr:colOff>0</xdr:colOff>
                <xdr:row>200</xdr:row>
                <xdr:rowOff>0</xdr:rowOff>
              </to>
            </anchor>
          </controlPr>
        </control>
      </mc:Choice>
    </mc:AlternateContent>
    <mc:AlternateContent xmlns:mc="http://schemas.openxmlformats.org/markup-compatibility/2006">
      <mc:Choice Requires="x14">
        <control shapeId="18573" r:id="rId126" name="AddedMember2_4">
          <controlPr defaultSize="0" print="0" autoFill="0" autoPict="0" macro="_xll.IBPXLClient.TechnicalCategory.ButtonActionInIBPClientFormattingSheet">
            <anchor moveWithCells="1">
              <from>
                <xdr:col>12</xdr:col>
                <xdr:colOff>0</xdr:colOff>
                <xdr:row>201</xdr:row>
                <xdr:rowOff>57150</xdr:rowOff>
              </from>
              <to>
                <xdr:col>12</xdr:col>
                <xdr:colOff>704850</xdr:colOff>
                <xdr:row>203</xdr:row>
                <xdr:rowOff>0</xdr:rowOff>
              </to>
            </anchor>
          </controlPr>
        </control>
      </mc:Choice>
    </mc:AlternateContent>
    <mc:AlternateContent xmlns:mc="http://schemas.openxmlformats.org/markup-compatibility/2006">
      <mc:Choice Requires="x14">
        <control shapeId="18574" r:id="rId127" name="ChangeMember2_4">
          <controlPr defaultSize="0" print="0" autoFill="0" autoPict="0" macro="_xll.IBPXLClient.TechnicalCategory.ButtonActionInIBPClientFormattingSheet">
            <anchor moveWithCells="1">
              <from>
                <xdr:col>12</xdr:col>
                <xdr:colOff>723900</xdr:colOff>
                <xdr:row>201</xdr:row>
                <xdr:rowOff>57150</xdr:rowOff>
              </from>
              <to>
                <xdr:col>13</xdr:col>
                <xdr:colOff>704850</xdr:colOff>
                <xdr:row>203</xdr:row>
                <xdr:rowOff>0</xdr:rowOff>
              </to>
            </anchor>
          </controlPr>
        </control>
      </mc:Choice>
    </mc:AlternateContent>
    <mc:AlternateContent xmlns:mc="http://schemas.openxmlformats.org/markup-compatibility/2006">
      <mc:Choice Requires="x14">
        <control shapeId="18575" r:id="rId128" name="UpMember2_4">
          <controlPr defaultSize="0" print="0" autoFill="0" autoPict="0" macro="_xll.IBPXLClient.TechnicalCategory.ButtonActionInIBPClientFormattingSheet">
            <anchor moveWithCells="1">
              <from>
                <xdr:col>14</xdr:col>
                <xdr:colOff>0</xdr:colOff>
                <xdr:row>201</xdr:row>
                <xdr:rowOff>57150</xdr:rowOff>
              </from>
              <to>
                <xdr:col>14</xdr:col>
                <xdr:colOff>704850</xdr:colOff>
                <xdr:row>203</xdr:row>
                <xdr:rowOff>0</xdr:rowOff>
              </to>
            </anchor>
          </controlPr>
        </control>
      </mc:Choice>
    </mc:AlternateContent>
    <mc:AlternateContent xmlns:mc="http://schemas.openxmlformats.org/markup-compatibility/2006">
      <mc:Choice Requires="x14">
        <control shapeId="18576" r:id="rId129" name="DownMember2_4">
          <controlPr defaultSize="0" print="0" autoFill="0" autoPict="0" macro="_xll.IBPXLClient.TechnicalCategory.ButtonActionInIBPClientFormattingSheet">
            <anchor moveWithCells="1">
              <from>
                <xdr:col>15</xdr:col>
                <xdr:colOff>0</xdr:colOff>
                <xdr:row>201</xdr:row>
                <xdr:rowOff>57150</xdr:rowOff>
              </from>
              <to>
                <xdr:col>16</xdr:col>
                <xdr:colOff>0</xdr:colOff>
                <xdr:row>203</xdr:row>
                <xdr:rowOff>0</xdr:rowOff>
              </to>
            </anchor>
          </controlPr>
        </control>
      </mc:Choice>
    </mc:AlternateContent>
    <mc:AlternateContent xmlns:mc="http://schemas.openxmlformats.org/markup-compatibility/2006">
      <mc:Choice Requires="x14">
        <control shapeId="18577" r:id="rId130" name="AddedMember2_5">
          <controlPr defaultSize="0" print="0" autoFill="0" autoPict="0" macro="_xll.IBPXLClient.TechnicalCategory.ButtonActionInIBPClientFormattingSheet">
            <anchor moveWithCells="1">
              <from>
                <xdr:col>12</xdr:col>
                <xdr:colOff>0</xdr:colOff>
                <xdr:row>205</xdr:row>
                <xdr:rowOff>0</xdr:rowOff>
              </from>
              <to>
                <xdr:col>12</xdr:col>
                <xdr:colOff>704850</xdr:colOff>
                <xdr:row>206</xdr:row>
                <xdr:rowOff>9525</xdr:rowOff>
              </to>
            </anchor>
          </controlPr>
        </control>
      </mc:Choice>
    </mc:AlternateContent>
    <mc:AlternateContent xmlns:mc="http://schemas.openxmlformats.org/markup-compatibility/2006">
      <mc:Choice Requires="x14">
        <control shapeId="18578" r:id="rId131" name="ChangeMember2_5">
          <controlPr defaultSize="0" print="0" autoFill="0" autoPict="0" macro="_xll.IBPXLClient.TechnicalCategory.ButtonActionInIBPClientFormattingSheet">
            <anchor moveWithCells="1">
              <from>
                <xdr:col>12</xdr:col>
                <xdr:colOff>723900</xdr:colOff>
                <xdr:row>205</xdr:row>
                <xdr:rowOff>0</xdr:rowOff>
              </from>
              <to>
                <xdr:col>13</xdr:col>
                <xdr:colOff>704850</xdr:colOff>
                <xdr:row>206</xdr:row>
                <xdr:rowOff>9525</xdr:rowOff>
              </to>
            </anchor>
          </controlPr>
        </control>
      </mc:Choice>
    </mc:AlternateContent>
    <mc:AlternateContent xmlns:mc="http://schemas.openxmlformats.org/markup-compatibility/2006">
      <mc:Choice Requires="x14">
        <control shapeId="18579" r:id="rId132" name="UpMember2_5">
          <controlPr defaultSize="0" print="0" autoFill="0" autoPict="0" macro="_xll.IBPXLClient.TechnicalCategory.ButtonActionInIBPClientFormattingSheet">
            <anchor moveWithCells="1">
              <from>
                <xdr:col>14</xdr:col>
                <xdr:colOff>0</xdr:colOff>
                <xdr:row>205</xdr:row>
                <xdr:rowOff>0</xdr:rowOff>
              </from>
              <to>
                <xdr:col>14</xdr:col>
                <xdr:colOff>704850</xdr:colOff>
                <xdr:row>206</xdr:row>
                <xdr:rowOff>9525</xdr:rowOff>
              </to>
            </anchor>
          </controlPr>
        </control>
      </mc:Choice>
    </mc:AlternateContent>
    <mc:AlternateContent xmlns:mc="http://schemas.openxmlformats.org/markup-compatibility/2006">
      <mc:Choice Requires="x14">
        <control shapeId="18580" r:id="rId133" name="DownMember2_5">
          <controlPr defaultSize="0" print="0" autoFill="0" autoPict="0" macro="_xll.IBPXLClient.TechnicalCategory.ButtonActionInIBPClientFormattingSheet">
            <anchor moveWithCells="1">
              <from>
                <xdr:col>15</xdr:col>
                <xdr:colOff>0</xdr:colOff>
                <xdr:row>205</xdr:row>
                <xdr:rowOff>0</xdr:rowOff>
              </from>
              <to>
                <xdr:col>16</xdr:col>
                <xdr:colOff>0</xdr:colOff>
                <xdr:row>206</xdr:row>
                <xdr:rowOff>9525</xdr:rowOff>
              </to>
            </anchor>
          </controlPr>
        </control>
      </mc:Choice>
    </mc:AlternateContent>
    <mc:AlternateContent xmlns:mc="http://schemas.openxmlformats.org/markup-compatibility/2006">
      <mc:Choice Requires="x14">
        <control shapeId="18581" r:id="rId134" name="AddedMember2_6">
          <controlPr defaultSize="0" print="0" autoFill="0" autoPict="0" macro="_xll.IBPXLClient.TechnicalCategory.ButtonActionInIBPClientFormattingSheet">
            <anchor moveWithCells="1">
              <from>
                <xdr:col>12</xdr:col>
                <xdr:colOff>0</xdr:colOff>
                <xdr:row>208</xdr:row>
                <xdr:rowOff>0</xdr:rowOff>
              </from>
              <to>
                <xdr:col>12</xdr:col>
                <xdr:colOff>704850</xdr:colOff>
                <xdr:row>209</xdr:row>
                <xdr:rowOff>9525</xdr:rowOff>
              </to>
            </anchor>
          </controlPr>
        </control>
      </mc:Choice>
    </mc:AlternateContent>
    <mc:AlternateContent xmlns:mc="http://schemas.openxmlformats.org/markup-compatibility/2006">
      <mc:Choice Requires="x14">
        <control shapeId="18582" r:id="rId135" name="ChangeMember2_6">
          <controlPr defaultSize="0" print="0" autoFill="0" autoPict="0" macro="_xll.IBPXLClient.TechnicalCategory.ButtonActionInIBPClientFormattingSheet">
            <anchor moveWithCells="1">
              <from>
                <xdr:col>12</xdr:col>
                <xdr:colOff>723900</xdr:colOff>
                <xdr:row>208</xdr:row>
                <xdr:rowOff>0</xdr:rowOff>
              </from>
              <to>
                <xdr:col>13</xdr:col>
                <xdr:colOff>704850</xdr:colOff>
                <xdr:row>209</xdr:row>
                <xdr:rowOff>9525</xdr:rowOff>
              </to>
            </anchor>
          </controlPr>
        </control>
      </mc:Choice>
    </mc:AlternateContent>
    <mc:AlternateContent xmlns:mc="http://schemas.openxmlformats.org/markup-compatibility/2006">
      <mc:Choice Requires="x14">
        <control shapeId="18583" r:id="rId136" name="UpMember2_6">
          <controlPr defaultSize="0" print="0" autoFill="0" autoPict="0" macro="_xll.IBPXLClient.TechnicalCategory.ButtonActionInIBPClientFormattingSheet">
            <anchor moveWithCells="1">
              <from>
                <xdr:col>14</xdr:col>
                <xdr:colOff>0</xdr:colOff>
                <xdr:row>208</xdr:row>
                <xdr:rowOff>0</xdr:rowOff>
              </from>
              <to>
                <xdr:col>14</xdr:col>
                <xdr:colOff>704850</xdr:colOff>
                <xdr:row>209</xdr:row>
                <xdr:rowOff>9525</xdr:rowOff>
              </to>
            </anchor>
          </controlPr>
        </control>
      </mc:Choice>
    </mc:AlternateContent>
    <mc:AlternateContent xmlns:mc="http://schemas.openxmlformats.org/markup-compatibility/2006">
      <mc:Choice Requires="x14">
        <control shapeId="18584" r:id="rId137" name="DownMember2_6">
          <controlPr defaultSize="0" print="0" autoFill="0" autoPict="0" macro="_xll.IBPXLClient.TechnicalCategory.ButtonActionInIBPClientFormattingSheet">
            <anchor moveWithCells="1">
              <from>
                <xdr:col>15</xdr:col>
                <xdr:colOff>0</xdr:colOff>
                <xdr:row>208</xdr:row>
                <xdr:rowOff>0</xdr:rowOff>
              </from>
              <to>
                <xdr:col>16</xdr:col>
                <xdr:colOff>0</xdr:colOff>
                <xdr:row>209</xdr:row>
                <xdr:rowOff>9525</xdr:rowOff>
              </to>
            </anchor>
          </controlPr>
        </control>
      </mc:Choice>
    </mc:AlternateContent>
    <mc:AlternateContent xmlns:mc="http://schemas.openxmlformats.org/markup-compatibility/2006">
      <mc:Choice Requires="x14">
        <control shapeId="18585" r:id="rId138" name="AddedMember2_7">
          <controlPr defaultSize="0" print="0" autoFill="0" autoPict="0" macro="_xll.IBPXLClient.TechnicalCategory.ButtonActionInIBPClientFormattingSheet">
            <anchor moveWithCells="1">
              <from>
                <xdr:col>12</xdr:col>
                <xdr:colOff>0</xdr:colOff>
                <xdr:row>211</xdr:row>
                <xdr:rowOff>0</xdr:rowOff>
              </from>
              <to>
                <xdr:col>12</xdr:col>
                <xdr:colOff>704850</xdr:colOff>
                <xdr:row>212</xdr:row>
                <xdr:rowOff>0</xdr:rowOff>
              </to>
            </anchor>
          </controlPr>
        </control>
      </mc:Choice>
    </mc:AlternateContent>
    <mc:AlternateContent xmlns:mc="http://schemas.openxmlformats.org/markup-compatibility/2006">
      <mc:Choice Requires="x14">
        <control shapeId="18586" r:id="rId139" name="ChangeMember2_7">
          <controlPr defaultSize="0" print="0" autoFill="0" autoPict="0" macro="_xll.IBPXLClient.TechnicalCategory.ButtonActionInIBPClientFormattingSheet">
            <anchor moveWithCells="1">
              <from>
                <xdr:col>12</xdr:col>
                <xdr:colOff>723900</xdr:colOff>
                <xdr:row>211</xdr:row>
                <xdr:rowOff>0</xdr:rowOff>
              </from>
              <to>
                <xdr:col>13</xdr:col>
                <xdr:colOff>704850</xdr:colOff>
                <xdr:row>212</xdr:row>
                <xdr:rowOff>0</xdr:rowOff>
              </to>
            </anchor>
          </controlPr>
        </control>
      </mc:Choice>
    </mc:AlternateContent>
    <mc:AlternateContent xmlns:mc="http://schemas.openxmlformats.org/markup-compatibility/2006">
      <mc:Choice Requires="x14">
        <control shapeId="18587" r:id="rId140" name="UpMember2_7">
          <controlPr defaultSize="0" print="0" autoFill="0" autoPict="0" macro="_xll.IBPXLClient.TechnicalCategory.ButtonActionInIBPClientFormattingSheet">
            <anchor moveWithCells="1">
              <from>
                <xdr:col>14</xdr:col>
                <xdr:colOff>0</xdr:colOff>
                <xdr:row>211</xdr:row>
                <xdr:rowOff>0</xdr:rowOff>
              </from>
              <to>
                <xdr:col>14</xdr:col>
                <xdr:colOff>704850</xdr:colOff>
                <xdr:row>212</xdr:row>
                <xdr:rowOff>0</xdr:rowOff>
              </to>
            </anchor>
          </controlPr>
        </control>
      </mc:Choice>
    </mc:AlternateContent>
    <mc:AlternateContent xmlns:mc="http://schemas.openxmlformats.org/markup-compatibility/2006">
      <mc:Choice Requires="x14">
        <control shapeId="18588" r:id="rId141" name="DownMember2_7">
          <controlPr defaultSize="0" print="0" autoFill="0" autoPict="0" macro="_xll.IBPXLClient.TechnicalCategory.ButtonActionInIBPClientFormattingSheet">
            <anchor moveWithCells="1">
              <from>
                <xdr:col>15</xdr:col>
                <xdr:colOff>0</xdr:colOff>
                <xdr:row>211</xdr:row>
                <xdr:rowOff>0</xdr:rowOff>
              </from>
              <to>
                <xdr:col>16</xdr:col>
                <xdr:colOff>0</xdr:colOff>
                <xdr:row>212</xdr:row>
                <xdr:rowOff>0</xdr:rowOff>
              </to>
            </anchor>
          </controlPr>
        </control>
      </mc:Choice>
    </mc:AlternateContent>
    <mc:AlternateContent xmlns:mc="http://schemas.openxmlformats.org/markup-compatibility/2006">
      <mc:Choice Requires="x14">
        <control shapeId="18589" r:id="rId142" name="AddedMember1_19">
          <controlPr defaultSize="0" print="0" autoFill="0" autoPict="0" macro="_xll.IBPXLClient.TechnicalCategory.ButtonActionInIBPClientFormattingSheet">
            <anchor moveWithCells="1">
              <from>
                <xdr:col>12</xdr:col>
                <xdr:colOff>0</xdr:colOff>
                <xdr:row>93</xdr:row>
                <xdr:rowOff>57150</xdr:rowOff>
              </from>
              <to>
                <xdr:col>12</xdr:col>
                <xdr:colOff>704850</xdr:colOff>
                <xdr:row>95</xdr:row>
                <xdr:rowOff>0</xdr:rowOff>
              </to>
            </anchor>
          </controlPr>
        </control>
      </mc:Choice>
    </mc:AlternateContent>
    <mc:AlternateContent xmlns:mc="http://schemas.openxmlformats.org/markup-compatibility/2006">
      <mc:Choice Requires="x14">
        <control shapeId="18590" r:id="rId143" name="ChangeMember1_19">
          <controlPr defaultSize="0" print="0" autoFill="0" autoPict="0" macro="_xll.IBPXLClient.TechnicalCategory.ButtonActionInIBPClientFormattingSheet">
            <anchor moveWithCells="1">
              <from>
                <xdr:col>12</xdr:col>
                <xdr:colOff>723900</xdr:colOff>
                <xdr:row>93</xdr:row>
                <xdr:rowOff>57150</xdr:rowOff>
              </from>
              <to>
                <xdr:col>13</xdr:col>
                <xdr:colOff>704850</xdr:colOff>
                <xdr:row>95</xdr:row>
                <xdr:rowOff>0</xdr:rowOff>
              </to>
            </anchor>
          </controlPr>
        </control>
      </mc:Choice>
    </mc:AlternateContent>
    <mc:AlternateContent xmlns:mc="http://schemas.openxmlformats.org/markup-compatibility/2006">
      <mc:Choice Requires="x14">
        <control shapeId="18591" r:id="rId144" name="UpMember1_19">
          <controlPr defaultSize="0" print="0" autoFill="0" autoPict="0" macro="_xll.IBPXLClient.TechnicalCategory.ButtonActionInIBPClientFormattingSheet">
            <anchor moveWithCells="1">
              <from>
                <xdr:col>14</xdr:col>
                <xdr:colOff>0</xdr:colOff>
                <xdr:row>93</xdr:row>
                <xdr:rowOff>57150</xdr:rowOff>
              </from>
              <to>
                <xdr:col>14</xdr:col>
                <xdr:colOff>704850</xdr:colOff>
                <xdr:row>95</xdr:row>
                <xdr:rowOff>0</xdr:rowOff>
              </to>
            </anchor>
          </controlPr>
        </control>
      </mc:Choice>
    </mc:AlternateContent>
    <mc:AlternateContent xmlns:mc="http://schemas.openxmlformats.org/markup-compatibility/2006">
      <mc:Choice Requires="x14">
        <control shapeId="18592" r:id="rId145" name="DownMember1_19">
          <controlPr defaultSize="0" print="0" autoFill="0" autoPict="0" macro="_xll.IBPXLClient.TechnicalCategory.ButtonActionInIBPClientFormattingSheet">
            <anchor moveWithCells="1">
              <from>
                <xdr:col>15</xdr:col>
                <xdr:colOff>0</xdr:colOff>
                <xdr:row>93</xdr:row>
                <xdr:rowOff>57150</xdr:rowOff>
              </from>
              <to>
                <xdr:col>16</xdr:col>
                <xdr:colOff>0</xdr:colOff>
                <xdr:row>95</xdr:row>
                <xdr:rowOff>0</xdr:rowOff>
              </to>
            </anchor>
          </controlPr>
        </control>
      </mc:Choice>
    </mc:AlternateContent>
    <mc:AlternateContent xmlns:mc="http://schemas.openxmlformats.org/markup-compatibility/2006">
      <mc:Choice Requires="x14">
        <control shapeId="18593" r:id="rId146" name="AddedMember1_20">
          <controlPr defaultSize="0" print="0" autoFill="0" autoPict="0" macro="_xll.IBPXLClient.TechnicalCategory.ButtonActionInIBPClientFormattingSheet">
            <anchor moveWithCells="1">
              <from>
                <xdr:col>12</xdr:col>
                <xdr:colOff>0</xdr:colOff>
                <xdr:row>97</xdr:row>
                <xdr:rowOff>0</xdr:rowOff>
              </from>
              <to>
                <xdr:col>12</xdr:col>
                <xdr:colOff>704850</xdr:colOff>
                <xdr:row>98</xdr:row>
                <xdr:rowOff>9525</xdr:rowOff>
              </to>
            </anchor>
          </controlPr>
        </control>
      </mc:Choice>
    </mc:AlternateContent>
    <mc:AlternateContent xmlns:mc="http://schemas.openxmlformats.org/markup-compatibility/2006">
      <mc:Choice Requires="x14">
        <control shapeId="18594" r:id="rId147" name="ChangeMember1_20">
          <controlPr defaultSize="0" print="0" autoFill="0" autoPict="0" macro="_xll.IBPXLClient.TechnicalCategory.ButtonActionInIBPClientFormattingSheet">
            <anchor moveWithCells="1">
              <from>
                <xdr:col>12</xdr:col>
                <xdr:colOff>723900</xdr:colOff>
                <xdr:row>97</xdr:row>
                <xdr:rowOff>0</xdr:rowOff>
              </from>
              <to>
                <xdr:col>13</xdr:col>
                <xdr:colOff>704850</xdr:colOff>
                <xdr:row>98</xdr:row>
                <xdr:rowOff>9525</xdr:rowOff>
              </to>
            </anchor>
          </controlPr>
        </control>
      </mc:Choice>
    </mc:AlternateContent>
    <mc:AlternateContent xmlns:mc="http://schemas.openxmlformats.org/markup-compatibility/2006">
      <mc:Choice Requires="x14">
        <control shapeId="18595" r:id="rId148" name="UpMember1_20">
          <controlPr defaultSize="0" print="0" autoFill="0" autoPict="0" macro="_xll.IBPXLClient.TechnicalCategory.ButtonActionInIBPClientFormattingSheet">
            <anchor moveWithCells="1">
              <from>
                <xdr:col>14</xdr:col>
                <xdr:colOff>0</xdr:colOff>
                <xdr:row>97</xdr:row>
                <xdr:rowOff>0</xdr:rowOff>
              </from>
              <to>
                <xdr:col>14</xdr:col>
                <xdr:colOff>704850</xdr:colOff>
                <xdr:row>98</xdr:row>
                <xdr:rowOff>9525</xdr:rowOff>
              </to>
            </anchor>
          </controlPr>
        </control>
      </mc:Choice>
    </mc:AlternateContent>
    <mc:AlternateContent xmlns:mc="http://schemas.openxmlformats.org/markup-compatibility/2006">
      <mc:Choice Requires="x14">
        <control shapeId="18596" r:id="rId149" name="DownMember1_20">
          <controlPr defaultSize="0" print="0" autoFill="0" autoPict="0" macro="_xll.IBPXLClient.TechnicalCategory.ButtonActionInIBPClientFormattingSheet">
            <anchor moveWithCells="1">
              <from>
                <xdr:col>15</xdr:col>
                <xdr:colOff>0</xdr:colOff>
                <xdr:row>97</xdr:row>
                <xdr:rowOff>0</xdr:rowOff>
              </from>
              <to>
                <xdr:col>16</xdr:col>
                <xdr:colOff>0</xdr:colOff>
                <xdr:row>98</xdr:row>
                <xdr:rowOff>9525</xdr:rowOff>
              </to>
            </anchor>
          </controlPr>
        </control>
      </mc:Choice>
    </mc:AlternateContent>
    <mc:AlternateContent xmlns:mc="http://schemas.openxmlformats.org/markup-compatibility/2006">
      <mc:Choice Requires="x14">
        <control shapeId="18597" r:id="rId150" name="AddedMember1_21">
          <controlPr defaultSize="0" print="0" autoFill="0" autoPict="0" macro="_xll.IBPXLClient.TechnicalCategory.ButtonActionInIBPClientFormattingSheet">
            <anchor moveWithCells="1">
              <from>
                <xdr:col>12</xdr:col>
                <xdr:colOff>0</xdr:colOff>
                <xdr:row>100</xdr:row>
                <xdr:rowOff>0</xdr:rowOff>
              </from>
              <to>
                <xdr:col>12</xdr:col>
                <xdr:colOff>704850</xdr:colOff>
                <xdr:row>101</xdr:row>
                <xdr:rowOff>9525</xdr:rowOff>
              </to>
            </anchor>
          </controlPr>
        </control>
      </mc:Choice>
    </mc:AlternateContent>
    <mc:AlternateContent xmlns:mc="http://schemas.openxmlformats.org/markup-compatibility/2006">
      <mc:Choice Requires="x14">
        <control shapeId="18598" r:id="rId151" name="ChangeMember1_21">
          <controlPr defaultSize="0" print="0" autoFill="0" autoPict="0" macro="_xll.IBPXLClient.TechnicalCategory.ButtonActionInIBPClientFormattingSheet">
            <anchor moveWithCells="1">
              <from>
                <xdr:col>12</xdr:col>
                <xdr:colOff>723900</xdr:colOff>
                <xdr:row>100</xdr:row>
                <xdr:rowOff>0</xdr:rowOff>
              </from>
              <to>
                <xdr:col>13</xdr:col>
                <xdr:colOff>704850</xdr:colOff>
                <xdr:row>101</xdr:row>
                <xdr:rowOff>9525</xdr:rowOff>
              </to>
            </anchor>
          </controlPr>
        </control>
      </mc:Choice>
    </mc:AlternateContent>
    <mc:AlternateContent xmlns:mc="http://schemas.openxmlformats.org/markup-compatibility/2006">
      <mc:Choice Requires="x14">
        <control shapeId="18599" r:id="rId152" name="UpMember1_21">
          <controlPr defaultSize="0" print="0" autoFill="0" autoPict="0" macro="_xll.IBPXLClient.TechnicalCategory.ButtonActionInIBPClientFormattingSheet">
            <anchor moveWithCells="1">
              <from>
                <xdr:col>14</xdr:col>
                <xdr:colOff>0</xdr:colOff>
                <xdr:row>100</xdr:row>
                <xdr:rowOff>0</xdr:rowOff>
              </from>
              <to>
                <xdr:col>14</xdr:col>
                <xdr:colOff>704850</xdr:colOff>
                <xdr:row>101</xdr:row>
                <xdr:rowOff>9525</xdr:rowOff>
              </to>
            </anchor>
          </controlPr>
        </control>
      </mc:Choice>
    </mc:AlternateContent>
    <mc:AlternateContent xmlns:mc="http://schemas.openxmlformats.org/markup-compatibility/2006">
      <mc:Choice Requires="x14">
        <control shapeId="18600" r:id="rId153" name="DownMember1_21">
          <controlPr defaultSize="0" print="0" autoFill="0" autoPict="0" macro="_xll.IBPXLClient.TechnicalCategory.ButtonActionInIBPClientFormattingSheet">
            <anchor moveWithCells="1">
              <from>
                <xdr:col>15</xdr:col>
                <xdr:colOff>0</xdr:colOff>
                <xdr:row>100</xdr:row>
                <xdr:rowOff>0</xdr:rowOff>
              </from>
              <to>
                <xdr:col>16</xdr:col>
                <xdr:colOff>0</xdr:colOff>
                <xdr:row>101</xdr:row>
                <xdr:rowOff>9525</xdr:rowOff>
              </to>
            </anchor>
          </controlPr>
        </control>
      </mc:Choice>
    </mc:AlternateContent>
    <mc:AlternateContent xmlns:mc="http://schemas.openxmlformats.org/markup-compatibility/2006">
      <mc:Choice Requires="x14">
        <control shapeId="18601" r:id="rId154" name="AddedMember1_22">
          <controlPr defaultSize="0" print="0" autoFill="0" autoPict="0" macro="_xll.IBPXLClient.TechnicalCategory.ButtonActionInIBPClientFormattingSheet">
            <anchor moveWithCells="1">
              <from>
                <xdr:col>12</xdr:col>
                <xdr:colOff>0</xdr:colOff>
                <xdr:row>103</xdr:row>
                <xdr:rowOff>0</xdr:rowOff>
              </from>
              <to>
                <xdr:col>12</xdr:col>
                <xdr:colOff>704850</xdr:colOff>
                <xdr:row>104</xdr:row>
                <xdr:rowOff>0</xdr:rowOff>
              </to>
            </anchor>
          </controlPr>
        </control>
      </mc:Choice>
    </mc:AlternateContent>
    <mc:AlternateContent xmlns:mc="http://schemas.openxmlformats.org/markup-compatibility/2006">
      <mc:Choice Requires="x14">
        <control shapeId="18602" r:id="rId155" name="ChangeMember1_22">
          <controlPr defaultSize="0" print="0" autoFill="0" autoPict="0" macro="_xll.IBPXLClient.TechnicalCategory.ButtonActionInIBPClientFormattingSheet">
            <anchor moveWithCells="1">
              <from>
                <xdr:col>12</xdr:col>
                <xdr:colOff>723900</xdr:colOff>
                <xdr:row>103</xdr:row>
                <xdr:rowOff>0</xdr:rowOff>
              </from>
              <to>
                <xdr:col>13</xdr:col>
                <xdr:colOff>704850</xdr:colOff>
                <xdr:row>104</xdr:row>
                <xdr:rowOff>0</xdr:rowOff>
              </to>
            </anchor>
          </controlPr>
        </control>
      </mc:Choice>
    </mc:AlternateContent>
    <mc:AlternateContent xmlns:mc="http://schemas.openxmlformats.org/markup-compatibility/2006">
      <mc:Choice Requires="x14">
        <control shapeId="18603" r:id="rId156" name="UpMember1_22">
          <controlPr defaultSize="0" print="0" autoFill="0" autoPict="0" macro="_xll.IBPXLClient.TechnicalCategory.ButtonActionInIBPClientFormattingSheet">
            <anchor moveWithCells="1">
              <from>
                <xdr:col>14</xdr:col>
                <xdr:colOff>0</xdr:colOff>
                <xdr:row>103</xdr:row>
                <xdr:rowOff>0</xdr:rowOff>
              </from>
              <to>
                <xdr:col>14</xdr:col>
                <xdr:colOff>704850</xdr:colOff>
                <xdr:row>104</xdr:row>
                <xdr:rowOff>0</xdr:rowOff>
              </to>
            </anchor>
          </controlPr>
        </control>
      </mc:Choice>
    </mc:AlternateContent>
    <mc:AlternateContent xmlns:mc="http://schemas.openxmlformats.org/markup-compatibility/2006">
      <mc:Choice Requires="x14">
        <control shapeId="18604" r:id="rId157" name="DownMember1_22">
          <controlPr defaultSize="0" print="0" autoFill="0" autoPict="0" macro="_xll.IBPXLClient.TechnicalCategory.ButtonActionInIBPClientFormattingSheet">
            <anchor moveWithCells="1">
              <from>
                <xdr:col>15</xdr:col>
                <xdr:colOff>0</xdr:colOff>
                <xdr:row>103</xdr:row>
                <xdr:rowOff>0</xdr:rowOff>
              </from>
              <to>
                <xdr:col>16</xdr:col>
                <xdr:colOff>0</xdr:colOff>
                <xdr:row>104</xdr:row>
                <xdr:rowOff>0</xdr:rowOff>
              </to>
            </anchor>
          </controlPr>
        </control>
      </mc:Choice>
    </mc:AlternateContent>
    <mc:AlternateContent xmlns:mc="http://schemas.openxmlformats.org/markup-compatibility/2006">
      <mc:Choice Requires="x14">
        <control shapeId="18605" r:id="rId158" name="AddedMember1_23">
          <controlPr defaultSize="0" print="0" autoFill="0" autoPict="0" macro="_xll.IBPXLClient.TechnicalCategory.ButtonActionInIBPClientFormattingSheet">
            <anchor moveWithCells="1">
              <from>
                <xdr:col>12</xdr:col>
                <xdr:colOff>0</xdr:colOff>
                <xdr:row>105</xdr:row>
                <xdr:rowOff>57150</xdr:rowOff>
              </from>
              <to>
                <xdr:col>12</xdr:col>
                <xdr:colOff>704850</xdr:colOff>
                <xdr:row>107</xdr:row>
                <xdr:rowOff>0</xdr:rowOff>
              </to>
            </anchor>
          </controlPr>
        </control>
      </mc:Choice>
    </mc:AlternateContent>
    <mc:AlternateContent xmlns:mc="http://schemas.openxmlformats.org/markup-compatibility/2006">
      <mc:Choice Requires="x14">
        <control shapeId="18606" r:id="rId159" name="ChangeMember1_23">
          <controlPr defaultSize="0" print="0" autoFill="0" autoPict="0" macro="_xll.IBPXLClient.TechnicalCategory.ButtonActionInIBPClientFormattingSheet">
            <anchor moveWithCells="1">
              <from>
                <xdr:col>12</xdr:col>
                <xdr:colOff>723900</xdr:colOff>
                <xdr:row>105</xdr:row>
                <xdr:rowOff>57150</xdr:rowOff>
              </from>
              <to>
                <xdr:col>13</xdr:col>
                <xdr:colOff>704850</xdr:colOff>
                <xdr:row>107</xdr:row>
                <xdr:rowOff>0</xdr:rowOff>
              </to>
            </anchor>
          </controlPr>
        </control>
      </mc:Choice>
    </mc:AlternateContent>
    <mc:AlternateContent xmlns:mc="http://schemas.openxmlformats.org/markup-compatibility/2006">
      <mc:Choice Requires="x14">
        <control shapeId="18607" r:id="rId160" name="UpMember1_23">
          <controlPr defaultSize="0" print="0" autoFill="0" autoPict="0" macro="_xll.IBPXLClient.TechnicalCategory.ButtonActionInIBPClientFormattingSheet">
            <anchor moveWithCells="1">
              <from>
                <xdr:col>14</xdr:col>
                <xdr:colOff>0</xdr:colOff>
                <xdr:row>105</xdr:row>
                <xdr:rowOff>57150</xdr:rowOff>
              </from>
              <to>
                <xdr:col>14</xdr:col>
                <xdr:colOff>704850</xdr:colOff>
                <xdr:row>107</xdr:row>
                <xdr:rowOff>0</xdr:rowOff>
              </to>
            </anchor>
          </controlPr>
        </control>
      </mc:Choice>
    </mc:AlternateContent>
    <mc:AlternateContent xmlns:mc="http://schemas.openxmlformats.org/markup-compatibility/2006">
      <mc:Choice Requires="x14">
        <control shapeId="18608" r:id="rId161" name="DownMember1_23">
          <controlPr defaultSize="0" print="0" autoFill="0" autoPict="0" macro="_xll.IBPXLClient.TechnicalCategory.ButtonActionInIBPClientFormattingSheet">
            <anchor moveWithCells="1">
              <from>
                <xdr:col>15</xdr:col>
                <xdr:colOff>0</xdr:colOff>
                <xdr:row>105</xdr:row>
                <xdr:rowOff>57150</xdr:rowOff>
              </from>
              <to>
                <xdr:col>16</xdr:col>
                <xdr:colOff>0</xdr:colOff>
                <xdr:row>107</xdr:row>
                <xdr:rowOff>0</xdr:rowOff>
              </to>
            </anchor>
          </controlPr>
        </control>
      </mc:Choice>
    </mc:AlternateContent>
    <mc:AlternateContent xmlns:mc="http://schemas.openxmlformats.org/markup-compatibility/2006">
      <mc:Choice Requires="x14">
        <control shapeId="18609" r:id="rId162" name="AddedMember1_24">
          <controlPr defaultSize="0" print="0" autoFill="0" autoPict="0" macro="_xll.IBPXLClient.TechnicalCategory.ButtonActionInIBPClientFormattingSheet">
            <anchor moveWithCells="1">
              <from>
                <xdr:col>12</xdr:col>
                <xdr:colOff>0</xdr:colOff>
                <xdr:row>108</xdr:row>
                <xdr:rowOff>57150</xdr:rowOff>
              </from>
              <to>
                <xdr:col>12</xdr:col>
                <xdr:colOff>704850</xdr:colOff>
                <xdr:row>110</xdr:row>
                <xdr:rowOff>0</xdr:rowOff>
              </to>
            </anchor>
          </controlPr>
        </control>
      </mc:Choice>
    </mc:AlternateContent>
    <mc:AlternateContent xmlns:mc="http://schemas.openxmlformats.org/markup-compatibility/2006">
      <mc:Choice Requires="x14">
        <control shapeId="18610" r:id="rId163" name="ChangeMember1_24">
          <controlPr defaultSize="0" print="0" autoFill="0" autoPict="0" macro="_xll.IBPXLClient.TechnicalCategory.ButtonActionInIBPClientFormattingSheet">
            <anchor moveWithCells="1">
              <from>
                <xdr:col>12</xdr:col>
                <xdr:colOff>723900</xdr:colOff>
                <xdr:row>108</xdr:row>
                <xdr:rowOff>57150</xdr:rowOff>
              </from>
              <to>
                <xdr:col>13</xdr:col>
                <xdr:colOff>704850</xdr:colOff>
                <xdr:row>110</xdr:row>
                <xdr:rowOff>0</xdr:rowOff>
              </to>
            </anchor>
          </controlPr>
        </control>
      </mc:Choice>
    </mc:AlternateContent>
    <mc:AlternateContent xmlns:mc="http://schemas.openxmlformats.org/markup-compatibility/2006">
      <mc:Choice Requires="x14">
        <control shapeId="18611" r:id="rId164" name="UpMember1_24">
          <controlPr defaultSize="0" print="0" autoFill="0" autoPict="0" macro="_xll.IBPXLClient.TechnicalCategory.ButtonActionInIBPClientFormattingSheet">
            <anchor moveWithCells="1">
              <from>
                <xdr:col>14</xdr:col>
                <xdr:colOff>0</xdr:colOff>
                <xdr:row>108</xdr:row>
                <xdr:rowOff>57150</xdr:rowOff>
              </from>
              <to>
                <xdr:col>14</xdr:col>
                <xdr:colOff>704850</xdr:colOff>
                <xdr:row>110</xdr:row>
                <xdr:rowOff>0</xdr:rowOff>
              </to>
            </anchor>
          </controlPr>
        </control>
      </mc:Choice>
    </mc:AlternateContent>
    <mc:AlternateContent xmlns:mc="http://schemas.openxmlformats.org/markup-compatibility/2006">
      <mc:Choice Requires="x14">
        <control shapeId="18612" r:id="rId165" name="DownMember1_24">
          <controlPr defaultSize="0" print="0" autoFill="0" autoPict="0" macro="_xll.IBPXLClient.TechnicalCategory.ButtonActionInIBPClientFormattingSheet">
            <anchor moveWithCells="1">
              <from>
                <xdr:col>15</xdr:col>
                <xdr:colOff>0</xdr:colOff>
                <xdr:row>108</xdr:row>
                <xdr:rowOff>57150</xdr:rowOff>
              </from>
              <to>
                <xdr:col>16</xdr:col>
                <xdr:colOff>0</xdr:colOff>
                <xdr:row>110</xdr:row>
                <xdr:rowOff>0</xdr:rowOff>
              </to>
            </anchor>
          </controlPr>
        </control>
      </mc:Choice>
    </mc:AlternateContent>
    <mc:AlternateContent xmlns:mc="http://schemas.openxmlformats.org/markup-compatibility/2006">
      <mc:Choice Requires="x14">
        <control shapeId="18613" r:id="rId166" name="AddedMember1_25">
          <controlPr defaultSize="0" print="0" autoFill="0" autoPict="0" macro="_xll.IBPXLClient.TechnicalCategory.ButtonActionInIBPClientFormattingSheet">
            <anchor moveWithCells="1">
              <from>
                <xdr:col>12</xdr:col>
                <xdr:colOff>0</xdr:colOff>
                <xdr:row>112</xdr:row>
                <xdr:rowOff>0</xdr:rowOff>
              </from>
              <to>
                <xdr:col>12</xdr:col>
                <xdr:colOff>704850</xdr:colOff>
                <xdr:row>113</xdr:row>
                <xdr:rowOff>9525</xdr:rowOff>
              </to>
            </anchor>
          </controlPr>
        </control>
      </mc:Choice>
    </mc:AlternateContent>
    <mc:AlternateContent xmlns:mc="http://schemas.openxmlformats.org/markup-compatibility/2006">
      <mc:Choice Requires="x14">
        <control shapeId="18614" r:id="rId167" name="ChangeMember1_25">
          <controlPr defaultSize="0" print="0" autoFill="0" autoPict="0" macro="_xll.IBPXLClient.TechnicalCategory.ButtonActionInIBPClientFormattingSheet">
            <anchor moveWithCells="1">
              <from>
                <xdr:col>12</xdr:col>
                <xdr:colOff>723900</xdr:colOff>
                <xdr:row>112</xdr:row>
                <xdr:rowOff>0</xdr:rowOff>
              </from>
              <to>
                <xdr:col>13</xdr:col>
                <xdr:colOff>704850</xdr:colOff>
                <xdr:row>113</xdr:row>
                <xdr:rowOff>9525</xdr:rowOff>
              </to>
            </anchor>
          </controlPr>
        </control>
      </mc:Choice>
    </mc:AlternateContent>
    <mc:AlternateContent xmlns:mc="http://schemas.openxmlformats.org/markup-compatibility/2006">
      <mc:Choice Requires="x14">
        <control shapeId="18615" r:id="rId168" name="UpMember1_25">
          <controlPr defaultSize="0" print="0" autoFill="0" autoPict="0" macro="_xll.IBPXLClient.TechnicalCategory.ButtonActionInIBPClientFormattingSheet">
            <anchor moveWithCells="1">
              <from>
                <xdr:col>14</xdr:col>
                <xdr:colOff>0</xdr:colOff>
                <xdr:row>112</xdr:row>
                <xdr:rowOff>0</xdr:rowOff>
              </from>
              <to>
                <xdr:col>14</xdr:col>
                <xdr:colOff>704850</xdr:colOff>
                <xdr:row>113</xdr:row>
                <xdr:rowOff>9525</xdr:rowOff>
              </to>
            </anchor>
          </controlPr>
        </control>
      </mc:Choice>
    </mc:AlternateContent>
    <mc:AlternateContent xmlns:mc="http://schemas.openxmlformats.org/markup-compatibility/2006">
      <mc:Choice Requires="x14">
        <control shapeId="18616" r:id="rId169" name="DownMember1_25">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9525</xdr:rowOff>
              </to>
            </anchor>
          </controlPr>
        </control>
      </mc:Choice>
    </mc:AlternateContent>
    <mc:AlternateContent xmlns:mc="http://schemas.openxmlformats.org/markup-compatibility/2006">
      <mc:Choice Requires="x14">
        <control shapeId="18650" r:id="rId170" name="AddedMember1_26">
          <controlPr defaultSize="0" print="0" autoFill="0" autoPict="0" macro="_xll.IBPXLClient.TechnicalCategory.ButtonActionInIBPClientFormattingSheet">
            <anchor moveWithCells="1">
              <from>
                <xdr:col>11</xdr:col>
                <xdr:colOff>2438400</xdr:colOff>
                <xdr:row>115</xdr:row>
                <xdr:rowOff>0</xdr:rowOff>
              </from>
              <to>
                <xdr:col>12</xdr:col>
                <xdr:colOff>676275</xdr:colOff>
                <xdr:row>116</xdr:row>
                <xdr:rowOff>0</xdr:rowOff>
              </to>
            </anchor>
          </controlPr>
        </control>
      </mc:Choice>
    </mc:AlternateContent>
    <mc:AlternateContent xmlns:mc="http://schemas.openxmlformats.org/markup-compatibility/2006">
      <mc:Choice Requires="x14">
        <control shapeId="18651" r:id="rId171" name="ChangeMember1_26">
          <controlPr defaultSize="0" print="0" autoFill="0" autoPict="0" macro="_xll.IBPXLClient.TechnicalCategory.ButtonActionInIBPClientFormattingSheet">
            <anchor moveWithCells="1">
              <from>
                <xdr:col>13</xdr:col>
                <xdr:colOff>0</xdr:colOff>
                <xdr:row>115</xdr:row>
                <xdr:rowOff>0</xdr:rowOff>
              </from>
              <to>
                <xdr:col>13</xdr:col>
                <xdr:colOff>685800</xdr:colOff>
                <xdr:row>116</xdr:row>
                <xdr:rowOff>0</xdr:rowOff>
              </to>
            </anchor>
          </controlPr>
        </control>
      </mc:Choice>
    </mc:AlternateContent>
    <mc:AlternateContent xmlns:mc="http://schemas.openxmlformats.org/markup-compatibility/2006">
      <mc:Choice Requires="x14">
        <control shapeId="18652" r:id="rId172" name="UpMember1_26">
          <controlPr defaultSize="0" print="0" autoFill="0" autoPict="0" macro="_xll.IBPXLClient.TechnicalCategory.ButtonActionInIBPClientFormattingSheet">
            <anchor moveWithCells="1">
              <from>
                <xdr:col>14</xdr:col>
                <xdr:colOff>0</xdr:colOff>
                <xdr:row>115</xdr:row>
                <xdr:rowOff>0</xdr:rowOff>
              </from>
              <to>
                <xdr:col>14</xdr:col>
                <xdr:colOff>685800</xdr:colOff>
                <xdr:row>116</xdr:row>
                <xdr:rowOff>0</xdr:rowOff>
              </to>
            </anchor>
          </controlPr>
        </control>
      </mc:Choice>
    </mc:AlternateContent>
    <mc:AlternateContent xmlns:mc="http://schemas.openxmlformats.org/markup-compatibility/2006">
      <mc:Choice Requires="x14">
        <control shapeId="18653" r:id="rId173" name="DownMember1_26">
          <controlPr defaultSize="0" print="0" autoFill="0" autoPict="0" macro="_xll.IBPXLClient.TechnicalCategory.ButtonActionInIBPClientFormattingSheet">
            <anchor moveWithCells="1">
              <from>
                <xdr:col>14</xdr:col>
                <xdr:colOff>704850</xdr:colOff>
                <xdr:row>115</xdr:row>
                <xdr:rowOff>0</xdr:rowOff>
              </from>
              <to>
                <xdr:col>15</xdr:col>
                <xdr:colOff>676275</xdr:colOff>
                <xdr:row>116</xdr:row>
                <xdr:rowOff>0</xdr:rowOff>
              </to>
            </anchor>
          </controlPr>
        </control>
      </mc:Choice>
    </mc:AlternateContent>
    <mc:AlternateContent xmlns:mc="http://schemas.openxmlformats.org/markup-compatibility/2006">
      <mc:Choice Requires="x14">
        <control shapeId="18660" r:id="rId174" name="AddedMember1_27">
          <controlPr defaultSize="0" print="0" autoFill="0" autoPict="0" macro="_xll.IBPXLClient.TechnicalCategory.ButtonActionInIBPClientFormattingSheet">
            <anchor moveWithCells="1">
              <from>
                <xdr:col>11</xdr:col>
                <xdr:colOff>2438400</xdr:colOff>
                <xdr:row>117</xdr:row>
                <xdr:rowOff>47625</xdr:rowOff>
              </from>
              <to>
                <xdr:col>12</xdr:col>
                <xdr:colOff>676275</xdr:colOff>
                <xdr:row>118</xdr:row>
                <xdr:rowOff>190500</xdr:rowOff>
              </to>
            </anchor>
          </controlPr>
        </control>
      </mc:Choice>
    </mc:AlternateContent>
    <mc:AlternateContent xmlns:mc="http://schemas.openxmlformats.org/markup-compatibility/2006">
      <mc:Choice Requires="x14">
        <control shapeId="18661" r:id="rId175" name="ChangeMember1_27">
          <controlPr defaultSize="0" print="0" autoFill="0" autoPict="0" macro="_xll.IBPXLClient.TechnicalCategory.ButtonActionInIBPClientFormattingSheet">
            <anchor moveWithCells="1">
              <from>
                <xdr:col>13</xdr:col>
                <xdr:colOff>0</xdr:colOff>
                <xdr:row>117</xdr:row>
                <xdr:rowOff>47625</xdr:rowOff>
              </from>
              <to>
                <xdr:col>13</xdr:col>
                <xdr:colOff>685800</xdr:colOff>
                <xdr:row>118</xdr:row>
                <xdr:rowOff>190500</xdr:rowOff>
              </to>
            </anchor>
          </controlPr>
        </control>
      </mc:Choice>
    </mc:AlternateContent>
    <mc:AlternateContent xmlns:mc="http://schemas.openxmlformats.org/markup-compatibility/2006">
      <mc:Choice Requires="x14">
        <control shapeId="18662" r:id="rId176" name="UpMember1_27">
          <controlPr defaultSize="0" print="0" autoFill="0" autoPict="0" macro="_xll.IBPXLClient.TechnicalCategory.ButtonActionInIBPClientFormattingSheet">
            <anchor moveWithCells="1">
              <from>
                <xdr:col>14</xdr:col>
                <xdr:colOff>0</xdr:colOff>
                <xdr:row>117</xdr:row>
                <xdr:rowOff>47625</xdr:rowOff>
              </from>
              <to>
                <xdr:col>14</xdr:col>
                <xdr:colOff>685800</xdr:colOff>
                <xdr:row>118</xdr:row>
                <xdr:rowOff>190500</xdr:rowOff>
              </to>
            </anchor>
          </controlPr>
        </control>
      </mc:Choice>
    </mc:AlternateContent>
    <mc:AlternateContent xmlns:mc="http://schemas.openxmlformats.org/markup-compatibility/2006">
      <mc:Choice Requires="x14">
        <control shapeId="18663" r:id="rId177" name="DownMember1_27">
          <controlPr defaultSize="0" print="0" autoFill="0" autoPict="0" macro="_xll.IBPXLClient.TechnicalCategory.ButtonActionInIBPClientFormattingSheet">
            <anchor moveWithCells="1">
              <from>
                <xdr:col>14</xdr:col>
                <xdr:colOff>704850</xdr:colOff>
                <xdr:row>117</xdr:row>
                <xdr:rowOff>47625</xdr:rowOff>
              </from>
              <to>
                <xdr:col>15</xdr:col>
                <xdr:colOff>676275</xdr:colOff>
                <xdr:row>118</xdr:row>
                <xdr:rowOff>190500</xdr:rowOff>
              </to>
            </anchor>
          </controlPr>
        </control>
      </mc:Choice>
    </mc:AlternateContent>
    <mc:AlternateContent xmlns:mc="http://schemas.openxmlformats.org/markup-compatibility/2006">
      <mc:Choice Requires="x14">
        <control shapeId="18665" r:id="rId178" name="AddedMember1_28">
          <controlPr defaultSize="0" print="0" autoFill="0" autoPict="0" macro="_xll.IBPXLClient.TechnicalCategory.ButtonActionInIBPClientFormattingSheet">
            <anchor moveWithCells="1">
              <from>
                <xdr:col>11</xdr:col>
                <xdr:colOff>2438400</xdr:colOff>
                <xdr:row>120</xdr:row>
                <xdr:rowOff>47625</xdr:rowOff>
              </from>
              <to>
                <xdr:col>12</xdr:col>
                <xdr:colOff>676275</xdr:colOff>
                <xdr:row>122</xdr:row>
                <xdr:rowOff>0</xdr:rowOff>
              </to>
            </anchor>
          </controlPr>
        </control>
      </mc:Choice>
    </mc:AlternateContent>
    <mc:AlternateContent xmlns:mc="http://schemas.openxmlformats.org/markup-compatibility/2006">
      <mc:Choice Requires="x14">
        <control shapeId="18666" r:id="rId179" name="ChangeMember1_28">
          <controlPr defaultSize="0" print="0" autoFill="0" autoPict="0" macro="_xll.IBPXLClient.TechnicalCategory.ButtonActionInIBPClientFormattingSheet">
            <anchor moveWithCells="1">
              <from>
                <xdr:col>13</xdr:col>
                <xdr:colOff>0</xdr:colOff>
                <xdr:row>120</xdr:row>
                <xdr:rowOff>47625</xdr:rowOff>
              </from>
              <to>
                <xdr:col>13</xdr:col>
                <xdr:colOff>685800</xdr:colOff>
                <xdr:row>122</xdr:row>
                <xdr:rowOff>0</xdr:rowOff>
              </to>
            </anchor>
          </controlPr>
        </control>
      </mc:Choice>
    </mc:AlternateContent>
    <mc:AlternateContent xmlns:mc="http://schemas.openxmlformats.org/markup-compatibility/2006">
      <mc:Choice Requires="x14">
        <control shapeId="18667" r:id="rId180" name="UpMember1_28">
          <controlPr defaultSize="0" print="0" autoFill="0" autoPict="0" macro="_xll.IBPXLClient.TechnicalCategory.ButtonActionInIBPClientFormattingSheet">
            <anchor moveWithCells="1">
              <from>
                <xdr:col>14</xdr:col>
                <xdr:colOff>0</xdr:colOff>
                <xdr:row>120</xdr:row>
                <xdr:rowOff>47625</xdr:rowOff>
              </from>
              <to>
                <xdr:col>14</xdr:col>
                <xdr:colOff>685800</xdr:colOff>
                <xdr:row>122</xdr:row>
                <xdr:rowOff>0</xdr:rowOff>
              </to>
            </anchor>
          </controlPr>
        </control>
      </mc:Choice>
    </mc:AlternateContent>
    <mc:AlternateContent xmlns:mc="http://schemas.openxmlformats.org/markup-compatibility/2006">
      <mc:Choice Requires="x14">
        <control shapeId="18668" r:id="rId181" name="DownMember1_28">
          <controlPr defaultSize="0" print="0" autoFill="0" autoPict="0" macro="_xll.IBPXLClient.TechnicalCategory.ButtonActionInIBPClientFormattingSheet">
            <anchor moveWithCells="1">
              <from>
                <xdr:col>14</xdr:col>
                <xdr:colOff>704850</xdr:colOff>
                <xdr:row>120</xdr:row>
                <xdr:rowOff>47625</xdr:rowOff>
              </from>
              <to>
                <xdr:col>15</xdr:col>
                <xdr:colOff>676275</xdr:colOff>
                <xdr:row>122</xdr:row>
                <xdr:rowOff>0</xdr:rowOff>
              </to>
            </anchor>
          </controlPr>
        </control>
      </mc:Choice>
    </mc:AlternateContent>
    <mc:AlternateContent xmlns:mc="http://schemas.openxmlformats.org/markup-compatibility/2006">
      <mc:Choice Requires="x14">
        <control shapeId="18670" r:id="rId182" name="AddedMember1_29">
          <controlPr defaultSize="0" print="0" autoFill="0" autoPict="0" macro="_xll.IBPXLClient.TechnicalCategory.ButtonActionInIBPClientFormattingSheet">
            <anchor moveWithCells="1">
              <from>
                <xdr:col>11</xdr:col>
                <xdr:colOff>2438400</xdr:colOff>
                <xdr:row>124</xdr:row>
                <xdr:rowOff>0</xdr:rowOff>
              </from>
              <to>
                <xdr:col>12</xdr:col>
                <xdr:colOff>676275</xdr:colOff>
                <xdr:row>125</xdr:row>
                <xdr:rowOff>0</xdr:rowOff>
              </to>
            </anchor>
          </controlPr>
        </control>
      </mc:Choice>
    </mc:AlternateContent>
    <mc:AlternateContent xmlns:mc="http://schemas.openxmlformats.org/markup-compatibility/2006">
      <mc:Choice Requires="x14">
        <control shapeId="18671" r:id="rId183" name="ChangeMember1_29">
          <controlPr defaultSize="0" print="0" autoFill="0" autoPict="0" macro="_xll.IBPXLClient.TechnicalCategory.ButtonActionInIBPClientFormattingSheet">
            <anchor moveWithCells="1">
              <from>
                <xdr:col>13</xdr:col>
                <xdr:colOff>0</xdr:colOff>
                <xdr:row>124</xdr:row>
                <xdr:rowOff>0</xdr:rowOff>
              </from>
              <to>
                <xdr:col>13</xdr:col>
                <xdr:colOff>685800</xdr:colOff>
                <xdr:row>125</xdr:row>
                <xdr:rowOff>0</xdr:rowOff>
              </to>
            </anchor>
          </controlPr>
        </control>
      </mc:Choice>
    </mc:AlternateContent>
    <mc:AlternateContent xmlns:mc="http://schemas.openxmlformats.org/markup-compatibility/2006">
      <mc:Choice Requires="x14">
        <control shapeId="18672" r:id="rId184" name="UpMember1_29">
          <controlPr defaultSize="0" print="0" autoFill="0" autoPict="0" macro="_xll.IBPXLClient.TechnicalCategory.ButtonActionInIBPClientFormattingSheet">
            <anchor moveWithCells="1">
              <from>
                <xdr:col>14</xdr:col>
                <xdr:colOff>0</xdr:colOff>
                <xdr:row>124</xdr:row>
                <xdr:rowOff>0</xdr:rowOff>
              </from>
              <to>
                <xdr:col>14</xdr:col>
                <xdr:colOff>685800</xdr:colOff>
                <xdr:row>125</xdr:row>
                <xdr:rowOff>0</xdr:rowOff>
              </to>
            </anchor>
          </controlPr>
        </control>
      </mc:Choice>
    </mc:AlternateContent>
    <mc:AlternateContent xmlns:mc="http://schemas.openxmlformats.org/markup-compatibility/2006">
      <mc:Choice Requires="x14">
        <control shapeId="18673" r:id="rId185" name="DownMember1_29">
          <controlPr defaultSize="0" print="0" autoFill="0" autoPict="0" macro="_xll.IBPXLClient.TechnicalCategory.ButtonActionInIBPClientFormattingSheet">
            <anchor moveWithCells="1">
              <from>
                <xdr:col>14</xdr:col>
                <xdr:colOff>704850</xdr:colOff>
                <xdr:row>124</xdr:row>
                <xdr:rowOff>0</xdr:rowOff>
              </from>
              <to>
                <xdr:col>15</xdr:col>
                <xdr:colOff>676275</xdr:colOff>
                <xdr:row>125</xdr:row>
                <xdr:rowOff>0</xdr:rowOff>
              </to>
            </anchor>
          </controlPr>
        </control>
      </mc:Choice>
    </mc:AlternateContent>
    <mc:AlternateContent xmlns:mc="http://schemas.openxmlformats.org/markup-compatibility/2006">
      <mc:Choice Requires="x14">
        <control shapeId="18675" r:id="rId186" name="AddedMember1_30">
          <controlPr defaultSize="0" print="0" autoFill="0" autoPict="0" macro="_xll.IBPXLClient.TechnicalCategory.ButtonActionInIBPClientFormattingSheet">
            <anchor moveWithCells="1">
              <from>
                <xdr:col>11</xdr:col>
                <xdr:colOff>2438400</xdr:colOff>
                <xdr:row>127</xdr:row>
                <xdr:rowOff>0</xdr:rowOff>
              </from>
              <to>
                <xdr:col>12</xdr:col>
                <xdr:colOff>676275</xdr:colOff>
                <xdr:row>128</xdr:row>
                <xdr:rowOff>0</xdr:rowOff>
              </to>
            </anchor>
          </controlPr>
        </control>
      </mc:Choice>
    </mc:AlternateContent>
    <mc:AlternateContent xmlns:mc="http://schemas.openxmlformats.org/markup-compatibility/2006">
      <mc:Choice Requires="x14">
        <control shapeId="18676" r:id="rId187" name="ChangeMember1_30">
          <controlPr defaultSize="0" print="0" autoFill="0" autoPict="0" macro="_xll.IBPXLClient.TechnicalCategory.ButtonActionInIBPClientFormattingSheet">
            <anchor moveWithCells="1">
              <from>
                <xdr:col>13</xdr:col>
                <xdr:colOff>0</xdr:colOff>
                <xdr:row>127</xdr:row>
                <xdr:rowOff>0</xdr:rowOff>
              </from>
              <to>
                <xdr:col>13</xdr:col>
                <xdr:colOff>685800</xdr:colOff>
                <xdr:row>128</xdr:row>
                <xdr:rowOff>0</xdr:rowOff>
              </to>
            </anchor>
          </controlPr>
        </control>
      </mc:Choice>
    </mc:AlternateContent>
    <mc:AlternateContent xmlns:mc="http://schemas.openxmlformats.org/markup-compatibility/2006">
      <mc:Choice Requires="x14">
        <control shapeId="18677" r:id="rId188" name="UpMember1_30">
          <controlPr defaultSize="0" print="0" autoFill="0" autoPict="0" macro="_xll.IBPXLClient.TechnicalCategory.ButtonActionInIBPClientFormattingSheet">
            <anchor moveWithCells="1">
              <from>
                <xdr:col>14</xdr:col>
                <xdr:colOff>0</xdr:colOff>
                <xdr:row>127</xdr:row>
                <xdr:rowOff>0</xdr:rowOff>
              </from>
              <to>
                <xdr:col>14</xdr:col>
                <xdr:colOff>685800</xdr:colOff>
                <xdr:row>128</xdr:row>
                <xdr:rowOff>0</xdr:rowOff>
              </to>
            </anchor>
          </controlPr>
        </control>
      </mc:Choice>
    </mc:AlternateContent>
    <mc:AlternateContent xmlns:mc="http://schemas.openxmlformats.org/markup-compatibility/2006">
      <mc:Choice Requires="x14">
        <control shapeId="18678" r:id="rId189" name="DownMember1_30">
          <controlPr defaultSize="0" print="0" autoFill="0" autoPict="0" macro="_xll.IBPXLClient.TechnicalCategory.ButtonActionInIBPClientFormattingSheet">
            <anchor moveWithCells="1">
              <from>
                <xdr:col>14</xdr:col>
                <xdr:colOff>704850</xdr:colOff>
                <xdr:row>127</xdr:row>
                <xdr:rowOff>0</xdr:rowOff>
              </from>
              <to>
                <xdr:col>15</xdr:col>
                <xdr:colOff>676275</xdr:colOff>
                <xdr:row>128</xdr:row>
                <xdr:rowOff>0</xdr:rowOff>
              </to>
            </anchor>
          </controlPr>
        </control>
      </mc:Choice>
    </mc:AlternateContent>
    <mc:AlternateContent xmlns:mc="http://schemas.openxmlformats.org/markup-compatibility/2006">
      <mc:Choice Requires="x14">
        <control shapeId="18680" r:id="rId190" name="AddedMember1_31">
          <controlPr defaultSize="0" print="0" autoFill="0" autoPict="0" macro="_xll.IBPXLClient.TechnicalCategory.ButtonActionInIBPClientFormattingSheet">
            <anchor moveWithCells="1">
              <from>
                <xdr:col>11</xdr:col>
                <xdr:colOff>2438400</xdr:colOff>
                <xdr:row>130</xdr:row>
                <xdr:rowOff>0</xdr:rowOff>
              </from>
              <to>
                <xdr:col>12</xdr:col>
                <xdr:colOff>676275</xdr:colOff>
                <xdr:row>131</xdr:row>
                <xdr:rowOff>9525</xdr:rowOff>
              </to>
            </anchor>
          </controlPr>
        </control>
      </mc:Choice>
    </mc:AlternateContent>
    <mc:AlternateContent xmlns:mc="http://schemas.openxmlformats.org/markup-compatibility/2006">
      <mc:Choice Requires="x14">
        <control shapeId="18681" r:id="rId191" name="ChangeMember1_31">
          <controlPr defaultSize="0" print="0" autoFill="0" autoPict="0" macro="_xll.IBPXLClient.TechnicalCategory.ButtonActionInIBPClientFormattingSheet">
            <anchor moveWithCells="1">
              <from>
                <xdr:col>13</xdr:col>
                <xdr:colOff>0</xdr:colOff>
                <xdr:row>130</xdr:row>
                <xdr:rowOff>0</xdr:rowOff>
              </from>
              <to>
                <xdr:col>13</xdr:col>
                <xdr:colOff>685800</xdr:colOff>
                <xdr:row>131</xdr:row>
                <xdr:rowOff>9525</xdr:rowOff>
              </to>
            </anchor>
          </controlPr>
        </control>
      </mc:Choice>
    </mc:AlternateContent>
    <mc:AlternateContent xmlns:mc="http://schemas.openxmlformats.org/markup-compatibility/2006">
      <mc:Choice Requires="x14">
        <control shapeId="18682" r:id="rId192" name="UpMember1_31">
          <controlPr defaultSize="0" print="0" autoFill="0" autoPict="0" macro="_xll.IBPXLClient.TechnicalCategory.ButtonActionInIBPClientFormattingSheet">
            <anchor moveWithCells="1">
              <from>
                <xdr:col>14</xdr:col>
                <xdr:colOff>0</xdr:colOff>
                <xdr:row>130</xdr:row>
                <xdr:rowOff>0</xdr:rowOff>
              </from>
              <to>
                <xdr:col>14</xdr:col>
                <xdr:colOff>685800</xdr:colOff>
                <xdr:row>131</xdr:row>
                <xdr:rowOff>9525</xdr:rowOff>
              </to>
            </anchor>
          </controlPr>
        </control>
      </mc:Choice>
    </mc:AlternateContent>
    <mc:AlternateContent xmlns:mc="http://schemas.openxmlformats.org/markup-compatibility/2006">
      <mc:Choice Requires="x14">
        <control shapeId="18683" r:id="rId193" name="DownMember1_31">
          <controlPr defaultSize="0" print="0" autoFill="0" autoPict="0" macro="_xll.IBPXLClient.TechnicalCategory.ButtonActionInIBPClientFormattingSheet">
            <anchor moveWithCells="1">
              <from>
                <xdr:col>14</xdr:col>
                <xdr:colOff>704850</xdr:colOff>
                <xdr:row>130</xdr:row>
                <xdr:rowOff>0</xdr:rowOff>
              </from>
              <to>
                <xdr:col>15</xdr:col>
                <xdr:colOff>676275</xdr:colOff>
                <xdr:row>131</xdr:row>
                <xdr:rowOff>9525</xdr:rowOff>
              </to>
            </anchor>
          </controlPr>
        </control>
      </mc:Choice>
    </mc:AlternateContent>
    <mc:AlternateContent xmlns:mc="http://schemas.openxmlformats.org/markup-compatibility/2006">
      <mc:Choice Requires="x14">
        <control shapeId="18685" r:id="rId194" name="AddedMember1_32">
          <controlPr defaultSize="0" print="0" autoFill="0" autoPict="0" macro="_xll.IBPXLClient.TechnicalCategory.ButtonActionInIBPClientFormattingSheet">
            <anchor moveWithCells="1">
              <from>
                <xdr:col>11</xdr:col>
                <xdr:colOff>2438400</xdr:colOff>
                <xdr:row>132</xdr:row>
                <xdr:rowOff>47625</xdr:rowOff>
              </from>
              <to>
                <xdr:col>12</xdr:col>
                <xdr:colOff>676275</xdr:colOff>
                <xdr:row>134</xdr:row>
                <xdr:rowOff>0</xdr:rowOff>
              </to>
            </anchor>
          </controlPr>
        </control>
      </mc:Choice>
    </mc:AlternateContent>
    <mc:AlternateContent xmlns:mc="http://schemas.openxmlformats.org/markup-compatibility/2006">
      <mc:Choice Requires="x14">
        <control shapeId="18686" r:id="rId195" name="ChangeMember1_32">
          <controlPr defaultSize="0" print="0" autoFill="0" autoPict="0" macro="_xll.IBPXLClient.TechnicalCategory.ButtonActionInIBPClientFormattingSheet">
            <anchor moveWithCells="1">
              <from>
                <xdr:col>13</xdr:col>
                <xdr:colOff>0</xdr:colOff>
                <xdr:row>132</xdr:row>
                <xdr:rowOff>47625</xdr:rowOff>
              </from>
              <to>
                <xdr:col>13</xdr:col>
                <xdr:colOff>685800</xdr:colOff>
                <xdr:row>134</xdr:row>
                <xdr:rowOff>0</xdr:rowOff>
              </to>
            </anchor>
          </controlPr>
        </control>
      </mc:Choice>
    </mc:AlternateContent>
    <mc:AlternateContent xmlns:mc="http://schemas.openxmlformats.org/markup-compatibility/2006">
      <mc:Choice Requires="x14">
        <control shapeId="18687" r:id="rId196" name="UpMember1_32">
          <controlPr defaultSize="0" print="0" autoFill="0" autoPict="0" macro="_xll.IBPXLClient.TechnicalCategory.ButtonActionInIBPClientFormattingSheet">
            <anchor moveWithCells="1">
              <from>
                <xdr:col>14</xdr:col>
                <xdr:colOff>0</xdr:colOff>
                <xdr:row>132</xdr:row>
                <xdr:rowOff>47625</xdr:rowOff>
              </from>
              <to>
                <xdr:col>14</xdr:col>
                <xdr:colOff>685800</xdr:colOff>
                <xdr:row>134</xdr:row>
                <xdr:rowOff>0</xdr:rowOff>
              </to>
            </anchor>
          </controlPr>
        </control>
      </mc:Choice>
    </mc:AlternateContent>
    <mc:AlternateContent xmlns:mc="http://schemas.openxmlformats.org/markup-compatibility/2006">
      <mc:Choice Requires="x14">
        <control shapeId="18688" r:id="rId197" name="DownMember1_32">
          <controlPr defaultSize="0" print="0" autoFill="0" autoPict="0" macro="_xll.IBPXLClient.TechnicalCategory.ButtonActionInIBPClientFormattingSheet">
            <anchor moveWithCells="1">
              <from>
                <xdr:col>14</xdr:col>
                <xdr:colOff>704850</xdr:colOff>
                <xdr:row>132</xdr:row>
                <xdr:rowOff>47625</xdr:rowOff>
              </from>
              <to>
                <xdr:col>15</xdr:col>
                <xdr:colOff>676275</xdr:colOff>
                <xdr:row>134</xdr:row>
                <xdr:rowOff>0</xdr:rowOff>
              </to>
            </anchor>
          </controlPr>
        </control>
      </mc:Choice>
    </mc:AlternateContent>
    <mc:AlternateContent xmlns:mc="http://schemas.openxmlformats.org/markup-compatibility/2006">
      <mc:Choice Requires="x14">
        <control shapeId="18690" r:id="rId198" name="AddedMember1_33">
          <controlPr defaultSize="0" print="0" autoFill="0" autoPict="0" macro="_xll.IBPXLClient.TechnicalCategory.ButtonActionInIBPClientFormattingSheet">
            <anchor moveWithCells="1">
              <from>
                <xdr:col>11</xdr:col>
                <xdr:colOff>2438400</xdr:colOff>
                <xdr:row>136</xdr:row>
                <xdr:rowOff>0</xdr:rowOff>
              </from>
              <to>
                <xdr:col>12</xdr:col>
                <xdr:colOff>676275</xdr:colOff>
                <xdr:row>137</xdr:row>
                <xdr:rowOff>0</xdr:rowOff>
              </to>
            </anchor>
          </controlPr>
        </control>
      </mc:Choice>
    </mc:AlternateContent>
    <mc:AlternateContent xmlns:mc="http://schemas.openxmlformats.org/markup-compatibility/2006">
      <mc:Choice Requires="x14">
        <control shapeId="18691" r:id="rId199" name="ChangeMember1_33">
          <controlPr defaultSize="0" print="0" autoFill="0" autoPict="0" macro="_xll.IBPXLClient.TechnicalCategory.ButtonActionInIBPClientFormattingSheet">
            <anchor moveWithCells="1">
              <from>
                <xdr:col>13</xdr:col>
                <xdr:colOff>0</xdr:colOff>
                <xdr:row>136</xdr:row>
                <xdr:rowOff>0</xdr:rowOff>
              </from>
              <to>
                <xdr:col>13</xdr:col>
                <xdr:colOff>685800</xdr:colOff>
                <xdr:row>137</xdr:row>
                <xdr:rowOff>0</xdr:rowOff>
              </to>
            </anchor>
          </controlPr>
        </control>
      </mc:Choice>
    </mc:AlternateContent>
    <mc:AlternateContent xmlns:mc="http://schemas.openxmlformats.org/markup-compatibility/2006">
      <mc:Choice Requires="x14">
        <control shapeId="18692" r:id="rId200" name="UpMember1_33">
          <controlPr defaultSize="0" print="0" autoFill="0" autoPict="0" macro="_xll.IBPXLClient.TechnicalCategory.ButtonActionInIBPClientFormattingSheet">
            <anchor moveWithCells="1">
              <from>
                <xdr:col>14</xdr:col>
                <xdr:colOff>0</xdr:colOff>
                <xdr:row>136</xdr:row>
                <xdr:rowOff>0</xdr:rowOff>
              </from>
              <to>
                <xdr:col>14</xdr:col>
                <xdr:colOff>685800</xdr:colOff>
                <xdr:row>137</xdr:row>
                <xdr:rowOff>0</xdr:rowOff>
              </to>
            </anchor>
          </controlPr>
        </control>
      </mc:Choice>
    </mc:AlternateContent>
    <mc:AlternateContent xmlns:mc="http://schemas.openxmlformats.org/markup-compatibility/2006">
      <mc:Choice Requires="x14">
        <control shapeId="18693" r:id="rId201" name="DownMember1_33">
          <controlPr defaultSize="0" print="0" autoFill="0" autoPict="0" macro="_xll.IBPXLClient.TechnicalCategory.ButtonActionInIBPClientFormattingSheet">
            <anchor moveWithCells="1">
              <from>
                <xdr:col>14</xdr:col>
                <xdr:colOff>704850</xdr:colOff>
                <xdr:row>136</xdr:row>
                <xdr:rowOff>0</xdr:rowOff>
              </from>
              <to>
                <xdr:col>15</xdr:col>
                <xdr:colOff>676275</xdr:colOff>
                <xdr:row>137</xdr:row>
                <xdr:rowOff>0</xdr:rowOff>
              </to>
            </anchor>
          </controlPr>
        </control>
      </mc:Choice>
    </mc:AlternateContent>
    <mc:AlternateContent xmlns:mc="http://schemas.openxmlformats.org/markup-compatibility/2006">
      <mc:Choice Requires="x14">
        <control shapeId="18695" r:id="rId202" name="AddedMember1_34">
          <controlPr defaultSize="0" print="0" autoFill="0" autoPict="0" macro="_xll.IBPXLClient.TechnicalCategory.ButtonActionInIBPClientFormattingSheet">
            <anchor moveWithCells="1">
              <from>
                <xdr:col>11</xdr:col>
                <xdr:colOff>2438400</xdr:colOff>
                <xdr:row>139</xdr:row>
                <xdr:rowOff>0</xdr:rowOff>
              </from>
              <to>
                <xdr:col>12</xdr:col>
                <xdr:colOff>676275</xdr:colOff>
                <xdr:row>140</xdr:row>
                <xdr:rowOff>0</xdr:rowOff>
              </to>
            </anchor>
          </controlPr>
        </control>
      </mc:Choice>
    </mc:AlternateContent>
    <mc:AlternateContent xmlns:mc="http://schemas.openxmlformats.org/markup-compatibility/2006">
      <mc:Choice Requires="x14">
        <control shapeId="18696" r:id="rId203" name="ChangeMember1_34">
          <controlPr defaultSize="0" print="0" autoFill="0" autoPict="0" macro="_xll.IBPXLClient.TechnicalCategory.ButtonActionInIBPClientFormattingSheet">
            <anchor moveWithCells="1">
              <from>
                <xdr:col>13</xdr:col>
                <xdr:colOff>0</xdr:colOff>
                <xdr:row>139</xdr:row>
                <xdr:rowOff>0</xdr:rowOff>
              </from>
              <to>
                <xdr:col>13</xdr:col>
                <xdr:colOff>685800</xdr:colOff>
                <xdr:row>140</xdr:row>
                <xdr:rowOff>0</xdr:rowOff>
              </to>
            </anchor>
          </controlPr>
        </control>
      </mc:Choice>
    </mc:AlternateContent>
    <mc:AlternateContent xmlns:mc="http://schemas.openxmlformats.org/markup-compatibility/2006">
      <mc:Choice Requires="x14">
        <control shapeId="18697" r:id="rId204" name="UpMember1_34">
          <controlPr defaultSize="0" print="0" autoFill="0" autoPict="0" macro="_xll.IBPXLClient.TechnicalCategory.ButtonActionInIBPClientFormattingSheet">
            <anchor moveWithCells="1">
              <from>
                <xdr:col>14</xdr:col>
                <xdr:colOff>0</xdr:colOff>
                <xdr:row>139</xdr:row>
                <xdr:rowOff>0</xdr:rowOff>
              </from>
              <to>
                <xdr:col>14</xdr:col>
                <xdr:colOff>685800</xdr:colOff>
                <xdr:row>140</xdr:row>
                <xdr:rowOff>0</xdr:rowOff>
              </to>
            </anchor>
          </controlPr>
        </control>
      </mc:Choice>
    </mc:AlternateContent>
    <mc:AlternateContent xmlns:mc="http://schemas.openxmlformats.org/markup-compatibility/2006">
      <mc:Choice Requires="x14">
        <control shapeId="18698" r:id="rId205" name="DownMember1_34">
          <controlPr defaultSize="0" print="0" autoFill="0" autoPict="0" macro="_xll.IBPXLClient.TechnicalCategory.ButtonActionInIBPClientFormattingSheet">
            <anchor moveWithCells="1">
              <from>
                <xdr:col>14</xdr:col>
                <xdr:colOff>704850</xdr:colOff>
                <xdr:row>139</xdr:row>
                <xdr:rowOff>0</xdr:rowOff>
              </from>
              <to>
                <xdr:col>15</xdr:col>
                <xdr:colOff>676275</xdr:colOff>
                <xdr:row>140</xdr:row>
                <xdr:rowOff>0</xdr:rowOff>
              </to>
            </anchor>
          </controlPr>
        </control>
      </mc:Choice>
    </mc:AlternateContent>
    <mc:AlternateContent xmlns:mc="http://schemas.openxmlformats.org/markup-compatibility/2006">
      <mc:Choice Requires="x14">
        <control shapeId="18700" r:id="rId206" name="AddedMember1_35">
          <controlPr defaultSize="0" print="0" autoFill="0" autoPict="0" macro="_xll.IBPXLClient.TechnicalCategory.ButtonActionInIBPClientFormattingSheet">
            <anchor moveWithCells="1">
              <from>
                <xdr:col>11</xdr:col>
                <xdr:colOff>2438400</xdr:colOff>
                <xdr:row>141</xdr:row>
                <xdr:rowOff>47625</xdr:rowOff>
              </from>
              <to>
                <xdr:col>12</xdr:col>
                <xdr:colOff>676275</xdr:colOff>
                <xdr:row>142</xdr:row>
                <xdr:rowOff>190500</xdr:rowOff>
              </to>
            </anchor>
          </controlPr>
        </control>
      </mc:Choice>
    </mc:AlternateContent>
    <mc:AlternateContent xmlns:mc="http://schemas.openxmlformats.org/markup-compatibility/2006">
      <mc:Choice Requires="x14">
        <control shapeId="18701" r:id="rId207" name="ChangeMember1_35">
          <controlPr defaultSize="0" print="0" autoFill="0" autoPict="0" macro="_xll.IBPXLClient.TechnicalCategory.ButtonActionInIBPClientFormattingSheet">
            <anchor moveWithCells="1">
              <from>
                <xdr:col>13</xdr:col>
                <xdr:colOff>0</xdr:colOff>
                <xdr:row>141</xdr:row>
                <xdr:rowOff>47625</xdr:rowOff>
              </from>
              <to>
                <xdr:col>13</xdr:col>
                <xdr:colOff>685800</xdr:colOff>
                <xdr:row>142</xdr:row>
                <xdr:rowOff>190500</xdr:rowOff>
              </to>
            </anchor>
          </controlPr>
        </control>
      </mc:Choice>
    </mc:AlternateContent>
    <mc:AlternateContent xmlns:mc="http://schemas.openxmlformats.org/markup-compatibility/2006">
      <mc:Choice Requires="x14">
        <control shapeId="18702" r:id="rId208" name="UpMember1_35">
          <controlPr defaultSize="0" print="0" autoFill="0" autoPict="0" macro="_xll.IBPXLClient.TechnicalCategory.ButtonActionInIBPClientFormattingSheet">
            <anchor moveWithCells="1">
              <from>
                <xdr:col>14</xdr:col>
                <xdr:colOff>0</xdr:colOff>
                <xdr:row>141</xdr:row>
                <xdr:rowOff>47625</xdr:rowOff>
              </from>
              <to>
                <xdr:col>14</xdr:col>
                <xdr:colOff>685800</xdr:colOff>
                <xdr:row>142</xdr:row>
                <xdr:rowOff>190500</xdr:rowOff>
              </to>
            </anchor>
          </controlPr>
        </control>
      </mc:Choice>
    </mc:AlternateContent>
    <mc:AlternateContent xmlns:mc="http://schemas.openxmlformats.org/markup-compatibility/2006">
      <mc:Choice Requires="x14">
        <control shapeId="18703" r:id="rId209" name="DownMember1_35">
          <controlPr defaultSize="0" print="0" autoFill="0" autoPict="0" macro="_xll.IBPXLClient.TechnicalCategory.ButtonActionInIBPClientFormattingSheet">
            <anchor moveWithCells="1">
              <from>
                <xdr:col>14</xdr:col>
                <xdr:colOff>704850</xdr:colOff>
                <xdr:row>141</xdr:row>
                <xdr:rowOff>47625</xdr:rowOff>
              </from>
              <to>
                <xdr:col>15</xdr:col>
                <xdr:colOff>676275</xdr:colOff>
                <xdr:row>142</xdr:row>
                <xdr:rowOff>190500</xdr:rowOff>
              </to>
            </anchor>
          </controlPr>
        </control>
      </mc:Choice>
    </mc:AlternateContent>
    <mc:AlternateContent xmlns:mc="http://schemas.openxmlformats.org/markup-compatibility/2006">
      <mc:Choice Requires="x14">
        <control shapeId="18705" r:id="rId210" name="AddedMember1_36">
          <controlPr defaultSize="0" print="0" autoFill="0" autoPict="0" macro="_xll.IBPXLClient.TechnicalCategory.ButtonActionInIBPClientFormattingSheet">
            <anchor moveWithCells="1">
              <from>
                <xdr:col>11</xdr:col>
                <xdr:colOff>2438400</xdr:colOff>
                <xdr:row>144</xdr:row>
                <xdr:rowOff>47625</xdr:rowOff>
              </from>
              <to>
                <xdr:col>12</xdr:col>
                <xdr:colOff>676275</xdr:colOff>
                <xdr:row>146</xdr:row>
                <xdr:rowOff>0</xdr:rowOff>
              </to>
            </anchor>
          </controlPr>
        </control>
      </mc:Choice>
    </mc:AlternateContent>
    <mc:AlternateContent xmlns:mc="http://schemas.openxmlformats.org/markup-compatibility/2006">
      <mc:Choice Requires="x14">
        <control shapeId="18706" r:id="rId211" name="ChangeMember1_36">
          <controlPr defaultSize="0" print="0" autoFill="0" autoPict="0" macro="_xll.IBPXLClient.TechnicalCategory.ButtonActionInIBPClientFormattingSheet">
            <anchor moveWithCells="1">
              <from>
                <xdr:col>13</xdr:col>
                <xdr:colOff>0</xdr:colOff>
                <xdr:row>144</xdr:row>
                <xdr:rowOff>47625</xdr:rowOff>
              </from>
              <to>
                <xdr:col>13</xdr:col>
                <xdr:colOff>685800</xdr:colOff>
                <xdr:row>146</xdr:row>
                <xdr:rowOff>0</xdr:rowOff>
              </to>
            </anchor>
          </controlPr>
        </control>
      </mc:Choice>
    </mc:AlternateContent>
    <mc:AlternateContent xmlns:mc="http://schemas.openxmlformats.org/markup-compatibility/2006">
      <mc:Choice Requires="x14">
        <control shapeId="18707" r:id="rId212" name="UpMember1_36">
          <controlPr defaultSize="0" print="0" autoFill="0" autoPict="0" macro="_xll.IBPXLClient.TechnicalCategory.ButtonActionInIBPClientFormattingSheet">
            <anchor moveWithCells="1">
              <from>
                <xdr:col>14</xdr:col>
                <xdr:colOff>0</xdr:colOff>
                <xdr:row>144</xdr:row>
                <xdr:rowOff>47625</xdr:rowOff>
              </from>
              <to>
                <xdr:col>14</xdr:col>
                <xdr:colOff>685800</xdr:colOff>
                <xdr:row>146</xdr:row>
                <xdr:rowOff>0</xdr:rowOff>
              </to>
            </anchor>
          </controlPr>
        </control>
      </mc:Choice>
    </mc:AlternateContent>
    <mc:AlternateContent xmlns:mc="http://schemas.openxmlformats.org/markup-compatibility/2006">
      <mc:Choice Requires="x14">
        <control shapeId="18708" r:id="rId213" name="DownMember1_36">
          <controlPr defaultSize="0" print="0" autoFill="0" autoPict="0" macro="_xll.IBPXLClient.TechnicalCategory.ButtonActionInIBPClientFormattingSheet">
            <anchor moveWithCells="1">
              <from>
                <xdr:col>14</xdr:col>
                <xdr:colOff>704850</xdr:colOff>
                <xdr:row>144</xdr:row>
                <xdr:rowOff>47625</xdr:rowOff>
              </from>
              <to>
                <xdr:col>15</xdr:col>
                <xdr:colOff>676275</xdr:colOff>
                <xdr:row>146</xdr:row>
                <xdr:rowOff>0</xdr:rowOff>
              </to>
            </anchor>
          </controlPr>
        </control>
      </mc:Choice>
    </mc:AlternateContent>
    <mc:AlternateContent xmlns:mc="http://schemas.openxmlformats.org/markup-compatibility/2006">
      <mc:Choice Requires="x14">
        <control shapeId="18710" r:id="rId214" name="AddedMember1_37">
          <controlPr defaultSize="0" print="0" autoFill="0" autoPict="0" macro="_xll.IBPXLClient.TechnicalCategory.ButtonActionInIBPClientFormattingSheet">
            <anchor moveWithCells="1">
              <from>
                <xdr:col>11</xdr:col>
                <xdr:colOff>2438400</xdr:colOff>
                <xdr:row>148</xdr:row>
                <xdr:rowOff>0</xdr:rowOff>
              </from>
              <to>
                <xdr:col>12</xdr:col>
                <xdr:colOff>676275</xdr:colOff>
                <xdr:row>149</xdr:row>
                <xdr:rowOff>0</xdr:rowOff>
              </to>
            </anchor>
          </controlPr>
        </control>
      </mc:Choice>
    </mc:AlternateContent>
    <mc:AlternateContent xmlns:mc="http://schemas.openxmlformats.org/markup-compatibility/2006">
      <mc:Choice Requires="x14">
        <control shapeId="18711" r:id="rId215" name="ChangeMember1_37">
          <controlPr defaultSize="0" print="0" autoFill="0" autoPict="0" macro="_xll.IBPXLClient.TechnicalCategory.ButtonActionInIBPClientFormattingSheet">
            <anchor moveWithCells="1">
              <from>
                <xdr:col>13</xdr:col>
                <xdr:colOff>0</xdr:colOff>
                <xdr:row>148</xdr:row>
                <xdr:rowOff>0</xdr:rowOff>
              </from>
              <to>
                <xdr:col>13</xdr:col>
                <xdr:colOff>685800</xdr:colOff>
                <xdr:row>149</xdr:row>
                <xdr:rowOff>0</xdr:rowOff>
              </to>
            </anchor>
          </controlPr>
        </control>
      </mc:Choice>
    </mc:AlternateContent>
    <mc:AlternateContent xmlns:mc="http://schemas.openxmlformats.org/markup-compatibility/2006">
      <mc:Choice Requires="x14">
        <control shapeId="18712" r:id="rId216" name="UpMember1_37">
          <controlPr defaultSize="0" print="0" autoFill="0" autoPict="0" macro="_xll.IBPXLClient.TechnicalCategory.ButtonActionInIBPClientFormattingSheet">
            <anchor moveWithCells="1">
              <from>
                <xdr:col>14</xdr:col>
                <xdr:colOff>0</xdr:colOff>
                <xdr:row>148</xdr:row>
                <xdr:rowOff>0</xdr:rowOff>
              </from>
              <to>
                <xdr:col>14</xdr:col>
                <xdr:colOff>685800</xdr:colOff>
                <xdr:row>149</xdr:row>
                <xdr:rowOff>0</xdr:rowOff>
              </to>
            </anchor>
          </controlPr>
        </control>
      </mc:Choice>
    </mc:AlternateContent>
    <mc:AlternateContent xmlns:mc="http://schemas.openxmlformats.org/markup-compatibility/2006">
      <mc:Choice Requires="x14">
        <control shapeId="18713" r:id="rId217" name="DownMember1_37">
          <controlPr defaultSize="0" print="0" autoFill="0" autoPict="0" macro="_xll.IBPXLClient.TechnicalCategory.ButtonActionInIBPClientFormattingSheet">
            <anchor moveWithCells="1">
              <from>
                <xdr:col>14</xdr:col>
                <xdr:colOff>704850</xdr:colOff>
                <xdr:row>148</xdr:row>
                <xdr:rowOff>0</xdr:rowOff>
              </from>
              <to>
                <xdr:col>15</xdr:col>
                <xdr:colOff>676275</xdr:colOff>
                <xdr:row>149</xdr:row>
                <xdr:rowOff>0</xdr:rowOff>
              </to>
            </anchor>
          </controlPr>
        </control>
      </mc:Choice>
    </mc:AlternateContent>
    <mc:AlternateContent xmlns:mc="http://schemas.openxmlformats.org/markup-compatibility/2006">
      <mc:Choice Requires="x14">
        <control shapeId="18715" r:id="rId218" name="AddedMember1_38">
          <controlPr defaultSize="0" print="0" autoFill="0" autoPict="0" macro="_xll.IBPXLClient.TechnicalCategory.ButtonActionInIBPClientFormattingSheet">
            <anchor moveWithCells="1">
              <from>
                <xdr:col>11</xdr:col>
                <xdr:colOff>2438400</xdr:colOff>
                <xdr:row>151</xdr:row>
                <xdr:rowOff>0</xdr:rowOff>
              </from>
              <to>
                <xdr:col>12</xdr:col>
                <xdr:colOff>676275</xdr:colOff>
                <xdr:row>152</xdr:row>
                <xdr:rowOff>0</xdr:rowOff>
              </to>
            </anchor>
          </controlPr>
        </control>
      </mc:Choice>
    </mc:AlternateContent>
    <mc:AlternateContent xmlns:mc="http://schemas.openxmlformats.org/markup-compatibility/2006">
      <mc:Choice Requires="x14">
        <control shapeId="18716" r:id="rId219" name="ChangeMember1_38">
          <controlPr defaultSize="0" print="0" autoFill="0" autoPict="0" macro="_xll.IBPXLClient.TechnicalCategory.ButtonActionInIBPClientFormattingSheet">
            <anchor moveWithCells="1">
              <from>
                <xdr:col>13</xdr:col>
                <xdr:colOff>0</xdr:colOff>
                <xdr:row>151</xdr:row>
                <xdr:rowOff>0</xdr:rowOff>
              </from>
              <to>
                <xdr:col>13</xdr:col>
                <xdr:colOff>685800</xdr:colOff>
                <xdr:row>152</xdr:row>
                <xdr:rowOff>0</xdr:rowOff>
              </to>
            </anchor>
          </controlPr>
        </control>
      </mc:Choice>
    </mc:AlternateContent>
    <mc:AlternateContent xmlns:mc="http://schemas.openxmlformats.org/markup-compatibility/2006">
      <mc:Choice Requires="x14">
        <control shapeId="18717" r:id="rId220" name="UpMember1_38">
          <controlPr defaultSize="0" print="0" autoFill="0" autoPict="0" macro="_xll.IBPXLClient.TechnicalCategory.ButtonActionInIBPClientFormattingSheet">
            <anchor moveWithCells="1">
              <from>
                <xdr:col>14</xdr:col>
                <xdr:colOff>0</xdr:colOff>
                <xdr:row>151</xdr:row>
                <xdr:rowOff>0</xdr:rowOff>
              </from>
              <to>
                <xdr:col>14</xdr:col>
                <xdr:colOff>685800</xdr:colOff>
                <xdr:row>152</xdr:row>
                <xdr:rowOff>0</xdr:rowOff>
              </to>
            </anchor>
          </controlPr>
        </control>
      </mc:Choice>
    </mc:AlternateContent>
    <mc:AlternateContent xmlns:mc="http://schemas.openxmlformats.org/markup-compatibility/2006">
      <mc:Choice Requires="x14">
        <control shapeId="18718" r:id="rId221" name="DownMember1_38">
          <controlPr defaultSize="0" print="0" autoFill="0" autoPict="0" macro="_xll.IBPXLClient.TechnicalCategory.ButtonActionInIBPClientFormattingSheet">
            <anchor moveWithCells="1">
              <from>
                <xdr:col>14</xdr:col>
                <xdr:colOff>704850</xdr:colOff>
                <xdr:row>151</xdr:row>
                <xdr:rowOff>0</xdr:rowOff>
              </from>
              <to>
                <xdr:col>15</xdr:col>
                <xdr:colOff>676275</xdr:colOff>
                <xdr:row>152</xdr:row>
                <xdr:rowOff>0</xdr:rowOff>
              </to>
            </anchor>
          </controlPr>
        </control>
      </mc:Choice>
    </mc:AlternateContent>
    <mc:AlternateContent xmlns:mc="http://schemas.openxmlformats.org/markup-compatibility/2006">
      <mc:Choice Requires="x14">
        <control shapeId="18720" r:id="rId222" name="AddedMember1_39">
          <controlPr defaultSize="0" print="0" autoFill="0" autoPict="0" macro="_xll.IBPXLClient.TechnicalCategory.ButtonActionInIBPClientFormattingSheet">
            <anchor moveWithCells="1">
              <from>
                <xdr:col>11</xdr:col>
                <xdr:colOff>2438400</xdr:colOff>
                <xdr:row>154</xdr:row>
                <xdr:rowOff>0</xdr:rowOff>
              </from>
              <to>
                <xdr:col>12</xdr:col>
                <xdr:colOff>676275</xdr:colOff>
                <xdr:row>155</xdr:row>
                <xdr:rowOff>9525</xdr:rowOff>
              </to>
            </anchor>
          </controlPr>
        </control>
      </mc:Choice>
    </mc:AlternateContent>
    <mc:AlternateContent xmlns:mc="http://schemas.openxmlformats.org/markup-compatibility/2006">
      <mc:Choice Requires="x14">
        <control shapeId="18721" r:id="rId223" name="ChangeMember1_39">
          <controlPr defaultSize="0" print="0" autoFill="0" autoPict="0" macro="_xll.IBPXLClient.TechnicalCategory.ButtonActionInIBPClientFormattingSheet">
            <anchor moveWithCells="1">
              <from>
                <xdr:col>13</xdr:col>
                <xdr:colOff>0</xdr:colOff>
                <xdr:row>154</xdr:row>
                <xdr:rowOff>0</xdr:rowOff>
              </from>
              <to>
                <xdr:col>13</xdr:col>
                <xdr:colOff>685800</xdr:colOff>
                <xdr:row>155</xdr:row>
                <xdr:rowOff>9525</xdr:rowOff>
              </to>
            </anchor>
          </controlPr>
        </control>
      </mc:Choice>
    </mc:AlternateContent>
    <mc:AlternateContent xmlns:mc="http://schemas.openxmlformats.org/markup-compatibility/2006">
      <mc:Choice Requires="x14">
        <control shapeId="18722" r:id="rId224" name="UpMember1_39">
          <controlPr defaultSize="0" print="0" autoFill="0" autoPict="0" macro="_xll.IBPXLClient.TechnicalCategory.ButtonActionInIBPClientFormattingSheet">
            <anchor moveWithCells="1">
              <from>
                <xdr:col>14</xdr:col>
                <xdr:colOff>0</xdr:colOff>
                <xdr:row>154</xdr:row>
                <xdr:rowOff>0</xdr:rowOff>
              </from>
              <to>
                <xdr:col>14</xdr:col>
                <xdr:colOff>685800</xdr:colOff>
                <xdr:row>155</xdr:row>
                <xdr:rowOff>9525</xdr:rowOff>
              </to>
            </anchor>
          </controlPr>
        </control>
      </mc:Choice>
    </mc:AlternateContent>
    <mc:AlternateContent xmlns:mc="http://schemas.openxmlformats.org/markup-compatibility/2006">
      <mc:Choice Requires="x14">
        <control shapeId="18723" r:id="rId225" name="DownMember1_39">
          <controlPr defaultSize="0" print="0" autoFill="0" autoPict="0" macro="_xll.IBPXLClient.TechnicalCategory.ButtonActionInIBPClientFormattingSheet">
            <anchor moveWithCells="1">
              <from>
                <xdr:col>14</xdr:col>
                <xdr:colOff>704850</xdr:colOff>
                <xdr:row>154</xdr:row>
                <xdr:rowOff>0</xdr:rowOff>
              </from>
              <to>
                <xdr:col>15</xdr:col>
                <xdr:colOff>676275</xdr:colOff>
                <xdr:row>155</xdr:row>
                <xdr:rowOff>9525</xdr:rowOff>
              </to>
            </anchor>
          </controlPr>
        </control>
      </mc:Choice>
    </mc:AlternateContent>
    <mc:AlternateContent xmlns:mc="http://schemas.openxmlformats.org/markup-compatibility/2006">
      <mc:Choice Requires="x14">
        <control shapeId="18725" r:id="rId226" name="AddedMember1_40">
          <controlPr defaultSize="0" print="0" autoFill="0" autoPict="0" macro="_xll.IBPXLClient.TechnicalCategory.ButtonActionInIBPClientFormattingSheet">
            <anchor moveWithCells="1">
              <from>
                <xdr:col>11</xdr:col>
                <xdr:colOff>2438400</xdr:colOff>
                <xdr:row>156</xdr:row>
                <xdr:rowOff>47625</xdr:rowOff>
              </from>
              <to>
                <xdr:col>12</xdr:col>
                <xdr:colOff>676275</xdr:colOff>
                <xdr:row>158</xdr:row>
                <xdr:rowOff>0</xdr:rowOff>
              </to>
            </anchor>
          </controlPr>
        </control>
      </mc:Choice>
    </mc:AlternateContent>
    <mc:AlternateContent xmlns:mc="http://schemas.openxmlformats.org/markup-compatibility/2006">
      <mc:Choice Requires="x14">
        <control shapeId="18726" r:id="rId227" name="ChangeMember1_40">
          <controlPr defaultSize="0" print="0" autoFill="0" autoPict="0" macro="_xll.IBPXLClient.TechnicalCategory.ButtonActionInIBPClientFormattingSheet">
            <anchor moveWithCells="1">
              <from>
                <xdr:col>13</xdr:col>
                <xdr:colOff>0</xdr:colOff>
                <xdr:row>156</xdr:row>
                <xdr:rowOff>47625</xdr:rowOff>
              </from>
              <to>
                <xdr:col>13</xdr:col>
                <xdr:colOff>685800</xdr:colOff>
                <xdr:row>158</xdr:row>
                <xdr:rowOff>0</xdr:rowOff>
              </to>
            </anchor>
          </controlPr>
        </control>
      </mc:Choice>
    </mc:AlternateContent>
    <mc:AlternateContent xmlns:mc="http://schemas.openxmlformats.org/markup-compatibility/2006">
      <mc:Choice Requires="x14">
        <control shapeId="18727" r:id="rId228" name="UpMember1_40">
          <controlPr defaultSize="0" print="0" autoFill="0" autoPict="0" macro="_xll.IBPXLClient.TechnicalCategory.ButtonActionInIBPClientFormattingSheet">
            <anchor moveWithCells="1">
              <from>
                <xdr:col>14</xdr:col>
                <xdr:colOff>0</xdr:colOff>
                <xdr:row>156</xdr:row>
                <xdr:rowOff>47625</xdr:rowOff>
              </from>
              <to>
                <xdr:col>14</xdr:col>
                <xdr:colOff>685800</xdr:colOff>
                <xdr:row>158</xdr:row>
                <xdr:rowOff>0</xdr:rowOff>
              </to>
            </anchor>
          </controlPr>
        </control>
      </mc:Choice>
    </mc:AlternateContent>
    <mc:AlternateContent xmlns:mc="http://schemas.openxmlformats.org/markup-compatibility/2006">
      <mc:Choice Requires="x14">
        <control shapeId="18728" r:id="rId229" name="DownMember1_40">
          <controlPr defaultSize="0" print="0" autoFill="0" autoPict="0" macro="_xll.IBPXLClient.TechnicalCategory.ButtonActionInIBPClientFormattingSheet">
            <anchor moveWithCells="1">
              <from>
                <xdr:col>14</xdr:col>
                <xdr:colOff>704850</xdr:colOff>
                <xdr:row>156</xdr:row>
                <xdr:rowOff>47625</xdr:rowOff>
              </from>
              <to>
                <xdr:col>15</xdr:col>
                <xdr:colOff>676275</xdr:colOff>
                <xdr:row>158</xdr:row>
                <xdr:rowOff>0</xdr:rowOff>
              </to>
            </anchor>
          </controlPr>
        </control>
      </mc:Choice>
    </mc:AlternateContent>
    <mc:AlternateContent xmlns:mc="http://schemas.openxmlformats.org/markup-compatibility/2006">
      <mc:Choice Requires="x14">
        <control shapeId="18730" r:id="rId230" name="AddedMember1_41">
          <controlPr defaultSize="0" print="0" autoFill="0" autoPict="0" macro="_xll.IBPXLClient.TechnicalCategory.ButtonActionInIBPClientFormattingSheet">
            <anchor moveWithCells="1">
              <from>
                <xdr:col>11</xdr:col>
                <xdr:colOff>2438400</xdr:colOff>
                <xdr:row>160</xdr:row>
                <xdr:rowOff>0</xdr:rowOff>
              </from>
              <to>
                <xdr:col>12</xdr:col>
                <xdr:colOff>676275</xdr:colOff>
                <xdr:row>161</xdr:row>
                <xdr:rowOff>0</xdr:rowOff>
              </to>
            </anchor>
          </controlPr>
        </control>
      </mc:Choice>
    </mc:AlternateContent>
    <mc:AlternateContent xmlns:mc="http://schemas.openxmlformats.org/markup-compatibility/2006">
      <mc:Choice Requires="x14">
        <control shapeId="18731" r:id="rId231" name="ChangeMember1_41">
          <controlPr defaultSize="0" print="0" autoFill="0" autoPict="0" macro="_xll.IBPXLClient.TechnicalCategory.ButtonActionInIBPClientFormattingSheet">
            <anchor moveWithCells="1">
              <from>
                <xdr:col>13</xdr:col>
                <xdr:colOff>0</xdr:colOff>
                <xdr:row>160</xdr:row>
                <xdr:rowOff>0</xdr:rowOff>
              </from>
              <to>
                <xdr:col>13</xdr:col>
                <xdr:colOff>685800</xdr:colOff>
                <xdr:row>161</xdr:row>
                <xdr:rowOff>0</xdr:rowOff>
              </to>
            </anchor>
          </controlPr>
        </control>
      </mc:Choice>
    </mc:AlternateContent>
    <mc:AlternateContent xmlns:mc="http://schemas.openxmlformats.org/markup-compatibility/2006">
      <mc:Choice Requires="x14">
        <control shapeId="18732" r:id="rId232" name="UpMember1_41">
          <controlPr defaultSize="0" print="0" autoFill="0" autoPict="0" macro="_xll.IBPXLClient.TechnicalCategory.ButtonActionInIBPClientFormattingSheet">
            <anchor moveWithCells="1">
              <from>
                <xdr:col>14</xdr:col>
                <xdr:colOff>0</xdr:colOff>
                <xdr:row>160</xdr:row>
                <xdr:rowOff>0</xdr:rowOff>
              </from>
              <to>
                <xdr:col>14</xdr:col>
                <xdr:colOff>685800</xdr:colOff>
                <xdr:row>161</xdr:row>
                <xdr:rowOff>0</xdr:rowOff>
              </to>
            </anchor>
          </controlPr>
        </control>
      </mc:Choice>
    </mc:AlternateContent>
    <mc:AlternateContent xmlns:mc="http://schemas.openxmlformats.org/markup-compatibility/2006">
      <mc:Choice Requires="x14">
        <control shapeId="18733" r:id="rId233" name="DownMember1_41">
          <controlPr defaultSize="0" print="0" autoFill="0" autoPict="0" macro="_xll.IBPXLClient.TechnicalCategory.ButtonActionInIBPClientFormattingSheet">
            <anchor moveWithCells="1">
              <from>
                <xdr:col>14</xdr:col>
                <xdr:colOff>704850</xdr:colOff>
                <xdr:row>160</xdr:row>
                <xdr:rowOff>0</xdr:rowOff>
              </from>
              <to>
                <xdr:col>15</xdr:col>
                <xdr:colOff>676275</xdr:colOff>
                <xdr:row>161</xdr:row>
                <xdr:rowOff>0</xdr:rowOff>
              </to>
            </anchor>
          </controlPr>
        </control>
      </mc:Choice>
    </mc:AlternateContent>
    <mc:AlternateContent xmlns:mc="http://schemas.openxmlformats.org/markup-compatibility/2006">
      <mc:Choice Requires="x14">
        <control shapeId="18735" r:id="rId234" name="AddedMember1_42">
          <controlPr defaultSize="0" print="0" autoFill="0" autoPict="0" macro="_xll.IBPXLClient.TechnicalCategory.ButtonActionInIBPClientFormattingSheet">
            <anchor moveWithCells="1">
              <from>
                <xdr:col>11</xdr:col>
                <xdr:colOff>2438400</xdr:colOff>
                <xdr:row>163</xdr:row>
                <xdr:rowOff>0</xdr:rowOff>
              </from>
              <to>
                <xdr:col>12</xdr:col>
                <xdr:colOff>676275</xdr:colOff>
                <xdr:row>164</xdr:row>
                <xdr:rowOff>0</xdr:rowOff>
              </to>
            </anchor>
          </controlPr>
        </control>
      </mc:Choice>
    </mc:AlternateContent>
    <mc:AlternateContent xmlns:mc="http://schemas.openxmlformats.org/markup-compatibility/2006">
      <mc:Choice Requires="x14">
        <control shapeId="18736" r:id="rId235" name="ChangeMember1_42">
          <controlPr defaultSize="0" print="0" autoFill="0" autoPict="0" macro="_xll.IBPXLClient.TechnicalCategory.ButtonActionInIBPClientFormattingSheet">
            <anchor moveWithCells="1">
              <from>
                <xdr:col>13</xdr:col>
                <xdr:colOff>0</xdr:colOff>
                <xdr:row>163</xdr:row>
                <xdr:rowOff>0</xdr:rowOff>
              </from>
              <to>
                <xdr:col>13</xdr:col>
                <xdr:colOff>685800</xdr:colOff>
                <xdr:row>164</xdr:row>
                <xdr:rowOff>0</xdr:rowOff>
              </to>
            </anchor>
          </controlPr>
        </control>
      </mc:Choice>
    </mc:AlternateContent>
    <mc:AlternateContent xmlns:mc="http://schemas.openxmlformats.org/markup-compatibility/2006">
      <mc:Choice Requires="x14">
        <control shapeId="18737" r:id="rId236" name="UpMember1_42">
          <controlPr defaultSize="0" print="0" autoFill="0" autoPict="0" macro="_xll.IBPXLClient.TechnicalCategory.ButtonActionInIBPClientFormattingSheet">
            <anchor moveWithCells="1">
              <from>
                <xdr:col>14</xdr:col>
                <xdr:colOff>0</xdr:colOff>
                <xdr:row>163</xdr:row>
                <xdr:rowOff>0</xdr:rowOff>
              </from>
              <to>
                <xdr:col>14</xdr:col>
                <xdr:colOff>685800</xdr:colOff>
                <xdr:row>164</xdr:row>
                <xdr:rowOff>0</xdr:rowOff>
              </to>
            </anchor>
          </controlPr>
        </control>
      </mc:Choice>
    </mc:AlternateContent>
    <mc:AlternateContent xmlns:mc="http://schemas.openxmlformats.org/markup-compatibility/2006">
      <mc:Choice Requires="x14">
        <control shapeId="18738" r:id="rId237" name="DownMember1_42">
          <controlPr defaultSize="0" print="0" autoFill="0" autoPict="0" macro="_xll.IBPXLClient.TechnicalCategory.ButtonActionInIBPClientFormattingSheet">
            <anchor moveWithCells="1">
              <from>
                <xdr:col>14</xdr:col>
                <xdr:colOff>704850</xdr:colOff>
                <xdr:row>163</xdr:row>
                <xdr:rowOff>0</xdr:rowOff>
              </from>
              <to>
                <xdr:col>15</xdr:col>
                <xdr:colOff>676275</xdr:colOff>
                <xdr:row>164</xdr:row>
                <xdr:rowOff>0</xdr:rowOff>
              </to>
            </anchor>
          </controlPr>
        </control>
      </mc:Choice>
    </mc:AlternateContent>
    <mc:AlternateContent xmlns:mc="http://schemas.openxmlformats.org/markup-compatibility/2006">
      <mc:Choice Requires="x14">
        <control shapeId="18740" r:id="rId238" name="AddedMember1_43">
          <controlPr defaultSize="0" print="0" autoFill="0" autoPict="0" macro="_xll.IBPXLClient.TechnicalCategory.ButtonActionInIBPClientFormattingSheet">
            <anchor moveWithCells="1">
              <from>
                <xdr:col>11</xdr:col>
                <xdr:colOff>2438400</xdr:colOff>
                <xdr:row>165</xdr:row>
                <xdr:rowOff>47625</xdr:rowOff>
              </from>
              <to>
                <xdr:col>12</xdr:col>
                <xdr:colOff>676275</xdr:colOff>
                <xdr:row>166</xdr:row>
                <xdr:rowOff>190500</xdr:rowOff>
              </to>
            </anchor>
          </controlPr>
        </control>
      </mc:Choice>
    </mc:AlternateContent>
    <mc:AlternateContent xmlns:mc="http://schemas.openxmlformats.org/markup-compatibility/2006">
      <mc:Choice Requires="x14">
        <control shapeId="18741" r:id="rId239" name="ChangeMember1_43">
          <controlPr defaultSize="0" print="0" autoFill="0" autoPict="0" macro="_xll.IBPXLClient.TechnicalCategory.ButtonActionInIBPClientFormattingSheet">
            <anchor moveWithCells="1">
              <from>
                <xdr:col>13</xdr:col>
                <xdr:colOff>0</xdr:colOff>
                <xdr:row>165</xdr:row>
                <xdr:rowOff>47625</xdr:rowOff>
              </from>
              <to>
                <xdr:col>13</xdr:col>
                <xdr:colOff>685800</xdr:colOff>
                <xdr:row>166</xdr:row>
                <xdr:rowOff>190500</xdr:rowOff>
              </to>
            </anchor>
          </controlPr>
        </control>
      </mc:Choice>
    </mc:AlternateContent>
    <mc:AlternateContent xmlns:mc="http://schemas.openxmlformats.org/markup-compatibility/2006">
      <mc:Choice Requires="x14">
        <control shapeId="18742" r:id="rId240" name="UpMember1_43">
          <controlPr defaultSize="0" print="0" autoFill="0" autoPict="0" macro="_xll.IBPXLClient.TechnicalCategory.ButtonActionInIBPClientFormattingSheet">
            <anchor moveWithCells="1">
              <from>
                <xdr:col>14</xdr:col>
                <xdr:colOff>0</xdr:colOff>
                <xdr:row>165</xdr:row>
                <xdr:rowOff>47625</xdr:rowOff>
              </from>
              <to>
                <xdr:col>14</xdr:col>
                <xdr:colOff>685800</xdr:colOff>
                <xdr:row>166</xdr:row>
                <xdr:rowOff>190500</xdr:rowOff>
              </to>
            </anchor>
          </controlPr>
        </control>
      </mc:Choice>
    </mc:AlternateContent>
    <mc:AlternateContent xmlns:mc="http://schemas.openxmlformats.org/markup-compatibility/2006">
      <mc:Choice Requires="x14">
        <control shapeId="18743" r:id="rId241" name="DownMember1_43">
          <controlPr defaultSize="0" print="0" autoFill="0" autoPict="0" macro="_xll.IBPXLClient.TechnicalCategory.ButtonActionInIBPClientFormattingSheet">
            <anchor moveWithCells="1">
              <from>
                <xdr:col>14</xdr:col>
                <xdr:colOff>704850</xdr:colOff>
                <xdr:row>165</xdr:row>
                <xdr:rowOff>47625</xdr:rowOff>
              </from>
              <to>
                <xdr:col>15</xdr:col>
                <xdr:colOff>676275</xdr:colOff>
                <xdr:row>166</xdr:row>
                <xdr:rowOff>190500</xdr:rowOff>
              </to>
            </anchor>
          </controlPr>
        </control>
      </mc:Choice>
    </mc:AlternateContent>
    <mc:AlternateContent xmlns:mc="http://schemas.openxmlformats.org/markup-compatibility/2006">
      <mc:Choice Requires="x14">
        <control shapeId="18745" r:id="rId242" name="AddedMember1_44">
          <controlPr defaultSize="0" print="0" autoFill="0" autoPict="0" macro="_xll.IBPXLClient.TechnicalCategory.ButtonActionInIBPClientFormattingSheet">
            <anchor moveWithCells="1">
              <from>
                <xdr:col>12</xdr:col>
                <xdr:colOff>0</xdr:colOff>
                <xdr:row>168</xdr:row>
                <xdr:rowOff>57150</xdr:rowOff>
              </from>
              <to>
                <xdr:col>12</xdr:col>
                <xdr:colOff>704850</xdr:colOff>
                <xdr:row>170</xdr:row>
                <xdr:rowOff>0</xdr:rowOff>
              </to>
            </anchor>
          </controlPr>
        </control>
      </mc:Choice>
    </mc:AlternateContent>
    <mc:AlternateContent xmlns:mc="http://schemas.openxmlformats.org/markup-compatibility/2006">
      <mc:Choice Requires="x14">
        <control shapeId="18746" r:id="rId243" name="ChangeMember1_44">
          <controlPr defaultSize="0" print="0" autoFill="0" autoPict="0" macro="_xll.IBPXLClient.TechnicalCategory.ButtonActionInIBPClientFormattingSheet">
            <anchor moveWithCells="1">
              <from>
                <xdr:col>12</xdr:col>
                <xdr:colOff>723900</xdr:colOff>
                <xdr:row>168</xdr:row>
                <xdr:rowOff>57150</xdr:rowOff>
              </from>
              <to>
                <xdr:col>13</xdr:col>
                <xdr:colOff>704850</xdr:colOff>
                <xdr:row>170</xdr:row>
                <xdr:rowOff>0</xdr:rowOff>
              </to>
            </anchor>
          </controlPr>
        </control>
      </mc:Choice>
    </mc:AlternateContent>
    <mc:AlternateContent xmlns:mc="http://schemas.openxmlformats.org/markup-compatibility/2006">
      <mc:Choice Requires="x14">
        <control shapeId="18747" r:id="rId244" name="UpMember1_44">
          <controlPr defaultSize="0" print="0" autoFill="0" autoPict="0" macro="_xll.IBPXLClient.TechnicalCategory.ButtonActionInIBPClientFormattingSheet">
            <anchor moveWithCells="1">
              <from>
                <xdr:col>14</xdr:col>
                <xdr:colOff>0</xdr:colOff>
                <xdr:row>168</xdr:row>
                <xdr:rowOff>57150</xdr:rowOff>
              </from>
              <to>
                <xdr:col>14</xdr:col>
                <xdr:colOff>704850</xdr:colOff>
                <xdr:row>170</xdr:row>
                <xdr:rowOff>0</xdr:rowOff>
              </to>
            </anchor>
          </controlPr>
        </control>
      </mc:Choice>
    </mc:AlternateContent>
    <mc:AlternateContent xmlns:mc="http://schemas.openxmlformats.org/markup-compatibility/2006">
      <mc:Choice Requires="x14">
        <control shapeId="18748" r:id="rId245" name="DownMember1_44">
          <controlPr defaultSize="0" print="0" autoFill="0" autoPict="0" macro="_xll.IBPXLClient.TechnicalCategory.ButtonActionInIBPClientFormattingSheet">
            <anchor moveWithCells="1">
              <from>
                <xdr:col>15</xdr:col>
                <xdr:colOff>0</xdr:colOff>
                <xdr:row>168</xdr:row>
                <xdr:rowOff>57150</xdr:rowOff>
              </from>
              <to>
                <xdr:col>16</xdr:col>
                <xdr:colOff>0</xdr:colOff>
                <xdr:row>170</xdr:row>
                <xdr:rowOff>0</xdr:rowOff>
              </to>
            </anchor>
          </controlPr>
        </control>
      </mc:Choice>
    </mc:AlternateContent>
    <mc:AlternateContent xmlns:mc="http://schemas.openxmlformats.org/markup-compatibility/2006">
      <mc:Choice Requires="x14">
        <control shapeId="18750" r:id="rId246" name="AddedMember1_45">
          <controlPr defaultSize="0" print="0" autoFill="0" autoPict="0" macro="_xll.IBPXLClient.TechnicalCategory.ButtonActionInIBPClientFormattingSheet">
            <anchor moveWithCells="1" sizeWithCells="1">
              <from>
                <xdr:col>11</xdr:col>
                <xdr:colOff>2438400</xdr:colOff>
                <xdr:row>172</xdr:row>
                <xdr:rowOff>0</xdr:rowOff>
              </from>
              <to>
                <xdr:col>12</xdr:col>
                <xdr:colOff>676275</xdr:colOff>
                <xdr:row>173</xdr:row>
                <xdr:rowOff>0</xdr:rowOff>
              </to>
            </anchor>
          </controlPr>
        </control>
      </mc:Choice>
    </mc:AlternateContent>
    <mc:AlternateContent xmlns:mc="http://schemas.openxmlformats.org/markup-compatibility/2006">
      <mc:Choice Requires="x14">
        <control shapeId="18751" r:id="rId247" name="ChangeMember1_45">
          <controlPr defaultSize="0" print="0" autoFill="0" autoPict="0" macro="_xll.IBPXLClient.TechnicalCategory.ButtonActionInIBPClientFormattingSheet">
            <anchor moveWithCells="1" sizeWithCells="1">
              <from>
                <xdr:col>13</xdr:col>
                <xdr:colOff>0</xdr:colOff>
                <xdr:row>172</xdr:row>
                <xdr:rowOff>0</xdr:rowOff>
              </from>
              <to>
                <xdr:col>13</xdr:col>
                <xdr:colOff>685800</xdr:colOff>
                <xdr:row>173</xdr:row>
                <xdr:rowOff>0</xdr:rowOff>
              </to>
            </anchor>
          </controlPr>
        </control>
      </mc:Choice>
    </mc:AlternateContent>
    <mc:AlternateContent xmlns:mc="http://schemas.openxmlformats.org/markup-compatibility/2006">
      <mc:Choice Requires="x14">
        <control shapeId="18752" r:id="rId248" name="UpMember1_45">
          <controlPr defaultSize="0" print="0" autoFill="0" autoPict="0" macro="_xll.IBPXLClient.TechnicalCategory.ButtonActionInIBPClientFormattingSheet">
            <anchor moveWithCells="1" sizeWithCells="1">
              <from>
                <xdr:col>14</xdr:col>
                <xdr:colOff>0</xdr:colOff>
                <xdr:row>172</xdr:row>
                <xdr:rowOff>0</xdr:rowOff>
              </from>
              <to>
                <xdr:col>14</xdr:col>
                <xdr:colOff>685800</xdr:colOff>
                <xdr:row>173</xdr:row>
                <xdr:rowOff>0</xdr:rowOff>
              </to>
            </anchor>
          </controlPr>
        </control>
      </mc:Choice>
    </mc:AlternateContent>
    <mc:AlternateContent xmlns:mc="http://schemas.openxmlformats.org/markup-compatibility/2006">
      <mc:Choice Requires="x14">
        <control shapeId="18753" r:id="rId249" name="DownMember1_45">
          <controlPr defaultSize="0" print="0" autoFill="0" autoPict="0" macro="_xll.IBPXLClient.TechnicalCategory.ButtonActionInIBPClientFormattingSheet">
            <anchor moveWithCells="1" sizeWithCells="1">
              <from>
                <xdr:col>14</xdr:col>
                <xdr:colOff>704850</xdr:colOff>
                <xdr:row>172</xdr:row>
                <xdr:rowOff>0</xdr:rowOff>
              </from>
              <to>
                <xdr:col>15</xdr:col>
                <xdr:colOff>676275</xdr:colOff>
                <xdr:row>173</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HF324"/>
  <sheetViews>
    <sheetView showGridLines="0" tabSelected="1" zoomScale="90" zoomScaleNormal="90" workbookViewId="0">
      <pane xSplit="10" ySplit="5" topLeftCell="K6" activePane="bottomRight" state="frozen"/>
      <selection pane="topRight" activeCell="G1" sqref="G1"/>
      <selection pane="bottomLeft" activeCell="A6" sqref="A6"/>
      <selection pane="bottomRight" activeCell="L28" sqref="L28:L30"/>
    </sheetView>
  </sheetViews>
  <sheetFormatPr defaultRowHeight="15" x14ac:dyDescent="0.25"/>
  <cols>
    <col min="1" max="5" width="1.5703125" bestFit="1" customWidth="1"/>
    <col min="6" max="6" width="31.28515625" bestFit="1" customWidth="1"/>
    <col min="7" max="7" width="10.140625" bestFit="1" customWidth="1"/>
    <col min="8" max="8" width="25.5703125" bestFit="1" customWidth="1"/>
    <col min="9" max="9" width="22.5703125" bestFit="1" customWidth="1"/>
    <col min="10" max="10" width="32.28515625" bestFit="1" customWidth="1"/>
    <col min="11" max="222" width="11" bestFit="1" customWidth="1"/>
  </cols>
  <sheetData>
    <row r="1" spans="1:214" s="66" customFormat="1" ht="28.5" customHeight="1" x14ac:dyDescent="0.25">
      <c r="B1" s="65"/>
      <c r="C1" s="65"/>
      <c r="E1" s="65"/>
      <c r="F1" s="65"/>
      <c r="G1" s="65"/>
      <c r="H1" s="65"/>
      <c r="I1" s="65"/>
      <c r="J1" s="73" t="s">
        <v>75</v>
      </c>
      <c r="K1" s="113" t="str">
        <f>" "&amp;IFERROR(IF(SOP_Favorite_Name&lt;&gt;" ",SOP_Favorite_Name,IF(SOP_Template_Name&lt;&gt;" ",SOP_Template_Name,"Ad Hoc Planning View")),"Offline")</f>
        <v xml:space="preserve"> DP130 Demand Planning_G610_RET</v>
      </c>
      <c r="L1" s="113"/>
      <c r="M1" s="113"/>
      <c r="N1" s="113"/>
      <c r="O1" s="113"/>
      <c r="P1" s="113"/>
      <c r="Q1" s="114" t="str">
        <f ca="1">"User: "&amp;_xll.IBPUser()&amp;"   |    Planning Area: "&amp;IFERROR(SOP_Planning_Area,"Offline")&amp;"
"&amp;"Template: "&amp;IFERROR(SOP_Template_Name,"none")</f>
        <v>User: Abhishek Khetrapal   |    Planning Area: GFIBPPRD01
Template: DP130 Demand Planning_G610_RET</v>
      </c>
      <c r="R1" s="114"/>
      <c r="S1" s="114"/>
      <c r="T1" s="114"/>
      <c r="U1" s="114"/>
      <c r="V1" s="114"/>
      <c r="W1" s="67"/>
      <c r="X1" s="68"/>
      <c r="Y1" s="68"/>
      <c r="Z1" s="68"/>
      <c r="AA1" s="68"/>
      <c r="AB1" s="68"/>
      <c r="AC1" s="68"/>
      <c r="AD1" s="68"/>
      <c r="BR1" s="69"/>
      <c r="BS1" s="69"/>
      <c r="BT1" s="69"/>
      <c r="BU1" s="69"/>
      <c r="BV1" s="69"/>
      <c r="BW1" s="69"/>
      <c r="BX1" s="69"/>
      <c r="BY1" s="69"/>
      <c r="BZ1" s="69"/>
      <c r="CA1" s="69"/>
      <c r="CB1" s="69"/>
      <c r="CC1" s="69"/>
      <c r="CD1" s="69"/>
    </row>
    <row r="2" spans="1:214" s="66" customFormat="1" ht="36.6" customHeight="1" x14ac:dyDescent="0.25">
      <c r="B2" s="70"/>
      <c r="C2" s="70"/>
      <c r="E2" s="70"/>
      <c r="F2" s="70"/>
      <c r="G2" s="70"/>
      <c r="I2" s="70"/>
      <c r="J2" s="70"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(Ad Hoc Filter) (3 criteria): 
Market Segment = G610_01_01
Product ID = 168846; 168847; 168848; 179649; 179650
Location ID = 6125; 6103; 6105; 6104; 6110; 6120; 6123; 6130; 6134
</v>
      </c>
      <c r="K2" s="71"/>
      <c r="L2" s="71"/>
      <c r="M2" s="71"/>
      <c r="N2" s="71"/>
      <c r="O2" s="71"/>
      <c r="P2" s="71"/>
      <c r="Q2" s="72"/>
      <c r="R2" s="72"/>
      <c r="S2" s="72"/>
      <c r="T2" s="72"/>
      <c r="U2" s="72"/>
      <c r="V2" s="72"/>
      <c r="W2" s="67"/>
      <c r="X2" s="68"/>
      <c r="Y2" s="68"/>
      <c r="Z2" s="68"/>
      <c r="AA2" s="68"/>
      <c r="AB2" s="68"/>
      <c r="AC2" s="68"/>
      <c r="AD2" s="68"/>
      <c r="BR2" s="69"/>
      <c r="BS2" s="69"/>
      <c r="BT2" s="69"/>
      <c r="BU2" s="69"/>
      <c r="BV2" s="69"/>
      <c r="BW2" s="69"/>
      <c r="BX2" s="69"/>
      <c r="BY2" s="69"/>
      <c r="BZ2" s="69"/>
      <c r="CA2" s="69"/>
      <c r="CB2" s="69"/>
      <c r="CC2" s="69"/>
      <c r="CD2" s="69"/>
    </row>
    <row r="3" spans="1:214" s="66" customFormat="1" ht="17.100000000000001" customHeight="1" x14ac:dyDescent="0.25">
      <c r="B3" s="70"/>
      <c r="C3" s="70"/>
      <c r="E3" s="70"/>
      <c r="F3" s="70"/>
      <c r="G3" s="70"/>
      <c r="H3" s="65" t="str">
        <f>"UoM : "&amp;SOP_TargetUoM&amp;" | Currency : "&amp;SOP_TargetCurrency&amp;""</f>
        <v>UoM : ZSF | Currency : AUD</v>
      </c>
      <c r="I3" s="70"/>
      <c r="J3" s="70" t="str">
        <f>"Value-Based Filter: "&amp;SOP_Value_Based_Filter_Name&amp;": "&amp;" 
"&amp;IFERROR(INDEX(SOP_Value_Based_Filter,1),"")</f>
        <v xml:space="preserve">Value-Based Filter: (None):  
 </v>
      </c>
      <c r="K3" s="115" t="str">
        <f>"  Last Refresh: "&amp;IFERROR(YEAR(SOP_Refresh_Timestamp)&amp;"-"&amp;TEXT(SOP_Refresh_Timestamp,"MMM")&amp;"-"&amp;DAY(SOP_Refresh_Timestamp)&amp;"   "&amp;TEXT(SOP_Refresh_Timestamp,"HH:MM:SS"),"Offline")</f>
        <v xml:space="preserve">  Last Refresh: 2025-Jun-2   09:28:08</v>
      </c>
      <c r="L3" s="115"/>
      <c r="M3" s="115"/>
      <c r="N3" s="115"/>
      <c r="O3" s="115"/>
      <c r="P3" s="115"/>
      <c r="Q3" s="115"/>
      <c r="R3" s="115"/>
      <c r="S3" s="115"/>
      <c r="T3" s="115"/>
      <c r="U3" s="115"/>
      <c r="V3" s="115"/>
      <c r="W3" s="67"/>
      <c r="X3" s="68"/>
      <c r="Y3" s="68"/>
      <c r="Z3" s="68"/>
      <c r="AA3" s="68"/>
      <c r="AB3" s="68"/>
      <c r="AC3" s="68"/>
      <c r="AD3" s="68"/>
      <c r="BR3" s="69"/>
      <c r="BS3" s="69"/>
      <c r="BT3" s="69"/>
      <c r="BU3" s="69"/>
      <c r="BV3" s="69"/>
      <c r="BW3" s="69"/>
      <c r="BX3" s="69"/>
      <c r="BY3" s="69"/>
      <c r="BZ3" s="69"/>
      <c r="CA3" s="69"/>
      <c r="CB3" s="69"/>
      <c r="CC3" s="69"/>
      <c r="CD3" s="69"/>
    </row>
    <row r="4" spans="1:214" s="27" customFormat="1" ht="189.75" hidden="1" customHeight="1" x14ac:dyDescent="0.25">
      <c r="A4" s="112"/>
      <c r="B4" s="112"/>
      <c r="C4" s="112"/>
      <c r="D4" s="112"/>
      <c r="E4" s="112"/>
      <c r="F4" s="112"/>
      <c r="G4" s="112"/>
      <c r="H4" s="112"/>
      <c r="I4" s="112"/>
      <c r="J4" s="112"/>
    </row>
    <row r="5" spans="1:214" s="29" customFormat="1" x14ac:dyDescent="0.25">
      <c r="A5" s="28" t="str">
        <f>SOP_Heading10</f>
        <v xml:space="preserve"> </v>
      </c>
      <c r="B5" s="28" t="str">
        <f>SOP_Heading9</f>
        <v xml:space="preserve"> </v>
      </c>
      <c r="C5" s="28" t="str">
        <f>SOP_Heading8</f>
        <v xml:space="preserve"> </v>
      </c>
      <c r="D5" s="28" t="str">
        <f>SOP_Heading7</f>
        <v xml:space="preserve"> </v>
      </c>
      <c r="E5" s="28" t="str">
        <f>SOP_Heading6</f>
        <v xml:space="preserve"> </v>
      </c>
      <c r="F5" s="28" t="str">
        <f>SOP_Heading5</f>
        <v>Product Desc</v>
      </c>
      <c r="G5" s="28" t="str">
        <f>SOP_Heading4</f>
        <v>Product ID</v>
      </c>
      <c r="H5" s="28" t="str">
        <f>SOP_Heading3</f>
        <v>Location ID</v>
      </c>
      <c r="I5" s="28" t="str">
        <f>SOP_Heading2</f>
        <v>Location</v>
      </c>
      <c r="J5" s="28" t="str">
        <f>SOP_Heading1</f>
        <v>Key Figure</v>
      </c>
      <c r="K5" s="34" t="str">
        <f xml:space="preserve"> _xll.EPMOlapMemberO("[PERIODID0].[].[14170]","","02.06.2025","","000")</f>
        <v>02.06.2025</v>
      </c>
      <c r="L5" s="34" t="str">
        <f xml:space="preserve"> _xll.EPMOlapMemberO("[PERIODID0].[].[14171]","","03.06.2025","","000")</f>
        <v>03.06.2025</v>
      </c>
      <c r="M5" s="34" t="str">
        <f xml:space="preserve"> _xll.EPMOlapMemberO("[PERIODID0].[].[14172]","","04.06.2025","","000")</f>
        <v>04.06.2025</v>
      </c>
      <c r="N5" s="34" t="str">
        <f xml:space="preserve"> _xll.EPMOlapMemberO("[PERIODID0].[].[14173]","","05.06.2025","","000")</f>
        <v>05.06.2025</v>
      </c>
      <c r="O5" s="34" t="str">
        <f xml:space="preserve"> _xll.EPMOlapMemberO("[PERIODID0].[].[14174]","","06.06.2025","","000")</f>
        <v>06.06.2025</v>
      </c>
      <c r="P5" s="34" t="str">
        <f xml:space="preserve"> _xll.EPMOlapMemberO("[PERIODID0].[].[14175]","","07.06.2025","","000")</f>
        <v>07.06.2025</v>
      </c>
      <c r="Q5" s="34" t="str">
        <f xml:space="preserve"> _xll.EPMOlapMemberO("[PERIODID0].[].[14176]","","08.06.2025","","000")</f>
        <v>08.06.2025</v>
      </c>
      <c r="R5" s="34" t="str">
        <f xml:space="preserve"> _xll.EPMOlapMemberO("[PERIODID0].[].[14177]","","09.06.2025","","000")</f>
        <v>09.06.2025</v>
      </c>
      <c r="S5" s="34" t="str">
        <f xml:space="preserve"> _xll.EPMOlapMemberO("[PERIODID0].[].[14178]","","10.06.2025","","000")</f>
        <v>10.06.2025</v>
      </c>
      <c r="T5" s="34" t="str">
        <f xml:space="preserve"> _xll.EPMOlapMemberO("[PERIODID0].[].[14179]","","11.06.2025","","000")</f>
        <v>11.06.2025</v>
      </c>
      <c r="U5" s="34" t="str">
        <f xml:space="preserve"> _xll.EPMOlapMemberO("[PERIODID0].[].[14180]","","12.06.2025","","000")</f>
        <v>12.06.2025</v>
      </c>
      <c r="V5" s="34" t="str">
        <f xml:space="preserve"> _xll.EPMOlapMemberO("[PERIODID0].[].[14181]","","13.06.2025","","000")</f>
        <v>13.06.2025</v>
      </c>
      <c r="W5" s="34" t="str">
        <f xml:space="preserve"> _xll.EPMOlapMemberO("[PERIODID0].[].[14182]","","14.06.2025","","000")</f>
        <v>14.06.2025</v>
      </c>
      <c r="X5" s="34" t="str">
        <f xml:space="preserve"> _xll.EPMOlapMemberO("[PERIODID0].[].[14183]","","15.06.2025","","000")</f>
        <v>15.06.2025</v>
      </c>
      <c r="Y5" s="34" t="str">
        <f xml:space="preserve"> _xll.EPMOlapMemberO("[PERIODID0].[].[14184]","","16.06.2025","","000")</f>
        <v>16.06.2025</v>
      </c>
      <c r="Z5" s="34" t="str">
        <f xml:space="preserve"> _xll.EPMOlapMemberO("[PERIODID0].[].[14185]","","17.06.2025","","000")</f>
        <v>17.06.2025</v>
      </c>
      <c r="AA5" s="34" t="str">
        <f xml:space="preserve"> _xll.EPMOlapMemberO("[PERIODID0].[].[14186]","","18.06.2025","","000")</f>
        <v>18.06.2025</v>
      </c>
      <c r="AB5" s="34" t="str">
        <f xml:space="preserve"> _xll.EPMOlapMemberO("[PERIODID0].[].[14187]","","19.06.2025","","000")</f>
        <v>19.06.2025</v>
      </c>
      <c r="AC5" s="34" t="str">
        <f xml:space="preserve"> _xll.EPMOlapMemberO("[PERIODID0].[].[14188]","","20.06.2025","","000")</f>
        <v>20.06.2025</v>
      </c>
      <c r="AD5" s="34" t="str">
        <f xml:space="preserve"> _xll.EPMOlapMemberO("[PERIODID0].[].[14189]","","21.06.2025","","000")</f>
        <v>21.06.2025</v>
      </c>
      <c r="AE5" s="34" t="str">
        <f xml:space="preserve"> _xll.EPMOlapMemberO("[PERIODID0].[].[14190]","","22.06.2025","","000")</f>
        <v>22.06.2025</v>
      </c>
      <c r="AF5" s="34" t="str">
        <f xml:space="preserve"> _xll.EPMOlapMemberO("[PERIODID0].[].[14191]","","23.06.2025","","000")</f>
        <v>23.06.2025</v>
      </c>
      <c r="AG5" s="34" t="str">
        <f xml:space="preserve"> _xll.EPMOlapMemberO("[PERIODID0].[].[14192]","","24.06.2025","","000")</f>
        <v>24.06.2025</v>
      </c>
      <c r="AH5" s="34" t="str">
        <f xml:space="preserve"> _xll.EPMOlapMemberO("[PERIODID0].[].[14193]","","25.06.2025","","000")</f>
        <v>25.06.2025</v>
      </c>
      <c r="AI5" s="34" t="str">
        <f xml:space="preserve"> _xll.EPMOlapMemberO("[PERIODID0].[].[14194]","","26.06.2025","","000")</f>
        <v>26.06.2025</v>
      </c>
      <c r="AJ5" s="34" t="str">
        <f xml:space="preserve"> _xll.EPMOlapMemberO("[PERIODID0].[].[14195]","","27.06.2025","","000")</f>
        <v>27.06.2025</v>
      </c>
      <c r="AK5" s="34" t="str">
        <f xml:space="preserve"> _xll.EPMOlapMemberO("[PERIODID0].[].[14196]","","28.06.2025","","000")</f>
        <v>28.06.2025</v>
      </c>
      <c r="AL5" s="34" t="str">
        <f xml:space="preserve"> _xll.EPMOlapMemberO("[PERIODID0].[].[14197]","","29.06.2025","","000")</f>
        <v>29.06.2025</v>
      </c>
      <c r="AM5" s="34" t="str">
        <f xml:space="preserve"> _xll.EPMOlapMemberO("[PERIODID0].[].[14198]","","30.06.2025","","000")</f>
        <v>30.06.2025</v>
      </c>
      <c r="AN5" s="34" t="str">
        <f xml:space="preserve"> _xll.EPMOlapMemberO("[PERIODID0].[].[14199]","","01.07.2025","","000")</f>
        <v>01.07.2025</v>
      </c>
      <c r="AO5" s="34" t="str">
        <f xml:space="preserve"> _xll.EPMOlapMemberO("[PERIODID0].[].[14200]","","02.07.2025","","000")</f>
        <v>02.07.2025</v>
      </c>
      <c r="AP5" s="34" t="str">
        <f xml:space="preserve"> _xll.EPMOlapMemberO("[PERIODID0].[].[14201]","","03.07.2025","","000")</f>
        <v>03.07.2025</v>
      </c>
      <c r="AQ5" s="34" t="str">
        <f xml:space="preserve"> _xll.EPMOlapMemberO("[PERIODID0].[].[14202]","","04.07.2025","","000")</f>
        <v>04.07.2025</v>
      </c>
      <c r="AR5" s="34" t="str">
        <f xml:space="preserve"> _xll.EPMOlapMemberO("[PERIODID0].[].[14203]","","05.07.2025","","000")</f>
        <v>05.07.2025</v>
      </c>
      <c r="AS5" s="34" t="str">
        <f xml:space="preserve"> _xll.EPMOlapMemberO("[PERIODID0].[].[14204]","","06.07.2025","","000")</f>
        <v>06.07.2025</v>
      </c>
      <c r="AT5" s="34" t="str">
        <f xml:space="preserve"> _xll.EPMOlapMemberO("[PERIODID0].[].[14205]","","07.07.2025","","000")</f>
        <v>07.07.2025</v>
      </c>
      <c r="AU5" s="34" t="str">
        <f xml:space="preserve"> _xll.EPMOlapMemberO("[PERIODID0].[].[14206]","","08.07.2025","","000")</f>
        <v>08.07.2025</v>
      </c>
      <c r="AV5" s="34" t="str">
        <f xml:space="preserve"> _xll.EPMOlapMemberO("[PERIODID0].[].[14207]","","09.07.2025","","000")</f>
        <v>09.07.2025</v>
      </c>
      <c r="AW5" s="34" t="str">
        <f xml:space="preserve"> _xll.EPMOlapMemberO("[PERIODID0].[].[14208]","","10.07.2025","","000")</f>
        <v>10.07.2025</v>
      </c>
      <c r="AX5" s="34" t="str">
        <f xml:space="preserve"> _xll.EPMOlapMemberO("[PERIODID0].[].[14209]","","11.07.2025","","000")</f>
        <v>11.07.2025</v>
      </c>
      <c r="AY5" s="34" t="str">
        <f xml:space="preserve"> _xll.EPMOlapMemberO("[PERIODID0].[].[14210]","","12.07.2025","","000")</f>
        <v>12.07.2025</v>
      </c>
      <c r="AZ5" s="34" t="str">
        <f xml:space="preserve"> _xll.EPMOlapMemberO("[PERIODID0].[].[14211]","","13.07.2025","","000")</f>
        <v>13.07.2025</v>
      </c>
      <c r="BA5" s="34" t="str">
        <f xml:space="preserve"> _xll.EPMOlapMemberO("[PERIODID0].[].[14212]","","14.07.2025","","000")</f>
        <v>14.07.2025</v>
      </c>
      <c r="BB5" s="34" t="str">
        <f xml:space="preserve"> _xll.EPMOlapMemberO("[PERIODID0].[].[14213]","","15.07.2025","","000")</f>
        <v>15.07.2025</v>
      </c>
      <c r="BC5" s="34" t="str">
        <f xml:space="preserve"> _xll.EPMOlapMemberO("[PERIODID0].[].[14214]","","16.07.2025","","000")</f>
        <v>16.07.2025</v>
      </c>
      <c r="BD5" s="34" t="str">
        <f xml:space="preserve"> _xll.EPMOlapMemberO("[PERIODID0].[].[14215]","","17.07.2025","","000")</f>
        <v>17.07.2025</v>
      </c>
      <c r="BE5" s="34" t="str">
        <f xml:space="preserve"> _xll.EPMOlapMemberO("[PERIODID0].[].[14216]","","18.07.2025","","000")</f>
        <v>18.07.2025</v>
      </c>
      <c r="BF5" s="34" t="str">
        <f xml:space="preserve"> _xll.EPMOlapMemberO("[PERIODID0].[].[14217]","","19.07.2025","","000")</f>
        <v>19.07.2025</v>
      </c>
      <c r="BG5" s="34" t="str">
        <f xml:space="preserve"> _xll.EPMOlapMemberO("[PERIODID0].[].[14218]","","20.07.2025","","000")</f>
        <v>20.07.2025</v>
      </c>
      <c r="BH5" s="34" t="str">
        <f xml:space="preserve"> _xll.EPMOlapMemberO("[PERIODID0].[].[14219]","","21.07.2025","","000")</f>
        <v>21.07.2025</v>
      </c>
      <c r="BI5" s="34" t="str">
        <f xml:space="preserve"> _xll.EPMOlapMemberO("[PERIODID0].[].[14220]","","22.07.2025","","000")</f>
        <v>22.07.2025</v>
      </c>
      <c r="BJ5" s="34" t="str">
        <f xml:space="preserve"> _xll.EPMOlapMemberO("[PERIODID0].[].[14221]","","23.07.2025","","000")</f>
        <v>23.07.2025</v>
      </c>
      <c r="BK5" s="34" t="str">
        <f xml:space="preserve"> _xll.EPMOlapMemberO("[PERIODID0].[].[14222]","","24.07.2025","","000")</f>
        <v>24.07.2025</v>
      </c>
      <c r="BL5" s="34" t="str">
        <f xml:space="preserve"> _xll.EPMOlapMemberO("[PERIODID0].[].[14223]","","25.07.2025","","000")</f>
        <v>25.07.2025</v>
      </c>
      <c r="BM5" s="34" t="str">
        <f xml:space="preserve"> _xll.EPMOlapMemberO("[PERIODID0].[].[14224]","","26.07.2025","","000")</f>
        <v>26.07.2025</v>
      </c>
      <c r="BN5" s="34" t="str">
        <f xml:space="preserve"> _xll.EPMOlapMemberO("[PERIODID0].[].[14225]","","27.07.2025","","000")</f>
        <v>27.07.2025</v>
      </c>
      <c r="BO5" s="34" t="str">
        <f xml:space="preserve"> _xll.EPMOlapMemberO("[PERIODID0].[].[14226]","","28.07.2025","","000")</f>
        <v>28.07.2025</v>
      </c>
      <c r="BP5" s="34" t="str">
        <f xml:space="preserve"> _xll.EPMOlapMemberO("[PERIODID0].[].[14227]","","29.07.2025","","000")</f>
        <v>29.07.2025</v>
      </c>
      <c r="BQ5" s="34" t="str">
        <f xml:space="preserve"> _xll.EPMOlapMemberO("[PERIODID0].[].[14228]","","30.07.2025","","000")</f>
        <v>30.07.2025</v>
      </c>
      <c r="BR5" s="34" t="str">
        <f xml:space="preserve"> _xll.EPMOlapMemberO("[PERIODID0].[].[14229]","","31.07.2025","","000")</f>
        <v>31.07.2025</v>
      </c>
      <c r="BS5" s="34" t="str">
        <f xml:space="preserve"> _xll.EPMOlapMemberO("[PERIODID0].[].[14230]","","01.08.2025","","000")</f>
        <v>01.08.2025</v>
      </c>
      <c r="BT5" s="34" t="str">
        <f xml:space="preserve"> _xll.EPMOlapMemberO("[PERIODID0].[].[14231]","","02.08.2025","","000")</f>
        <v>02.08.2025</v>
      </c>
      <c r="BU5" s="34" t="str">
        <f xml:space="preserve"> _xll.EPMOlapMemberO("[PERIODID0].[].[14232]","","03.08.2025","","000")</f>
        <v>03.08.2025</v>
      </c>
      <c r="BV5" s="34" t="str">
        <f xml:space="preserve"> _xll.EPMOlapMemberO("[PERIODID0].[].[14233]","","04.08.2025","","000")</f>
        <v>04.08.2025</v>
      </c>
      <c r="BW5" s="34" t="str">
        <f xml:space="preserve"> _xll.EPMOlapMemberO("[PERIODID0].[].[14234]","","05.08.2025","","000")</f>
        <v>05.08.2025</v>
      </c>
      <c r="BX5" s="34" t="str">
        <f xml:space="preserve"> _xll.EPMOlapMemberO("[PERIODID0].[].[14235]","","06.08.2025","","000")</f>
        <v>06.08.2025</v>
      </c>
      <c r="BY5" s="34" t="str">
        <f xml:space="preserve"> _xll.EPMOlapMemberO("[PERIODID0].[].[14236]","","07.08.2025","","000")</f>
        <v>07.08.2025</v>
      </c>
      <c r="BZ5" s="34" t="str">
        <f xml:space="preserve"> _xll.EPMOlapMemberO("[PERIODID0].[].[14237]","","08.08.2025","","000")</f>
        <v>08.08.2025</v>
      </c>
      <c r="CA5" s="34" t="str">
        <f xml:space="preserve"> _xll.EPMOlapMemberO("[PERIODID0].[].[14238]","","09.08.2025","","000")</f>
        <v>09.08.2025</v>
      </c>
      <c r="CB5" s="34" t="str">
        <f xml:space="preserve"> _xll.EPMOlapMemberO("[PERIODID0].[].[14239]","","10.08.2025","","000")</f>
        <v>10.08.2025</v>
      </c>
      <c r="CC5" s="34" t="str">
        <f xml:space="preserve"> _xll.EPMOlapMemberO("[PERIODID0].[].[14240]","","11.08.2025","","000")</f>
        <v>11.08.2025</v>
      </c>
      <c r="CD5" s="34" t="str">
        <f xml:space="preserve"> _xll.EPMOlapMemberO("[PERIODID0].[].[14241]","","12.08.2025","","000")</f>
        <v>12.08.2025</v>
      </c>
      <c r="CE5" s="34" t="str">
        <f xml:space="preserve"> _xll.EPMOlapMemberO("[PERIODID0].[].[14242]","","13.08.2025","","000")</f>
        <v>13.08.2025</v>
      </c>
      <c r="CF5" s="34" t="str">
        <f xml:space="preserve"> _xll.EPMOlapMemberO("[PERIODID0].[].[14243]","","14.08.2025","","000")</f>
        <v>14.08.2025</v>
      </c>
      <c r="CG5" s="34" t="str">
        <f xml:space="preserve"> _xll.EPMOlapMemberO("[PERIODID0].[].[14244]","","15.08.2025","","000")</f>
        <v>15.08.2025</v>
      </c>
      <c r="CH5" s="34" t="str">
        <f xml:space="preserve"> _xll.EPMOlapMemberO("[PERIODID0].[].[14245]","","16.08.2025","","000")</f>
        <v>16.08.2025</v>
      </c>
      <c r="CI5" s="34" t="str">
        <f xml:space="preserve"> _xll.EPMOlapMemberO("[PERIODID0].[].[14246]","","17.08.2025","","000")</f>
        <v>17.08.2025</v>
      </c>
      <c r="CJ5" s="34" t="str">
        <f xml:space="preserve"> _xll.EPMOlapMemberO("[PERIODID0].[].[14247]","","18.08.2025","","000")</f>
        <v>18.08.2025</v>
      </c>
      <c r="CK5" s="34" t="str">
        <f xml:space="preserve"> _xll.EPMOlapMemberO("[PERIODID0].[].[14248]","","19.08.2025","","000")</f>
        <v>19.08.2025</v>
      </c>
      <c r="CL5" s="34" t="str">
        <f xml:space="preserve"> _xll.EPMOlapMemberO("[PERIODID0].[].[14249]","","20.08.2025","","000")</f>
        <v>20.08.2025</v>
      </c>
      <c r="CM5" s="34" t="str">
        <f xml:space="preserve"> _xll.EPMOlapMemberO("[PERIODID0].[].[14250]","","21.08.2025","","000")</f>
        <v>21.08.2025</v>
      </c>
      <c r="CN5" s="34" t="str">
        <f xml:space="preserve"> _xll.EPMOlapMemberO("[PERIODID0].[].[14251]","","22.08.2025","","000")</f>
        <v>22.08.2025</v>
      </c>
      <c r="CO5" s="34" t="str">
        <f xml:space="preserve"> _xll.EPMOlapMemberO("[PERIODID0].[].[14252]","","23.08.2025","","000")</f>
        <v>23.08.2025</v>
      </c>
      <c r="CP5" s="34" t="str">
        <f xml:space="preserve"> _xll.EPMOlapMemberO("[PERIODID0].[].[14253]","","24.08.2025","","000")</f>
        <v>24.08.2025</v>
      </c>
      <c r="CQ5" s="34" t="str">
        <f xml:space="preserve"> _xll.EPMOlapMemberO("[PERIODID0].[].[14254]","","25.08.2025","","000")</f>
        <v>25.08.2025</v>
      </c>
      <c r="CR5" s="34" t="str">
        <f xml:space="preserve"> _xll.EPMOlapMemberO("[PERIODID0].[].[14255]","","26.08.2025","","000")</f>
        <v>26.08.2025</v>
      </c>
      <c r="CS5" s="34" t="str">
        <f xml:space="preserve"> _xll.EPMOlapMemberO("[PERIODID0].[].[14256]","","27.08.2025","","000")</f>
        <v>27.08.2025</v>
      </c>
      <c r="CT5" s="34" t="str">
        <f xml:space="preserve"> _xll.EPMOlapMemberO("[PERIODID0].[].[14257]","","28.08.2025","","000")</f>
        <v>28.08.2025</v>
      </c>
      <c r="CU5" s="34" t="str">
        <f xml:space="preserve"> _xll.EPMOlapMemberO("[PERIODID0].[].[14258]","","29.08.2025","","000")</f>
        <v>29.08.2025</v>
      </c>
      <c r="CV5" s="34" t="str">
        <f xml:space="preserve"> _xll.EPMOlapMemberO("[PERIODID0].[].[14259]","","30.08.2025","","000")</f>
        <v>30.08.2025</v>
      </c>
      <c r="CW5" s="34" t="str">
        <f xml:space="preserve"> _xll.EPMOlapMemberO("[PERIODID0].[].[14260]","","31.08.2025","","000")</f>
        <v>31.08.2025</v>
      </c>
      <c r="CX5" s="34" t="str">
        <f xml:space="preserve"> _xll.EPMOlapMemberO("[PERIODID0].[].[14261]","","01.09.2025","","000")</f>
        <v>01.09.2025</v>
      </c>
      <c r="CY5" s="34" t="str">
        <f xml:space="preserve"> _xll.EPMOlapMemberO("[PERIODID0].[].[14262]","","02.09.2025","","000")</f>
        <v>02.09.2025</v>
      </c>
      <c r="CZ5" s="34" t="str">
        <f xml:space="preserve"> _xll.EPMOlapMemberO("[PERIODID0].[].[14263]","","03.09.2025","","000")</f>
        <v>03.09.2025</v>
      </c>
      <c r="DA5" s="34" t="str">
        <f xml:space="preserve"> _xll.EPMOlapMemberO("[PERIODID0].[].[14264]","","04.09.2025","","000")</f>
        <v>04.09.2025</v>
      </c>
      <c r="DB5" s="34" t="str">
        <f xml:space="preserve"> _xll.EPMOlapMemberO("[PERIODID0].[].[14265]","","05.09.2025","","000")</f>
        <v>05.09.2025</v>
      </c>
      <c r="DC5" s="34" t="str">
        <f xml:space="preserve"> _xll.EPMOlapMemberO("[PERIODID0].[].[14266]","","06.09.2025","","000")</f>
        <v>06.09.2025</v>
      </c>
      <c r="DD5" s="34" t="str">
        <f xml:space="preserve"> _xll.EPMOlapMemberO("[PERIODID0].[].[14267]","","07.09.2025","","000")</f>
        <v>07.09.2025</v>
      </c>
      <c r="DE5" s="34" t="str">
        <f xml:space="preserve"> _xll.EPMOlapMemberO("[PERIODID0].[].[14268]","","08.09.2025","","000")</f>
        <v>08.09.2025</v>
      </c>
      <c r="DF5" s="34" t="str">
        <f xml:space="preserve"> _xll.EPMOlapMemberO("[PERIODID0].[].[14269]","","09.09.2025","","000")</f>
        <v>09.09.2025</v>
      </c>
      <c r="DG5" s="34" t="str">
        <f xml:space="preserve"> _xll.EPMOlapMemberO("[PERIODID0].[].[14270]","","10.09.2025","","000")</f>
        <v>10.09.2025</v>
      </c>
      <c r="DH5" s="34" t="str">
        <f xml:space="preserve"> _xll.EPMOlapMemberO("[PERIODID0].[].[14271]","","11.09.2025","","000")</f>
        <v>11.09.2025</v>
      </c>
      <c r="DI5" s="34" t="str">
        <f xml:space="preserve"> _xll.EPMOlapMemberO("[PERIODID0].[].[14272]","","12.09.2025","","000")</f>
        <v>12.09.2025</v>
      </c>
      <c r="DJ5" s="34" t="str">
        <f xml:space="preserve"> _xll.EPMOlapMemberO("[PERIODID0].[].[14273]","","13.09.2025","","000")</f>
        <v>13.09.2025</v>
      </c>
      <c r="DK5" s="34" t="str">
        <f xml:space="preserve"> _xll.EPMOlapMemberO("[PERIODID0].[].[14274]","","14.09.2025","","000")</f>
        <v>14.09.2025</v>
      </c>
      <c r="DL5" s="34" t="str">
        <f xml:space="preserve"> _xll.EPMOlapMemberO("[PERIODID0].[].[14275]","","15.09.2025","","000")</f>
        <v>15.09.2025</v>
      </c>
      <c r="DM5" s="34" t="str">
        <f xml:space="preserve"> _xll.EPMOlapMemberO("[PERIODID0].[].[14276]","","16.09.2025","","000")</f>
        <v>16.09.2025</v>
      </c>
      <c r="DN5" s="34" t="str">
        <f xml:space="preserve"> _xll.EPMOlapMemberO("[PERIODID0].[].[14277]","","17.09.2025","","000")</f>
        <v>17.09.2025</v>
      </c>
      <c r="DO5" s="34" t="str">
        <f xml:space="preserve"> _xll.EPMOlapMemberO("[PERIODID0].[].[14278]","","18.09.2025","","000")</f>
        <v>18.09.2025</v>
      </c>
      <c r="DP5" s="34" t="str">
        <f xml:space="preserve"> _xll.EPMOlapMemberO("[PERIODID0].[].[14279]","","19.09.2025","","000")</f>
        <v>19.09.2025</v>
      </c>
      <c r="DQ5" s="34" t="str">
        <f xml:space="preserve"> _xll.EPMOlapMemberO("[PERIODID0].[].[14280]","","20.09.2025","","000")</f>
        <v>20.09.2025</v>
      </c>
      <c r="DR5" s="34" t="str">
        <f xml:space="preserve"> _xll.EPMOlapMemberO("[PERIODID0].[].[14281]","","21.09.2025","","000")</f>
        <v>21.09.2025</v>
      </c>
      <c r="DS5" s="34" t="str">
        <f xml:space="preserve"> _xll.EPMOlapMemberO("[PERIODID0].[].[14282]","","22.09.2025","","000")</f>
        <v>22.09.2025</v>
      </c>
      <c r="DT5" s="34" t="str">
        <f xml:space="preserve"> _xll.EPMOlapMemberO("[PERIODID0].[].[14283]","","23.09.2025","","000")</f>
        <v>23.09.2025</v>
      </c>
      <c r="DU5" s="34" t="str">
        <f xml:space="preserve"> _xll.EPMOlapMemberO("[PERIODID0].[].[14284]","","24.09.2025","","000")</f>
        <v>24.09.2025</v>
      </c>
      <c r="DV5" s="34" t="str">
        <f xml:space="preserve"> _xll.EPMOlapMemberO("[PERIODID0].[].[14285]","","25.09.2025","","000")</f>
        <v>25.09.2025</v>
      </c>
      <c r="DW5" s="34" t="str">
        <f xml:space="preserve"> _xll.EPMOlapMemberO("[PERIODID0].[].[14286]","","26.09.2025","","000")</f>
        <v>26.09.2025</v>
      </c>
      <c r="DX5" s="34" t="str">
        <f xml:space="preserve"> _xll.EPMOlapMemberO("[PERIODID0].[].[14287]","","27.09.2025","","000")</f>
        <v>27.09.2025</v>
      </c>
      <c r="DY5" s="34" t="str">
        <f xml:space="preserve"> _xll.EPMOlapMemberO("[PERIODID0].[].[14288]","","28.09.2025","","000")</f>
        <v>28.09.2025</v>
      </c>
      <c r="DZ5" s="34" t="str">
        <f xml:space="preserve"> _xll.EPMOlapMemberO("[PERIODID0].[].[14289]","","29.09.2025","","000")</f>
        <v>29.09.2025</v>
      </c>
      <c r="EA5" s="34" t="str">
        <f xml:space="preserve"> _xll.EPMOlapMemberO("[PERIODID0].[].[14290]","","30.09.2025","","000")</f>
        <v>30.09.2025</v>
      </c>
      <c r="EB5" s="34" t="str">
        <f xml:space="preserve"> _xll.EPMOlapMemberO("[PERIODID0].[].[14291]","","01.10.2025","","000")</f>
        <v>01.10.2025</v>
      </c>
      <c r="EC5" s="34" t="str">
        <f xml:space="preserve"> _xll.EPMOlapMemberO("[PERIODID0].[].[14292]","","02.10.2025","","000")</f>
        <v>02.10.2025</v>
      </c>
      <c r="ED5" s="34" t="str">
        <f xml:space="preserve"> _xll.EPMOlapMemberO("[PERIODID0].[].[14293]","","03.10.2025","","000")</f>
        <v>03.10.2025</v>
      </c>
      <c r="EE5" s="34" t="str">
        <f xml:space="preserve"> _xll.EPMOlapMemberO("[PERIODID0].[].[14294]","","04.10.2025","","000")</f>
        <v>04.10.2025</v>
      </c>
      <c r="EF5" s="34" t="str">
        <f xml:space="preserve"> _xll.EPMOlapMemberO("[PERIODID0].[].[14295]","","05.10.2025","","000")</f>
        <v>05.10.2025</v>
      </c>
      <c r="EG5" s="34" t="str">
        <f xml:space="preserve"> _xll.EPMOlapMemberO("[PERIODID0].[].[14296]","","06.10.2025","","000")</f>
        <v>06.10.2025</v>
      </c>
      <c r="EH5" s="34" t="str">
        <f xml:space="preserve"> _xll.EPMOlapMemberO("[PERIODID0].[].[14297]","","07.10.2025","","000")</f>
        <v>07.10.2025</v>
      </c>
      <c r="EI5" s="34" t="str">
        <f xml:space="preserve"> _xll.EPMOlapMemberO("[PERIODID0].[].[14298]","","08.10.2025","","000")</f>
        <v>08.10.2025</v>
      </c>
      <c r="EJ5" s="34" t="str">
        <f xml:space="preserve"> _xll.EPMOlapMemberO("[PERIODID0].[].[14299]","","09.10.2025","","000")</f>
        <v>09.10.2025</v>
      </c>
      <c r="EK5" s="34" t="str">
        <f xml:space="preserve"> _xll.EPMOlapMemberO("[PERIODID0].[].[14300]","","10.10.2025","","000")</f>
        <v>10.10.2025</v>
      </c>
      <c r="EL5" s="34" t="str">
        <f xml:space="preserve"> _xll.EPMOlapMemberO("[PERIODID0].[].[14301]","","11.10.2025","","000")</f>
        <v>11.10.2025</v>
      </c>
      <c r="EM5" s="34" t="str">
        <f xml:space="preserve"> _xll.EPMOlapMemberO("[PERIODID0].[].[14302]","","12.10.2025","","000")</f>
        <v>12.10.2025</v>
      </c>
      <c r="EN5" s="34" t="str">
        <f xml:space="preserve"> _xll.EPMOlapMemberO("[PERIODID0].[].[14303]","","13.10.2025","","000")</f>
        <v>13.10.2025</v>
      </c>
      <c r="EO5" s="34" t="str">
        <f xml:space="preserve"> _xll.EPMOlapMemberO("[PERIODID0].[].[14304]","","14.10.2025","","000")</f>
        <v>14.10.2025</v>
      </c>
      <c r="EP5" s="34" t="str">
        <f xml:space="preserve"> _xll.EPMOlapMemberO("[PERIODID0].[].[14305]","","15.10.2025","","000")</f>
        <v>15.10.2025</v>
      </c>
      <c r="EQ5" s="34" t="str">
        <f xml:space="preserve"> _xll.EPMOlapMemberO("[PERIODID0].[].[14306]","","16.10.2025","","000")</f>
        <v>16.10.2025</v>
      </c>
      <c r="ER5" s="34" t="str">
        <f xml:space="preserve"> _xll.EPMOlapMemberO("[PERIODID0].[].[14307]","","17.10.2025","","000")</f>
        <v>17.10.2025</v>
      </c>
      <c r="ES5" s="34" t="str">
        <f xml:space="preserve"> _xll.EPMOlapMemberO("[PERIODID0].[].[14308]","","18.10.2025","","000")</f>
        <v>18.10.2025</v>
      </c>
      <c r="ET5" s="34" t="str">
        <f xml:space="preserve"> _xll.EPMOlapMemberO("[PERIODID0].[].[14309]","","19.10.2025","","000")</f>
        <v>19.10.2025</v>
      </c>
      <c r="EU5" s="34" t="str">
        <f xml:space="preserve"> _xll.EPMOlapMemberO("[PERIODID0].[].[14310]","","20.10.2025","","000")</f>
        <v>20.10.2025</v>
      </c>
      <c r="EV5" s="34" t="str">
        <f xml:space="preserve"> _xll.EPMOlapMemberO("[PERIODID0].[].[14311]","","21.10.2025","","000")</f>
        <v>21.10.2025</v>
      </c>
      <c r="EW5" s="34" t="str">
        <f xml:space="preserve"> _xll.EPMOlapMemberO("[PERIODID0].[].[14312]","","22.10.2025","","000")</f>
        <v>22.10.2025</v>
      </c>
      <c r="EX5" s="34" t="str">
        <f xml:space="preserve"> _xll.EPMOlapMemberO("[PERIODID0].[].[14313]","","23.10.2025","","000")</f>
        <v>23.10.2025</v>
      </c>
      <c r="EY5" s="34" t="str">
        <f xml:space="preserve"> _xll.EPMOlapMemberO("[PERIODID0].[].[14314]","","24.10.2025","","000")</f>
        <v>24.10.2025</v>
      </c>
      <c r="EZ5" s="34" t="str">
        <f xml:space="preserve"> _xll.EPMOlapMemberO("[PERIODID0].[].[14315]","","25.10.2025","","000")</f>
        <v>25.10.2025</v>
      </c>
      <c r="FA5" s="34" t="str">
        <f xml:space="preserve"> _xll.EPMOlapMemberO("[PERIODID0].[].[14316]","","26.10.2025","","000")</f>
        <v>26.10.2025</v>
      </c>
      <c r="FB5" s="34" t="str">
        <f xml:space="preserve"> _xll.EPMOlapMemberO("[PERIODID0].[].[14317]","","27.10.2025","","000")</f>
        <v>27.10.2025</v>
      </c>
      <c r="FC5" s="34" t="str">
        <f xml:space="preserve"> _xll.EPMOlapMemberO("[PERIODID0].[].[14318]","","28.10.2025","","000")</f>
        <v>28.10.2025</v>
      </c>
      <c r="FD5" s="34" t="str">
        <f xml:space="preserve"> _xll.EPMOlapMemberO("[PERIODID0].[].[14319]","","29.10.2025","","000")</f>
        <v>29.10.2025</v>
      </c>
      <c r="FE5" s="34" t="str">
        <f xml:space="preserve"> _xll.EPMOlapMemberO("[PERIODID0].[].[14320]","","30.10.2025","","000")</f>
        <v>30.10.2025</v>
      </c>
      <c r="FF5" s="34" t="str">
        <f xml:space="preserve"> _xll.EPMOlapMemberO("[PERIODID0].[].[14321]","","31.10.2025","","000")</f>
        <v>31.10.2025</v>
      </c>
      <c r="FG5" s="34" t="str">
        <f xml:space="preserve"> _xll.EPMOlapMemberO("[PERIODID0].[].[14322]","","01.11.2025","","000")</f>
        <v>01.11.2025</v>
      </c>
      <c r="FH5" s="34" t="str">
        <f xml:space="preserve"> _xll.EPMOlapMemberO("[PERIODID0].[].[14323]","","02.11.2025","","000")</f>
        <v>02.11.2025</v>
      </c>
      <c r="FI5" s="34" t="str">
        <f xml:space="preserve"> _xll.EPMOlapMemberO("[PERIODID0].[].[14324]","","03.11.2025","","000")</f>
        <v>03.11.2025</v>
      </c>
      <c r="FJ5" s="34" t="str">
        <f xml:space="preserve"> _xll.EPMOlapMemberO("[PERIODID0].[].[14325]","","04.11.2025","","000")</f>
        <v>04.11.2025</v>
      </c>
      <c r="FK5" s="34" t="str">
        <f xml:space="preserve"> _xll.EPMOlapMemberO("[PERIODID0].[].[14326]","","05.11.2025","","000")</f>
        <v>05.11.2025</v>
      </c>
      <c r="FL5" s="34" t="str">
        <f xml:space="preserve"> _xll.EPMOlapMemberO("[PERIODID0].[].[14327]","","06.11.2025","","000")</f>
        <v>06.11.2025</v>
      </c>
      <c r="FM5" s="34" t="str">
        <f xml:space="preserve"> _xll.EPMOlapMemberO("[PERIODID0].[].[14328]","","07.11.2025","","000")</f>
        <v>07.11.2025</v>
      </c>
      <c r="FN5" s="34" t="str">
        <f xml:space="preserve"> _xll.EPMOlapMemberO("[PERIODID0].[].[14329]","","08.11.2025","","000")</f>
        <v>08.11.2025</v>
      </c>
      <c r="FO5" s="34" t="str">
        <f xml:space="preserve"> _xll.EPMOlapMemberO("[PERIODID0].[].[14330]","","09.11.2025","","000")</f>
        <v>09.11.2025</v>
      </c>
      <c r="FP5" s="34" t="str">
        <f xml:space="preserve"> _xll.EPMOlapMemberO("[PERIODID0].[].[14331]","","10.11.2025","","000")</f>
        <v>10.11.2025</v>
      </c>
      <c r="FQ5" s="34" t="str">
        <f xml:space="preserve"> _xll.EPMOlapMemberO("[PERIODID0].[].[14332]","","11.11.2025","","000")</f>
        <v>11.11.2025</v>
      </c>
      <c r="FR5" s="34" t="str">
        <f xml:space="preserve"> _xll.EPMOlapMemberO("[PERIODID0].[].[14333]","","12.11.2025","","000")</f>
        <v>12.11.2025</v>
      </c>
      <c r="FS5" s="34" t="str">
        <f xml:space="preserve"> _xll.EPMOlapMemberO("[PERIODID0].[].[14334]","","13.11.2025","","000")</f>
        <v>13.11.2025</v>
      </c>
      <c r="FT5" s="34" t="str">
        <f xml:space="preserve"> _xll.EPMOlapMemberO("[PERIODID0].[].[14335]","","14.11.2025","","000")</f>
        <v>14.11.2025</v>
      </c>
      <c r="FU5" s="34" t="str">
        <f xml:space="preserve"> _xll.EPMOlapMemberO("[PERIODID0].[].[14336]","","15.11.2025","","000")</f>
        <v>15.11.2025</v>
      </c>
      <c r="FV5" s="34" t="str">
        <f xml:space="preserve"> _xll.EPMOlapMemberO("[PERIODID0].[].[14337]","","16.11.2025","","000")</f>
        <v>16.11.2025</v>
      </c>
      <c r="FW5" s="34" t="str">
        <f xml:space="preserve"> _xll.EPMOlapMemberO("[PERIODID0].[].[14338]","","17.11.2025","","000")</f>
        <v>17.11.2025</v>
      </c>
      <c r="FX5" s="34" t="str">
        <f xml:space="preserve"> _xll.EPMOlapMemberO("[PERIODID0].[].[14339]","","18.11.2025","","000")</f>
        <v>18.11.2025</v>
      </c>
      <c r="FY5" s="34" t="str">
        <f xml:space="preserve"> _xll.EPMOlapMemberO("[PERIODID0].[].[14340]","","19.11.2025","","000")</f>
        <v>19.11.2025</v>
      </c>
      <c r="FZ5" s="34" t="str">
        <f xml:space="preserve"> _xll.EPMOlapMemberO("[PERIODID0].[].[14341]","","20.11.2025","","000")</f>
        <v>20.11.2025</v>
      </c>
      <c r="GA5" s="34" t="str">
        <f xml:space="preserve"> _xll.EPMOlapMemberO("[PERIODID0].[].[14342]","","21.11.2025","","000")</f>
        <v>21.11.2025</v>
      </c>
      <c r="GB5" s="34" t="str">
        <f xml:space="preserve"> _xll.EPMOlapMemberO("[PERIODID0].[].[14343]","","22.11.2025","","000")</f>
        <v>22.11.2025</v>
      </c>
      <c r="GC5" s="34" t="str">
        <f xml:space="preserve"> _xll.EPMOlapMemberO("[PERIODID0].[].[14344]","","23.11.2025","","000")</f>
        <v>23.11.2025</v>
      </c>
      <c r="GD5" s="34" t="str">
        <f xml:space="preserve"> _xll.EPMOlapMemberO("[PERIODID0].[].[14345]","","24.11.2025","","000")</f>
        <v>24.11.2025</v>
      </c>
      <c r="GE5" s="34" t="str">
        <f xml:space="preserve"> _xll.EPMOlapMemberO("[PERIODID0].[].[14346]","","25.11.2025","","000")</f>
        <v>25.11.2025</v>
      </c>
      <c r="GF5" s="34" t="str">
        <f xml:space="preserve"> _xll.EPMOlapMemberO("[PERIODID0].[].[14347]","","26.11.2025","","000")</f>
        <v>26.11.2025</v>
      </c>
      <c r="GG5" s="34" t="str">
        <f xml:space="preserve"> _xll.EPMOlapMemberO("[PERIODID0].[].[14348]","","27.11.2025","","000")</f>
        <v>27.11.2025</v>
      </c>
      <c r="GH5" s="34" t="str">
        <f xml:space="preserve"> _xll.EPMOlapMemberO("[PERIODID0].[].[14349]","","28.11.2025","","000")</f>
        <v>28.11.2025</v>
      </c>
      <c r="GI5" s="34" t="str">
        <f xml:space="preserve"> _xll.EPMOlapMemberO("[PERIODID0].[].[14350]","","29.11.2025","","000")</f>
        <v>29.11.2025</v>
      </c>
      <c r="GJ5" s="34" t="str">
        <f xml:space="preserve"> _xll.EPMOlapMemberO("[PERIODID0].[].[14351]","","30.11.2025","","000")</f>
        <v>30.11.2025</v>
      </c>
      <c r="GK5" s="34" t="str">
        <f xml:space="preserve"> _xll.EPMOlapMemberO("[PERIODID0].[].[14352]","","01.12.2025","","000")</f>
        <v>01.12.2025</v>
      </c>
      <c r="GL5" s="34" t="str">
        <f xml:space="preserve"> _xll.EPMOlapMemberO("[PERIODID0].[].[14353]","","02.12.2025","","000")</f>
        <v>02.12.2025</v>
      </c>
      <c r="GM5" s="34" t="str">
        <f xml:space="preserve"> _xll.EPMOlapMemberO("[PERIODID0].[].[14354]","","03.12.2025","","000")</f>
        <v>03.12.2025</v>
      </c>
      <c r="GN5" s="34" t="str">
        <f xml:space="preserve"> _xll.EPMOlapMemberO("[PERIODID0].[].[14355]","","04.12.2025","","000")</f>
        <v>04.12.2025</v>
      </c>
      <c r="GO5" s="34" t="str">
        <f xml:space="preserve"> _xll.EPMOlapMemberO("[PERIODID0].[].[14356]","","05.12.2025","","000")</f>
        <v>05.12.2025</v>
      </c>
      <c r="GP5" s="34" t="str">
        <f xml:space="preserve"> _xll.EPMOlapMemberO("[PERIODID0].[].[14357]","","06.12.2025","","000")</f>
        <v>06.12.2025</v>
      </c>
      <c r="GQ5" s="34" t="str">
        <f xml:space="preserve"> _xll.EPMOlapMemberO("[PERIODID0].[].[14358]","","07.12.2025","","000")</f>
        <v>07.12.2025</v>
      </c>
      <c r="GR5" s="34" t="str">
        <f xml:space="preserve"> _xll.EPMOlapMemberO("[PERIODID0].[].[14359]","","08.12.2025","","000")</f>
        <v>08.12.2025</v>
      </c>
      <c r="GS5" s="34" t="str">
        <f xml:space="preserve"> _xll.EPMOlapMemberO("[PERIODID0].[].[14360]","","09.12.2025","","000")</f>
        <v>09.12.2025</v>
      </c>
      <c r="GT5" s="34" t="str">
        <f xml:space="preserve"> _xll.EPMOlapMemberO("[PERIODID0].[].[14361]","","10.12.2025","","000")</f>
        <v>10.12.2025</v>
      </c>
      <c r="GU5" s="34" t="str">
        <f xml:space="preserve"> _xll.EPMOlapMemberO("[PERIODID0].[].[14362]","","11.12.2025","","000")</f>
        <v>11.12.2025</v>
      </c>
      <c r="GV5" s="34" t="str">
        <f xml:space="preserve"> _xll.EPMOlapMemberO("[PERIODID0].[].[14363]","","12.12.2025","","000")</f>
        <v>12.12.2025</v>
      </c>
      <c r="GW5" s="34" t="str">
        <f xml:space="preserve"> _xll.EPMOlapMemberO("[PERIODID0].[].[14364]","","13.12.2025","","000")</f>
        <v>13.12.2025</v>
      </c>
      <c r="GX5" s="34" t="str">
        <f xml:space="preserve"> _xll.EPMOlapMemberO("[PERIODID0].[].[14365]","","14.12.2025","","000")</f>
        <v>14.12.2025</v>
      </c>
      <c r="GY5" s="34" t="str">
        <f xml:space="preserve"> _xll.EPMOlapMemberO("[PERIODID0].[].[14366]","","15.12.2025","","000")</f>
        <v>15.12.2025</v>
      </c>
      <c r="GZ5" s="34" t="str">
        <f xml:space="preserve"> _xll.EPMOlapMemberO("[PERIODID0].[].[14367]","","16.12.2025","","000")</f>
        <v>16.12.2025</v>
      </c>
      <c r="HA5" s="34" t="str">
        <f xml:space="preserve"> _xll.EPMOlapMemberO("[PERIODID0].[].[14368]","","17.12.2025","","000")</f>
        <v>17.12.2025</v>
      </c>
      <c r="HB5" s="34" t="str">
        <f xml:space="preserve"> _xll.EPMOlapMemberO("[PERIODID0].[].[14369]","","18.12.2025","","000")</f>
        <v>18.12.2025</v>
      </c>
      <c r="HC5" s="34" t="str">
        <f xml:space="preserve"> _xll.EPMOlapMemberO("[PERIODID0].[].[14370]","","19.12.2025","","000")</f>
        <v>19.12.2025</v>
      </c>
      <c r="HD5" s="34" t="str">
        <f xml:space="preserve"> _xll.EPMOlapMemberO("[PERIODID0].[].[14371]","","20.12.2025","","000")</f>
        <v>20.12.2025</v>
      </c>
      <c r="HE5" s="34" t="str">
        <f xml:space="preserve"> _xll.EPMOlapMemberO("[PERIODID0].[].[14372]","","21.12.2025","","000")</f>
        <v>21.12.2025</v>
      </c>
      <c r="HF5" s="34" t="str">
        <f xml:space="preserve"> _xll.EPMOlapMemberO("[PERIODID0].[].[14373]","","22.12.2025","","000")</f>
        <v>22.12.2025</v>
      </c>
    </row>
    <row r="6" spans="1:214" x14ac:dyDescent="0.25">
      <c r="F6" s="116" t="str">
        <f xml:space="preserve"> _xll.EPMOlapMemberO("[PRDDESCR].[].[HELGAS GFREE MIXED GRAIN 500G]","","HELGAS GFREE MIXED GRAIN 500G","","000")</f>
        <v>HELGAS GFREE MIXED GRAIN 500G</v>
      </c>
      <c r="G6" s="116" t="str">
        <f xml:space="preserve"> _xll.EPMOlapMemberO("[PRDID].[].[168847]","","168847","","000")</f>
        <v>168847</v>
      </c>
      <c r="H6" s="116" t="str">
        <f xml:space="preserve"> _xll.EPMOlapMemberO("[LOCID].[].[6103]","","6103","","000")</f>
        <v>6103</v>
      </c>
      <c r="I6" s="116" t="str">
        <f xml:space="preserve"> _xll.EPMOlapMemberO("[LOCDESCR].[].[QBA-Canberra]","","QBA-Canberra","","000")</f>
        <v>QBA-Canberra</v>
      </c>
      <c r="J6" s="116" t="str">
        <f xml:space="preserve"> _xll.EPMOlapMemberO("[KEY_FIGURES].[].[ZGFAPPROVEDFCSTQTY]","","Approved Forecast","","000")</f>
        <v>Approved Forecast</v>
      </c>
      <c r="K6" s="117">
        <v>211.78795199999999</v>
      </c>
      <c r="L6" s="117">
        <v>154.53675000000001</v>
      </c>
      <c r="M6" s="117">
        <v>119.410854</v>
      </c>
      <c r="N6" s="117">
        <v>147.87445</v>
      </c>
      <c r="O6" s="117">
        <v>99.072306999999995</v>
      </c>
      <c r="P6" s="117">
        <v>198.0608</v>
      </c>
      <c r="Q6" s="117">
        <v>111.755629</v>
      </c>
      <c r="R6" s="117">
        <v>155.07612900000001</v>
      </c>
      <c r="S6" s="117">
        <v>107.75339700000001</v>
      </c>
      <c r="T6" s="117">
        <v>90.443290000000005</v>
      </c>
      <c r="U6" s="117">
        <v>112.799525</v>
      </c>
      <c r="V6" s="117">
        <v>72.215576999999996</v>
      </c>
      <c r="W6" s="117">
        <v>144.020848</v>
      </c>
      <c r="X6" s="117">
        <v>80.148788999999994</v>
      </c>
      <c r="Y6" s="117">
        <v>185.91584499999999</v>
      </c>
      <c r="Z6" s="117">
        <v>126.97094199999999</v>
      </c>
      <c r="AA6" s="117">
        <v>108.896157</v>
      </c>
      <c r="AB6" s="117">
        <v>131.49446</v>
      </c>
      <c r="AC6" s="117">
        <v>89.873154999999997</v>
      </c>
      <c r="AD6" s="117">
        <v>176.637406</v>
      </c>
      <c r="AE6" s="117">
        <v>97.976602</v>
      </c>
      <c r="AF6" s="117">
        <v>188.95173399999999</v>
      </c>
      <c r="AG6" s="117">
        <v>126.220186</v>
      </c>
      <c r="AH6" s="117">
        <v>108.37989</v>
      </c>
      <c r="AI6" s="117">
        <v>134.61250799999999</v>
      </c>
      <c r="AJ6" s="117">
        <v>90.939198000000005</v>
      </c>
      <c r="AK6" s="117">
        <v>178.27815899999999</v>
      </c>
      <c r="AL6" s="117">
        <v>100.974278</v>
      </c>
      <c r="AM6" s="117">
        <v>205.41011</v>
      </c>
      <c r="AN6" s="117">
        <v>134.85073399999999</v>
      </c>
      <c r="AO6" s="117">
        <v>116.381281</v>
      </c>
      <c r="AP6" s="117">
        <v>138.28607700000001</v>
      </c>
      <c r="AQ6" s="117">
        <v>98.142810999999995</v>
      </c>
      <c r="AR6" s="117">
        <v>184.70283800000001</v>
      </c>
      <c r="AS6" s="117">
        <v>105.965025</v>
      </c>
      <c r="AT6" s="117">
        <v>194.25022100000001</v>
      </c>
      <c r="AU6" s="117">
        <v>137.22550000000001</v>
      </c>
      <c r="AV6" s="117">
        <v>115.987612</v>
      </c>
      <c r="AW6" s="117">
        <v>145.62733900000001</v>
      </c>
      <c r="AX6" s="117">
        <v>119.75514699999999</v>
      </c>
      <c r="AY6" s="117">
        <v>190.09483599999999</v>
      </c>
      <c r="AZ6" s="117">
        <v>104.184991</v>
      </c>
      <c r="BA6" s="117">
        <v>197.000666</v>
      </c>
      <c r="BB6" s="117">
        <v>138.885424</v>
      </c>
      <c r="BC6" s="117">
        <v>111.807447</v>
      </c>
      <c r="BD6" s="117">
        <v>138.34603000000001</v>
      </c>
      <c r="BE6" s="117">
        <v>95.625985</v>
      </c>
      <c r="BF6" s="117">
        <v>192.469604</v>
      </c>
      <c r="BG6" s="117">
        <v>106.15586999999999</v>
      </c>
      <c r="BH6" s="117">
        <v>204.935519</v>
      </c>
      <c r="BI6" s="117">
        <v>129.38984099999999</v>
      </c>
      <c r="BJ6" s="117">
        <v>117.64993</v>
      </c>
      <c r="BK6" s="117">
        <v>128.738484</v>
      </c>
      <c r="BL6" s="117">
        <v>89.025730999999993</v>
      </c>
      <c r="BM6" s="117">
        <v>169.24316400000001</v>
      </c>
      <c r="BN6" s="117">
        <v>102.414075</v>
      </c>
      <c r="BO6" s="117">
        <v>189.25247100000001</v>
      </c>
      <c r="BP6" s="117">
        <v>130.07114899999999</v>
      </c>
      <c r="BQ6" s="117">
        <v>108.90954600000001</v>
      </c>
      <c r="BR6" s="117">
        <v>131.205352</v>
      </c>
      <c r="BS6" s="117">
        <v>93.671925000000002</v>
      </c>
      <c r="BT6" s="117">
        <v>174.13154299999999</v>
      </c>
      <c r="BU6" s="117">
        <v>101.315532</v>
      </c>
      <c r="BV6" s="117">
        <v>195.36358799999999</v>
      </c>
      <c r="BW6" s="117">
        <v>132.01385999999999</v>
      </c>
      <c r="BX6" s="117">
        <v>118.516256</v>
      </c>
      <c r="BY6" s="117">
        <v>140.96598900000001</v>
      </c>
      <c r="BZ6" s="117">
        <v>97.925728000000007</v>
      </c>
      <c r="CA6" s="117">
        <v>193.188096</v>
      </c>
      <c r="CB6" s="117">
        <v>108.202613</v>
      </c>
      <c r="CC6" s="117">
        <v>204.04533699999999</v>
      </c>
      <c r="CD6" s="117">
        <v>141.85839100000001</v>
      </c>
      <c r="CE6" s="117">
        <v>116.89095</v>
      </c>
      <c r="CF6" s="117">
        <v>145.46613199999999</v>
      </c>
      <c r="CG6" s="117">
        <v>97.916460000000001</v>
      </c>
      <c r="CH6" s="117">
        <v>196.05535800000001</v>
      </c>
      <c r="CI6" s="117">
        <v>105.767403</v>
      </c>
      <c r="CJ6" s="117">
        <v>202.514343</v>
      </c>
      <c r="CK6" s="117">
        <v>134.300377</v>
      </c>
      <c r="CL6" s="117">
        <v>110.927684</v>
      </c>
      <c r="CM6" s="117">
        <v>158.57213100000001</v>
      </c>
      <c r="CN6" s="117">
        <v>93.406451000000004</v>
      </c>
      <c r="CO6" s="117">
        <v>174.40787900000001</v>
      </c>
      <c r="CP6" s="117">
        <v>97.784025999999997</v>
      </c>
      <c r="CQ6" s="117">
        <v>202.62376</v>
      </c>
      <c r="CR6" s="117">
        <v>132.23521600000001</v>
      </c>
      <c r="CS6" s="117">
        <v>111.70592000000001</v>
      </c>
      <c r="CT6" s="117">
        <v>138.85126299999999</v>
      </c>
      <c r="CU6" s="117">
        <v>101.320904</v>
      </c>
      <c r="CV6" s="117">
        <v>190.99043800000001</v>
      </c>
      <c r="CW6" s="117">
        <v>112.491404</v>
      </c>
      <c r="CX6" s="117">
        <v>182.05039199999999</v>
      </c>
      <c r="CY6" s="117">
        <v>138.93491700000001</v>
      </c>
      <c r="CZ6" s="117">
        <v>104.97542199999999</v>
      </c>
      <c r="DA6" s="117">
        <v>127.267482</v>
      </c>
      <c r="DB6" s="117">
        <v>89.249381</v>
      </c>
      <c r="DC6" s="117">
        <v>185.92125100000001</v>
      </c>
      <c r="DD6" s="117">
        <v>93.250315999999998</v>
      </c>
      <c r="DE6" s="117">
        <v>189.03980799999999</v>
      </c>
      <c r="DF6" s="117">
        <v>127.258928</v>
      </c>
      <c r="DG6" s="117">
        <v>109.529526</v>
      </c>
      <c r="DH6" s="117">
        <v>138.37008499999999</v>
      </c>
      <c r="DI6" s="117">
        <v>92.268394999999998</v>
      </c>
      <c r="DJ6" s="117">
        <v>187.66717299999999</v>
      </c>
      <c r="DK6" s="117">
        <v>101.28046500000001</v>
      </c>
      <c r="DL6" s="117">
        <v>200.52494300000001</v>
      </c>
      <c r="DM6" s="117">
        <v>140.88400799999999</v>
      </c>
      <c r="DN6" s="117">
        <v>113.47710499999999</v>
      </c>
      <c r="DO6" s="117">
        <v>143.295772</v>
      </c>
      <c r="DP6" s="117">
        <v>99.979271999999995</v>
      </c>
      <c r="DQ6" s="117">
        <v>194.95050800000001</v>
      </c>
      <c r="DR6" s="117">
        <v>103.722814</v>
      </c>
      <c r="DS6" s="117">
        <v>204.115565</v>
      </c>
      <c r="DT6" s="117">
        <v>137.21275</v>
      </c>
      <c r="DU6" s="117">
        <v>112.96036700000001</v>
      </c>
      <c r="DV6" s="117">
        <v>135.58746300000001</v>
      </c>
      <c r="DW6" s="117">
        <v>98.770274999999998</v>
      </c>
      <c r="DX6" s="117">
        <v>182.01658699999999</v>
      </c>
      <c r="DY6" s="117">
        <v>104.835725</v>
      </c>
      <c r="DZ6" s="117">
        <v>196.978565</v>
      </c>
      <c r="EA6" s="117">
        <v>136.78749500000001</v>
      </c>
      <c r="EB6" s="117">
        <v>139.82809399999999</v>
      </c>
      <c r="EC6" s="117">
        <v>139.058514</v>
      </c>
      <c r="ED6" s="117">
        <v>96.364816000000005</v>
      </c>
      <c r="EE6" s="117">
        <v>186.283839</v>
      </c>
      <c r="EF6" s="117">
        <v>107.106611</v>
      </c>
      <c r="EG6" s="117">
        <v>193.07686200000001</v>
      </c>
      <c r="EH6" s="117">
        <v>131.137416</v>
      </c>
      <c r="EI6" s="117">
        <v>113.65929800000001</v>
      </c>
      <c r="EJ6" s="117">
        <v>142.92860899999999</v>
      </c>
      <c r="EK6" s="117">
        <v>99.979296000000005</v>
      </c>
      <c r="EL6" s="117">
        <v>202.90484900000001</v>
      </c>
      <c r="EM6" s="117">
        <v>101.232325</v>
      </c>
      <c r="EN6" s="117">
        <v>220.82859999999999</v>
      </c>
      <c r="EO6" s="117">
        <v>134.41632000000001</v>
      </c>
      <c r="EP6" s="117">
        <v>116.606931</v>
      </c>
      <c r="EQ6" s="117">
        <v>144.38358600000001</v>
      </c>
      <c r="ER6" s="117">
        <v>107.850774</v>
      </c>
      <c r="ES6" s="117">
        <v>190.58575300000001</v>
      </c>
      <c r="ET6" s="117">
        <v>107.530721</v>
      </c>
      <c r="EU6" s="117">
        <v>208.43640500000001</v>
      </c>
      <c r="EV6" s="117">
        <v>140.93921499999999</v>
      </c>
      <c r="EW6" s="117">
        <v>121.36998</v>
      </c>
      <c r="EX6" s="117">
        <v>146.50099700000001</v>
      </c>
      <c r="EY6" s="117">
        <v>105.31441100000001</v>
      </c>
      <c r="EZ6" s="117">
        <v>198.46849900000001</v>
      </c>
      <c r="FA6" s="117">
        <v>109.65389</v>
      </c>
      <c r="FB6" s="117">
        <v>203.66802999999999</v>
      </c>
      <c r="FC6" s="117">
        <v>134.10592700000001</v>
      </c>
      <c r="FD6" s="117">
        <v>112.14961700000001</v>
      </c>
      <c r="FE6" s="117">
        <v>138.67970500000001</v>
      </c>
      <c r="FF6" s="117">
        <v>98.004247000000007</v>
      </c>
      <c r="FG6" s="117">
        <v>178.82985300000001</v>
      </c>
      <c r="FH6" s="117">
        <v>100.753398</v>
      </c>
      <c r="FI6" s="117">
        <v>194.95374899999999</v>
      </c>
      <c r="FJ6" s="117">
        <v>134.034502</v>
      </c>
      <c r="FK6" s="117">
        <v>112.730656</v>
      </c>
      <c r="FL6" s="117">
        <v>140.87418</v>
      </c>
      <c r="FM6" s="117">
        <v>96.532208999999995</v>
      </c>
      <c r="FN6" s="117">
        <v>191.952111</v>
      </c>
      <c r="FO6" s="117">
        <v>102.504949</v>
      </c>
      <c r="FP6" s="117">
        <v>197.991007</v>
      </c>
      <c r="FQ6" s="117">
        <v>161.98145</v>
      </c>
      <c r="FR6" s="117">
        <v>113.465028</v>
      </c>
      <c r="FS6" s="117">
        <v>135.53028900000001</v>
      </c>
      <c r="FT6" s="117">
        <v>96.844401000000005</v>
      </c>
      <c r="FU6" s="117">
        <v>191.62714199999999</v>
      </c>
      <c r="FV6" s="117">
        <v>101.202716</v>
      </c>
      <c r="FW6" s="117">
        <v>192.510805</v>
      </c>
      <c r="FX6" s="117">
        <v>134.126565</v>
      </c>
      <c r="FY6" s="117">
        <v>118.590701</v>
      </c>
      <c r="FZ6" s="117">
        <v>141.914579</v>
      </c>
      <c r="GA6" s="117">
        <v>106.77594000000001</v>
      </c>
      <c r="GB6" s="117">
        <v>183.923879</v>
      </c>
      <c r="GC6" s="117">
        <v>117.378991</v>
      </c>
      <c r="GD6" s="117">
        <v>194.565009</v>
      </c>
      <c r="GE6" s="117">
        <v>131.82265699999999</v>
      </c>
      <c r="GF6" s="117">
        <v>116.39826600000001</v>
      </c>
      <c r="GG6" s="117">
        <v>155.31662900000001</v>
      </c>
      <c r="GH6" s="117">
        <v>97.815061999999998</v>
      </c>
      <c r="GI6" s="117">
        <v>192.14286300000001</v>
      </c>
      <c r="GJ6" s="117">
        <v>106.25161300000001</v>
      </c>
      <c r="GK6" s="117">
        <v>196.83957599999999</v>
      </c>
      <c r="GL6" s="117">
        <v>137.48889500000001</v>
      </c>
      <c r="GM6" s="117">
        <v>111.846907</v>
      </c>
      <c r="GN6" s="117">
        <v>144.389499</v>
      </c>
      <c r="GO6" s="117">
        <v>95.800227000000007</v>
      </c>
      <c r="GP6" s="117">
        <v>184.125429</v>
      </c>
      <c r="GQ6" s="117">
        <v>105.683824</v>
      </c>
      <c r="GR6" s="117">
        <v>196.76736500000001</v>
      </c>
      <c r="GS6" s="117">
        <v>137.89731900000001</v>
      </c>
      <c r="GT6" s="117">
        <v>115.78688200000001</v>
      </c>
      <c r="GU6" s="117">
        <v>141.24018599999999</v>
      </c>
      <c r="GV6" s="117">
        <v>95.500816999999998</v>
      </c>
      <c r="GW6" s="117">
        <v>184.83538100000001</v>
      </c>
      <c r="GX6" s="117">
        <v>100.62378200000001</v>
      </c>
      <c r="GY6" s="117">
        <v>198.56696500000001</v>
      </c>
      <c r="GZ6" s="117">
        <v>133.92516000000001</v>
      </c>
      <c r="HA6" s="117">
        <v>117.479472</v>
      </c>
      <c r="HB6" s="117">
        <v>138.63703599999999</v>
      </c>
      <c r="HC6" s="117">
        <v>101.14641399999999</v>
      </c>
      <c r="HD6" s="117">
        <v>185.55414400000001</v>
      </c>
      <c r="HE6" s="117">
        <v>105.420849</v>
      </c>
      <c r="HF6" s="117">
        <v>230.151419</v>
      </c>
    </row>
    <row r="7" spans="1:214" x14ac:dyDescent="0.25">
      <c r="F7" s="116" t="str">
        <f xml:space="preserve"> _xll.EPMOlapMemberO("[PRDDESCR].[].[HELGAS GFREE MIXED GRAIN 500G]","","HELGAS GFREE MIXED GRAIN 500G","","000")</f>
        <v>HELGAS GFREE MIXED GRAIN 500G</v>
      </c>
      <c r="G7" s="116" t="str">
        <f xml:space="preserve"> _xll.EPMOlapMemberO("[PRDID].[].[168847]","","168847","","000")</f>
        <v>168847</v>
      </c>
      <c r="H7" s="116" t="str">
        <f xml:space="preserve"> _xll.EPMOlapMemberO("[LOCID].[].[6104]","","6104","","000")</f>
        <v>6104</v>
      </c>
      <c r="I7" s="116" t="str">
        <f xml:space="preserve"> _xll.EPMOlapMemberO("[LOCDESCR].[].[QBA-Moorebank]","","QBA-Moorebank","","000")</f>
        <v>QBA-Moorebank</v>
      </c>
      <c r="J7" s="116" t="str">
        <f xml:space="preserve"> _xll.EPMOlapMemberO("[KEY_FIGURES].[].[ZGFAPPROVEDFCSTQTY]","","Approved Forecast","","000")</f>
        <v>Approved Forecast</v>
      </c>
      <c r="K7" s="117">
        <v>979.06107499999996</v>
      </c>
      <c r="L7" s="117">
        <v>437.03435300000001</v>
      </c>
      <c r="M7" s="117">
        <v>510.51014700000002</v>
      </c>
      <c r="N7" s="117">
        <v>403.78644000000003</v>
      </c>
      <c r="O7" s="117">
        <v>446.678898</v>
      </c>
      <c r="P7" s="117">
        <v>389.20876700000002</v>
      </c>
      <c r="Q7" s="117">
        <v>290.72474099999999</v>
      </c>
      <c r="R7" s="117">
        <v>701.96304499999997</v>
      </c>
      <c r="S7" s="117">
        <v>321.85647999999998</v>
      </c>
      <c r="T7" s="117">
        <v>388.28515599999997</v>
      </c>
      <c r="U7" s="117">
        <v>318.44884500000001</v>
      </c>
      <c r="V7" s="117">
        <v>346.73203599999999</v>
      </c>
      <c r="W7" s="117">
        <v>302.63278400000002</v>
      </c>
      <c r="X7" s="117">
        <v>215.25805299999999</v>
      </c>
      <c r="Y7" s="117">
        <v>938.61563100000001</v>
      </c>
      <c r="Z7" s="117">
        <v>407.852214</v>
      </c>
      <c r="AA7" s="117">
        <v>499.758262</v>
      </c>
      <c r="AB7" s="117">
        <v>399.661427</v>
      </c>
      <c r="AC7" s="117">
        <v>431.74999800000001</v>
      </c>
      <c r="AD7" s="117">
        <v>382.32196599999997</v>
      </c>
      <c r="AE7" s="117">
        <v>281.020218</v>
      </c>
      <c r="AF7" s="117">
        <v>916.16652099999999</v>
      </c>
      <c r="AG7" s="117">
        <v>378.89073100000002</v>
      </c>
      <c r="AH7" s="117">
        <v>511.161855</v>
      </c>
      <c r="AI7" s="117">
        <v>416.39980300000002</v>
      </c>
      <c r="AJ7" s="117">
        <v>426.84815200000003</v>
      </c>
      <c r="AK7" s="117">
        <v>388.04575</v>
      </c>
      <c r="AL7" s="117">
        <v>281.30382100000003</v>
      </c>
      <c r="AM7" s="117">
        <v>941.46205399999997</v>
      </c>
      <c r="AN7" s="117">
        <v>413.24723699999998</v>
      </c>
      <c r="AO7" s="117">
        <v>520.76275399999997</v>
      </c>
      <c r="AP7" s="117">
        <v>425.60738400000002</v>
      </c>
      <c r="AQ7" s="117">
        <v>436.36432200000002</v>
      </c>
      <c r="AR7" s="117">
        <v>396.03916299999997</v>
      </c>
      <c r="AS7" s="117">
        <v>287.51181400000002</v>
      </c>
      <c r="AT7" s="117">
        <v>934.41147999999998</v>
      </c>
      <c r="AU7" s="117">
        <v>406.13007800000003</v>
      </c>
      <c r="AV7" s="117">
        <v>520.60058700000002</v>
      </c>
      <c r="AW7" s="117">
        <v>429.06388600000002</v>
      </c>
      <c r="AX7" s="117">
        <v>438.16635300000002</v>
      </c>
      <c r="AY7" s="117">
        <v>403.13756599999999</v>
      </c>
      <c r="AZ7" s="117">
        <v>291.29471699999999</v>
      </c>
      <c r="BA7" s="117">
        <v>961.45821599999999</v>
      </c>
      <c r="BB7" s="117">
        <v>427.76721800000001</v>
      </c>
      <c r="BC7" s="117">
        <v>532.63886000000002</v>
      </c>
      <c r="BD7" s="117">
        <v>439.71678900000001</v>
      </c>
      <c r="BE7" s="117">
        <v>449.46322400000003</v>
      </c>
      <c r="BF7" s="117">
        <v>412.73208</v>
      </c>
      <c r="BG7" s="117">
        <v>299.52695</v>
      </c>
      <c r="BH7" s="117">
        <v>984.85368900000003</v>
      </c>
      <c r="BI7" s="117">
        <v>432.96547800000002</v>
      </c>
      <c r="BJ7" s="117">
        <v>530.61876099999995</v>
      </c>
      <c r="BK7" s="117">
        <v>433.46654000000001</v>
      </c>
      <c r="BL7" s="117">
        <v>444.61279500000001</v>
      </c>
      <c r="BM7" s="117">
        <v>403.41749499999997</v>
      </c>
      <c r="BN7" s="117">
        <v>293.36139300000002</v>
      </c>
      <c r="BO7" s="117">
        <v>881.60933999999997</v>
      </c>
      <c r="BP7" s="117">
        <v>404.89225499999998</v>
      </c>
      <c r="BQ7" s="117">
        <v>509.648909</v>
      </c>
      <c r="BR7" s="117">
        <v>420.68259799999998</v>
      </c>
      <c r="BS7" s="117">
        <v>430.22281500000003</v>
      </c>
      <c r="BT7" s="117">
        <v>389.74642799999998</v>
      </c>
      <c r="BU7" s="117">
        <v>282.26905599999998</v>
      </c>
      <c r="BV7" s="117">
        <v>851.04872499999999</v>
      </c>
      <c r="BW7" s="117">
        <v>396.929259</v>
      </c>
      <c r="BX7" s="117">
        <v>511.63011299999999</v>
      </c>
      <c r="BY7" s="117">
        <v>424.63305300000002</v>
      </c>
      <c r="BZ7" s="117">
        <v>433.96494300000001</v>
      </c>
      <c r="CA7" s="117">
        <v>397.70038399999999</v>
      </c>
      <c r="CB7" s="117">
        <v>289.61051099999997</v>
      </c>
      <c r="CC7" s="117">
        <v>902.39686600000005</v>
      </c>
      <c r="CD7" s="117">
        <v>416.42141299999997</v>
      </c>
      <c r="CE7" s="117">
        <v>520.16447400000004</v>
      </c>
      <c r="CF7" s="117">
        <v>430.62833799999999</v>
      </c>
      <c r="CG7" s="117">
        <v>440.50042000000002</v>
      </c>
      <c r="CH7" s="117">
        <v>403.68375700000001</v>
      </c>
      <c r="CI7" s="117">
        <v>294.45436799999999</v>
      </c>
      <c r="CJ7" s="117">
        <v>985.43968099999995</v>
      </c>
      <c r="CK7" s="117">
        <v>414.66688099999999</v>
      </c>
      <c r="CL7" s="117">
        <v>506.882115</v>
      </c>
      <c r="CM7" s="117">
        <v>410.90918799999997</v>
      </c>
      <c r="CN7" s="117">
        <v>421.77416599999998</v>
      </c>
      <c r="CO7" s="117">
        <v>383.789782</v>
      </c>
      <c r="CP7" s="117">
        <v>278.487437</v>
      </c>
      <c r="CQ7" s="117">
        <v>887.190067</v>
      </c>
      <c r="CR7" s="117">
        <v>396.99038899999999</v>
      </c>
      <c r="CS7" s="117">
        <v>500.566463</v>
      </c>
      <c r="CT7" s="117">
        <v>410.28382800000003</v>
      </c>
      <c r="CU7" s="117">
        <v>420.416676</v>
      </c>
      <c r="CV7" s="117">
        <v>381.36670500000002</v>
      </c>
      <c r="CW7" s="117">
        <v>277.03628099999997</v>
      </c>
      <c r="CX7" s="117">
        <v>930.95362799999998</v>
      </c>
      <c r="CY7" s="117">
        <v>401.239103</v>
      </c>
      <c r="CZ7" s="117">
        <v>505.87625000000003</v>
      </c>
      <c r="DA7" s="117">
        <v>412.11215600000003</v>
      </c>
      <c r="DB7" s="117">
        <v>421.925927</v>
      </c>
      <c r="DC7" s="117">
        <v>384.03747299999998</v>
      </c>
      <c r="DD7" s="117">
        <v>278.15673700000002</v>
      </c>
      <c r="DE7" s="117">
        <v>960.17182000000003</v>
      </c>
      <c r="DF7" s="117">
        <v>418.21145200000001</v>
      </c>
      <c r="DG7" s="117">
        <v>538.40106100000003</v>
      </c>
      <c r="DH7" s="117">
        <v>440.98544299999998</v>
      </c>
      <c r="DI7" s="117">
        <v>451.23823099999998</v>
      </c>
      <c r="DJ7" s="117">
        <v>415.37635</v>
      </c>
      <c r="DK7" s="117">
        <v>302.46389399999998</v>
      </c>
      <c r="DL7" s="117">
        <v>995.77767500000004</v>
      </c>
      <c r="DM7" s="117">
        <v>432.524202</v>
      </c>
      <c r="DN7" s="117">
        <v>540.48692400000004</v>
      </c>
      <c r="DO7" s="117">
        <v>442.55172099999999</v>
      </c>
      <c r="DP7" s="117">
        <v>452.90663999999998</v>
      </c>
      <c r="DQ7" s="117">
        <v>416.89520900000002</v>
      </c>
      <c r="DR7" s="117">
        <v>303.63678700000003</v>
      </c>
      <c r="DS7" s="117">
        <v>945.41102999999998</v>
      </c>
      <c r="DT7" s="117">
        <v>428.42555299999998</v>
      </c>
      <c r="DU7" s="117">
        <v>527.22400700000003</v>
      </c>
      <c r="DV7" s="117">
        <v>431.68569200000002</v>
      </c>
      <c r="DW7" s="117">
        <v>442.44062500000001</v>
      </c>
      <c r="DX7" s="117">
        <v>401.38491599999998</v>
      </c>
      <c r="DY7" s="117">
        <v>292.91339299999999</v>
      </c>
      <c r="DZ7" s="117">
        <v>874.44605000000001</v>
      </c>
      <c r="EA7" s="117">
        <v>406.78367200000002</v>
      </c>
      <c r="EB7" s="117">
        <v>515.96245799999997</v>
      </c>
      <c r="EC7" s="117">
        <v>422.94795900000003</v>
      </c>
      <c r="ED7" s="117">
        <v>434.15837499999998</v>
      </c>
      <c r="EE7" s="117">
        <v>393.16270700000001</v>
      </c>
      <c r="EF7" s="117">
        <v>288.25644199999999</v>
      </c>
      <c r="EG7" s="117">
        <v>867.71261200000004</v>
      </c>
      <c r="EH7" s="117">
        <v>403.430025</v>
      </c>
      <c r="EI7" s="117">
        <v>511.26547699999998</v>
      </c>
      <c r="EJ7" s="117">
        <v>419.52474999999998</v>
      </c>
      <c r="EK7" s="117">
        <v>430.35305</v>
      </c>
      <c r="EL7" s="117">
        <v>389.800613</v>
      </c>
      <c r="EM7" s="117">
        <v>285.31267100000002</v>
      </c>
      <c r="EN7" s="117">
        <v>898.74588600000004</v>
      </c>
      <c r="EO7" s="117">
        <v>395.02496500000001</v>
      </c>
      <c r="EP7" s="117">
        <v>506.56311399999998</v>
      </c>
      <c r="EQ7" s="117">
        <v>416.47506299999998</v>
      </c>
      <c r="ER7" s="117">
        <v>425.737548</v>
      </c>
      <c r="ES7" s="117">
        <v>391.76000699999997</v>
      </c>
      <c r="ET7" s="117">
        <v>284.48806100000002</v>
      </c>
      <c r="EU7" s="117">
        <v>911.15173800000002</v>
      </c>
      <c r="EV7" s="117">
        <v>412.49612999999999</v>
      </c>
      <c r="EW7" s="117">
        <v>515.41088200000002</v>
      </c>
      <c r="EX7" s="117">
        <v>425.18629299999998</v>
      </c>
      <c r="EY7" s="117">
        <v>434.85791599999999</v>
      </c>
      <c r="EZ7" s="117">
        <v>399.27788299999997</v>
      </c>
      <c r="FA7" s="117">
        <v>291.05562099999997</v>
      </c>
      <c r="FB7" s="117">
        <v>891.28196200000002</v>
      </c>
      <c r="FC7" s="117">
        <v>410.89879200000001</v>
      </c>
      <c r="FD7" s="117">
        <v>506.61715800000002</v>
      </c>
      <c r="FE7" s="117">
        <v>416.16432900000001</v>
      </c>
      <c r="FF7" s="117">
        <v>426.46751999999998</v>
      </c>
      <c r="FG7" s="117">
        <v>386.475325</v>
      </c>
      <c r="FH7" s="117">
        <v>282.12283600000001</v>
      </c>
      <c r="FI7" s="117">
        <v>994.22787000000005</v>
      </c>
      <c r="FJ7" s="117">
        <v>422.77306099999998</v>
      </c>
      <c r="FK7" s="117">
        <v>536.21855800000003</v>
      </c>
      <c r="FL7" s="117">
        <v>432.28383100000002</v>
      </c>
      <c r="FM7" s="117">
        <v>445.00083000000001</v>
      </c>
      <c r="FN7" s="117">
        <v>404.76207599999998</v>
      </c>
      <c r="FO7" s="117">
        <v>296.67807399999998</v>
      </c>
      <c r="FP7" s="117">
        <v>933.526298</v>
      </c>
      <c r="FQ7" s="117">
        <v>412.79938900000002</v>
      </c>
      <c r="FR7" s="117">
        <v>523.13794800000005</v>
      </c>
      <c r="FS7" s="117">
        <v>425.38720599999999</v>
      </c>
      <c r="FT7" s="117">
        <v>437.00930499999998</v>
      </c>
      <c r="FU7" s="117">
        <v>396.79994099999999</v>
      </c>
      <c r="FV7" s="117">
        <v>290.36979300000002</v>
      </c>
      <c r="FW7" s="117">
        <v>896.15243899999996</v>
      </c>
      <c r="FX7" s="117">
        <v>408.67228299999999</v>
      </c>
      <c r="FY7" s="117">
        <v>517.87701000000004</v>
      </c>
      <c r="FZ7" s="117">
        <v>423.56412899999998</v>
      </c>
      <c r="GA7" s="117">
        <v>434.64396399999998</v>
      </c>
      <c r="GB7" s="117">
        <v>394.09450399999997</v>
      </c>
      <c r="GC7" s="117">
        <v>288.33225599999997</v>
      </c>
      <c r="GD7" s="117">
        <v>895.46435699999995</v>
      </c>
      <c r="GE7" s="117">
        <v>391.79081000000002</v>
      </c>
      <c r="GF7" s="117">
        <v>505.691644</v>
      </c>
      <c r="GG7" s="117">
        <v>416.23492399999998</v>
      </c>
      <c r="GH7" s="117">
        <v>424.85375399999998</v>
      </c>
      <c r="GI7" s="117">
        <v>391.45782200000002</v>
      </c>
      <c r="GJ7" s="117">
        <v>283.51160099999998</v>
      </c>
      <c r="GK7" s="117">
        <v>928.58706099999995</v>
      </c>
      <c r="GL7" s="117">
        <v>425.99372299999999</v>
      </c>
      <c r="GM7" s="117">
        <v>523.09758499999998</v>
      </c>
      <c r="GN7" s="117">
        <v>432.32590099999999</v>
      </c>
      <c r="GO7" s="117">
        <v>441.77866599999999</v>
      </c>
      <c r="GP7" s="117">
        <v>405.69732299999998</v>
      </c>
      <c r="GQ7" s="117">
        <v>295.589043</v>
      </c>
      <c r="GR7" s="117">
        <v>901.70927300000005</v>
      </c>
      <c r="GS7" s="117">
        <v>408.22390300000001</v>
      </c>
      <c r="GT7" s="117">
        <v>507.472891</v>
      </c>
      <c r="GU7" s="117">
        <v>416.79874799999999</v>
      </c>
      <c r="GV7" s="117">
        <v>426.09091599999999</v>
      </c>
      <c r="GW7" s="117">
        <v>387.01472200000001</v>
      </c>
      <c r="GX7" s="117">
        <v>281.07253900000001</v>
      </c>
      <c r="GY7" s="117">
        <v>927.21134700000005</v>
      </c>
      <c r="GZ7" s="117">
        <v>431.83560299999999</v>
      </c>
      <c r="HA7" s="117">
        <v>549.16641500000003</v>
      </c>
      <c r="HB7" s="117">
        <v>449.243201</v>
      </c>
      <c r="HC7" s="117">
        <v>461.08064400000001</v>
      </c>
      <c r="HD7" s="117">
        <v>417.87899299999998</v>
      </c>
      <c r="HE7" s="117">
        <v>307.03042599999998</v>
      </c>
      <c r="HF7" s="117">
        <v>912.40939900000001</v>
      </c>
    </row>
    <row r="8" spans="1:214" x14ac:dyDescent="0.25">
      <c r="F8" s="116" t="str">
        <f xml:space="preserve"> _xll.EPMOlapMemberO("[PRDDESCR].[].[HELGAS GFREE MIXED GRAIN 500G]","","HELGAS GFREE MIXED GRAIN 500G","","000")</f>
        <v>HELGAS GFREE MIXED GRAIN 500G</v>
      </c>
      <c r="G8" s="116" t="str">
        <f xml:space="preserve"> _xll.EPMOlapMemberO("[PRDID].[].[168847]","","168847","","000")</f>
        <v>168847</v>
      </c>
      <c r="H8" s="116" t="str">
        <f xml:space="preserve"> _xll.EPMOlapMemberO("[LOCID].[].[6105]","","6105","","000")</f>
        <v>6105</v>
      </c>
      <c r="I8" s="116" t="str">
        <f xml:space="preserve"> _xll.EPMOlapMemberO("[LOCDESCR].[].[QBA-Rydalmere]","","QBA-Rydalmere","","000")</f>
        <v>QBA-Rydalmere</v>
      </c>
      <c r="J8" s="116" t="str">
        <f xml:space="preserve"> _xll.EPMOlapMemberO("[KEY_FIGURES].[].[ZGFAPPROVEDFCSTQTY]","","Approved Forecast","","000")</f>
        <v>Approved Forecast</v>
      </c>
      <c r="K8" s="117">
        <v>462.17713199999997</v>
      </c>
      <c r="L8" s="117">
        <v>475.16448100000002</v>
      </c>
      <c r="M8" s="117">
        <v>234.859792</v>
      </c>
      <c r="N8" s="117">
        <v>324.91764899999998</v>
      </c>
      <c r="O8" s="117">
        <v>246.57537600000001</v>
      </c>
      <c r="P8" s="117">
        <v>416.61809699999998</v>
      </c>
      <c r="Q8" s="117">
        <v>210.602126</v>
      </c>
      <c r="R8" s="117">
        <v>426.05405300000001</v>
      </c>
      <c r="S8" s="117">
        <v>415.49275899999998</v>
      </c>
      <c r="T8" s="117">
        <v>243.358307</v>
      </c>
      <c r="U8" s="117">
        <v>335.54303800000002</v>
      </c>
      <c r="V8" s="117">
        <v>248.41145800000001</v>
      </c>
      <c r="W8" s="117">
        <v>392.163903</v>
      </c>
      <c r="X8" s="117">
        <v>224.669612</v>
      </c>
      <c r="Y8" s="117">
        <v>444.97644700000001</v>
      </c>
      <c r="Z8" s="117">
        <v>443.658027</v>
      </c>
      <c r="AA8" s="117">
        <v>250.944423</v>
      </c>
      <c r="AB8" s="117">
        <v>347.80231400000002</v>
      </c>
      <c r="AC8" s="117">
        <v>262.98567200000002</v>
      </c>
      <c r="AD8" s="117">
        <v>426.46871499999997</v>
      </c>
      <c r="AE8" s="117">
        <v>224.546064</v>
      </c>
      <c r="AF8" s="117">
        <v>429.60278</v>
      </c>
      <c r="AG8" s="117">
        <v>426.78704399999998</v>
      </c>
      <c r="AH8" s="117">
        <v>280.80107500000003</v>
      </c>
      <c r="AI8" s="117">
        <v>367.17144200000001</v>
      </c>
      <c r="AJ8" s="117">
        <v>280.03347300000001</v>
      </c>
      <c r="AK8" s="117">
        <v>447.69931000000003</v>
      </c>
      <c r="AL8" s="117">
        <v>238.40332000000001</v>
      </c>
      <c r="AM8" s="117">
        <v>443.91916400000002</v>
      </c>
      <c r="AN8" s="117">
        <v>436.33690000000001</v>
      </c>
      <c r="AO8" s="117">
        <v>265.66385200000002</v>
      </c>
      <c r="AP8" s="117">
        <v>347.03782699999999</v>
      </c>
      <c r="AQ8" s="117">
        <v>267.54485799999998</v>
      </c>
      <c r="AR8" s="117">
        <v>434.81375300000002</v>
      </c>
      <c r="AS8" s="117">
        <v>223.30892499999999</v>
      </c>
      <c r="AT8" s="117">
        <v>449.39788600000003</v>
      </c>
      <c r="AU8" s="117">
        <v>432.61566499999998</v>
      </c>
      <c r="AV8" s="117">
        <v>280.35743300000001</v>
      </c>
      <c r="AW8" s="117">
        <v>366.21937400000002</v>
      </c>
      <c r="AX8" s="117">
        <v>276.52285000000001</v>
      </c>
      <c r="AY8" s="117">
        <v>438.01604900000001</v>
      </c>
      <c r="AZ8" s="117">
        <v>238.72802799999999</v>
      </c>
      <c r="BA8" s="117">
        <v>450.37731500000001</v>
      </c>
      <c r="BB8" s="117">
        <v>446.95735300000001</v>
      </c>
      <c r="BC8" s="117">
        <v>271.49026700000002</v>
      </c>
      <c r="BD8" s="117">
        <v>354.76833599999998</v>
      </c>
      <c r="BE8" s="117">
        <v>270.88219600000002</v>
      </c>
      <c r="BF8" s="117">
        <v>438.61559</v>
      </c>
      <c r="BG8" s="117">
        <v>228.32058900000001</v>
      </c>
      <c r="BH8" s="117">
        <v>482.55627299999998</v>
      </c>
      <c r="BI8" s="117">
        <v>468.21004599999998</v>
      </c>
      <c r="BJ8" s="117">
        <v>281.05565999999999</v>
      </c>
      <c r="BK8" s="117">
        <v>367.360612</v>
      </c>
      <c r="BL8" s="117">
        <v>279.55863900000003</v>
      </c>
      <c r="BM8" s="117">
        <v>443.02667700000001</v>
      </c>
      <c r="BN8" s="117">
        <v>239.86725899999999</v>
      </c>
      <c r="BO8" s="117">
        <v>435.33076999999997</v>
      </c>
      <c r="BP8" s="117">
        <v>412.1549</v>
      </c>
      <c r="BQ8" s="117">
        <v>262.35074500000002</v>
      </c>
      <c r="BR8" s="117">
        <v>340.050588</v>
      </c>
      <c r="BS8" s="117">
        <v>256.508397</v>
      </c>
      <c r="BT8" s="117">
        <v>400.56166200000001</v>
      </c>
      <c r="BU8" s="117">
        <v>224.13576900000001</v>
      </c>
      <c r="BV8" s="117">
        <v>406.97986300000002</v>
      </c>
      <c r="BW8" s="117">
        <v>390.70266500000002</v>
      </c>
      <c r="BX8" s="117">
        <v>254.28138200000001</v>
      </c>
      <c r="BY8" s="117">
        <v>331.997028</v>
      </c>
      <c r="BZ8" s="117">
        <v>250.36736200000001</v>
      </c>
      <c r="CA8" s="117">
        <v>393.361334</v>
      </c>
      <c r="CB8" s="117">
        <v>217.55815999999999</v>
      </c>
      <c r="CC8" s="117">
        <v>437.56229400000001</v>
      </c>
      <c r="CD8" s="117">
        <v>416.62448799999999</v>
      </c>
      <c r="CE8" s="117">
        <v>264.77595700000001</v>
      </c>
      <c r="CF8" s="117">
        <v>345.91746799999999</v>
      </c>
      <c r="CG8" s="117">
        <v>258.34142800000001</v>
      </c>
      <c r="CH8" s="117">
        <v>397.89338800000002</v>
      </c>
      <c r="CI8" s="117">
        <v>229.09590700000001</v>
      </c>
      <c r="CJ8" s="117">
        <v>445.49199900000002</v>
      </c>
      <c r="CK8" s="117">
        <v>427.10229199999998</v>
      </c>
      <c r="CL8" s="117">
        <v>259.68413299999997</v>
      </c>
      <c r="CM8" s="117">
        <v>339.43285200000003</v>
      </c>
      <c r="CN8" s="117">
        <v>256.612348</v>
      </c>
      <c r="CO8" s="117">
        <v>399.400553</v>
      </c>
      <c r="CP8" s="117">
        <v>223.96664799999999</v>
      </c>
      <c r="CQ8" s="117">
        <v>416.93825199999998</v>
      </c>
      <c r="CR8" s="117">
        <v>400.95488699999999</v>
      </c>
      <c r="CS8" s="117">
        <v>250.19197399999999</v>
      </c>
      <c r="CT8" s="117">
        <v>326.59602799999999</v>
      </c>
      <c r="CU8" s="117">
        <v>248.726878</v>
      </c>
      <c r="CV8" s="117">
        <v>392.870475</v>
      </c>
      <c r="CW8" s="117">
        <v>213.80872500000001</v>
      </c>
      <c r="CX8" s="117">
        <v>399.12762500000002</v>
      </c>
      <c r="CY8" s="117">
        <v>382.04191500000002</v>
      </c>
      <c r="CZ8" s="117">
        <v>239.87112999999999</v>
      </c>
      <c r="DA8" s="117">
        <v>312.30566399999998</v>
      </c>
      <c r="DB8" s="117">
        <v>236.80737500000001</v>
      </c>
      <c r="DC8" s="117">
        <v>372.26616000000001</v>
      </c>
      <c r="DD8" s="117">
        <v>205.003559</v>
      </c>
      <c r="DE8" s="117">
        <v>430.59247299999998</v>
      </c>
      <c r="DF8" s="117">
        <v>407.034943</v>
      </c>
      <c r="DG8" s="117">
        <v>267.797055</v>
      </c>
      <c r="DH8" s="117">
        <v>350.81532700000002</v>
      </c>
      <c r="DI8" s="117">
        <v>262.24643300000002</v>
      </c>
      <c r="DJ8" s="117">
        <v>405.50419799999997</v>
      </c>
      <c r="DK8" s="117">
        <v>231.68583799999999</v>
      </c>
      <c r="DL8" s="117">
        <v>452.644564</v>
      </c>
      <c r="DM8" s="117">
        <v>433.395535</v>
      </c>
      <c r="DN8" s="117">
        <v>273.14813099999998</v>
      </c>
      <c r="DO8" s="117">
        <v>358.52101099999999</v>
      </c>
      <c r="DP8" s="117">
        <v>268.51686799999999</v>
      </c>
      <c r="DQ8" s="117">
        <v>416.49815899999999</v>
      </c>
      <c r="DR8" s="117">
        <v>236.31877299999999</v>
      </c>
      <c r="DS8" s="117">
        <v>449.16477900000001</v>
      </c>
      <c r="DT8" s="117">
        <v>435.71970299999998</v>
      </c>
      <c r="DU8" s="117">
        <v>261.895487</v>
      </c>
      <c r="DV8" s="117">
        <v>343.45322800000002</v>
      </c>
      <c r="DW8" s="117">
        <v>261.206728</v>
      </c>
      <c r="DX8" s="117">
        <v>412.107348</v>
      </c>
      <c r="DY8" s="117">
        <v>224.75135700000001</v>
      </c>
      <c r="DZ8" s="117">
        <v>400.75099999999998</v>
      </c>
      <c r="EA8" s="117">
        <v>381.47616399999998</v>
      </c>
      <c r="EB8" s="117">
        <v>240.85917499999999</v>
      </c>
      <c r="EC8" s="117">
        <v>314.00506200000001</v>
      </c>
      <c r="ED8" s="117">
        <v>236.91179399999999</v>
      </c>
      <c r="EE8" s="117">
        <v>370.31470899999999</v>
      </c>
      <c r="EF8" s="117">
        <v>206.608136</v>
      </c>
      <c r="EG8" s="117">
        <v>424.719067</v>
      </c>
      <c r="EH8" s="117">
        <v>403.89860800000002</v>
      </c>
      <c r="EI8" s="117">
        <v>254.85424900000001</v>
      </c>
      <c r="EJ8" s="117">
        <v>333.677933</v>
      </c>
      <c r="EK8" s="117">
        <v>251.78461100000001</v>
      </c>
      <c r="EL8" s="117">
        <v>393.02693099999999</v>
      </c>
      <c r="EM8" s="117">
        <v>219.578441</v>
      </c>
      <c r="EN8" s="117">
        <v>414.51684399999999</v>
      </c>
      <c r="EO8" s="117">
        <v>394.746194</v>
      </c>
      <c r="EP8" s="117">
        <v>257.33826099999999</v>
      </c>
      <c r="EQ8" s="117">
        <v>337.065136</v>
      </c>
      <c r="ER8" s="117">
        <v>252.44545099999999</v>
      </c>
      <c r="ES8" s="117">
        <v>393.86051099999997</v>
      </c>
      <c r="ET8" s="117">
        <v>221.413961</v>
      </c>
      <c r="EU8" s="117">
        <v>442.66170699999998</v>
      </c>
      <c r="EV8" s="117">
        <v>426.36454900000001</v>
      </c>
      <c r="EW8" s="117">
        <v>266.87321300000002</v>
      </c>
      <c r="EX8" s="117">
        <v>350.61213099999998</v>
      </c>
      <c r="EY8" s="117">
        <v>262.95540899999997</v>
      </c>
      <c r="EZ8" s="117">
        <v>410.79215399999998</v>
      </c>
      <c r="FA8" s="117">
        <v>230.06198699999999</v>
      </c>
      <c r="FB8" s="117">
        <v>431.136999</v>
      </c>
      <c r="FC8" s="117">
        <v>410.50063</v>
      </c>
      <c r="FD8" s="117">
        <v>252.65232499999999</v>
      </c>
      <c r="FE8" s="117">
        <v>329.85480000000001</v>
      </c>
      <c r="FF8" s="117">
        <v>247.49822</v>
      </c>
      <c r="FG8" s="117">
        <v>382.26707699999997</v>
      </c>
      <c r="FH8" s="117">
        <v>218.39280500000001</v>
      </c>
      <c r="FI8" s="117">
        <v>438.40345400000001</v>
      </c>
      <c r="FJ8" s="117">
        <v>409.58256</v>
      </c>
      <c r="FK8" s="117">
        <v>263.55539299999998</v>
      </c>
      <c r="FL8" s="117">
        <v>345.00842499999999</v>
      </c>
      <c r="FM8" s="117">
        <v>257.54630400000002</v>
      </c>
      <c r="FN8" s="117">
        <v>394.413996</v>
      </c>
      <c r="FO8" s="117">
        <v>229.275723</v>
      </c>
      <c r="FP8" s="117">
        <v>424.18799999999999</v>
      </c>
      <c r="FQ8" s="117">
        <v>404.12750699999998</v>
      </c>
      <c r="FR8" s="117">
        <v>254.505246</v>
      </c>
      <c r="FS8" s="117">
        <v>333.14989300000002</v>
      </c>
      <c r="FT8" s="117">
        <v>251.41712200000001</v>
      </c>
      <c r="FU8" s="117">
        <v>393.64237800000001</v>
      </c>
      <c r="FV8" s="117">
        <v>218.808537</v>
      </c>
      <c r="FW8" s="117">
        <v>426.21133600000002</v>
      </c>
      <c r="FX8" s="117">
        <v>396.09087199999999</v>
      </c>
      <c r="FY8" s="117">
        <v>256.69645500000001</v>
      </c>
      <c r="FZ8" s="117">
        <v>334.92511400000001</v>
      </c>
      <c r="GA8" s="117">
        <v>249.20150100000001</v>
      </c>
      <c r="GB8" s="117">
        <v>379.49511100000001</v>
      </c>
      <c r="GC8" s="117">
        <v>223.32459700000001</v>
      </c>
      <c r="GD8" s="117">
        <v>414.77754700000003</v>
      </c>
      <c r="GE8" s="117">
        <v>389.94194299999998</v>
      </c>
      <c r="GF8" s="117">
        <v>259.97521</v>
      </c>
      <c r="GG8" s="117">
        <v>339.41776299999998</v>
      </c>
      <c r="GH8" s="117">
        <v>252.18513300000001</v>
      </c>
      <c r="GI8" s="117">
        <v>388.05038999999999</v>
      </c>
      <c r="GJ8" s="117">
        <v>224.674263</v>
      </c>
      <c r="GK8" s="117">
        <v>433.26663300000001</v>
      </c>
      <c r="GL8" s="117">
        <v>409.80849599999999</v>
      </c>
      <c r="GM8" s="117">
        <v>257.99230399999999</v>
      </c>
      <c r="GN8" s="117">
        <v>337.76516299999997</v>
      </c>
      <c r="GO8" s="117">
        <v>251.284774</v>
      </c>
      <c r="GP8" s="117">
        <v>384.58483200000001</v>
      </c>
      <c r="GQ8" s="117">
        <v>224.29924299999999</v>
      </c>
      <c r="GR8" s="117">
        <v>414.01633099999998</v>
      </c>
      <c r="GS8" s="117">
        <v>391.20152100000001</v>
      </c>
      <c r="GT8" s="117">
        <v>245.50738799999999</v>
      </c>
      <c r="GU8" s="117">
        <v>319.14199600000001</v>
      </c>
      <c r="GV8" s="117">
        <v>238.800151</v>
      </c>
      <c r="GW8" s="117">
        <v>364.17239599999999</v>
      </c>
      <c r="GX8" s="117">
        <v>213.05078800000001</v>
      </c>
      <c r="GY8" s="117">
        <v>423.46143000000001</v>
      </c>
      <c r="GZ8" s="117">
        <v>395.06582400000002</v>
      </c>
      <c r="HA8" s="117">
        <v>254.91824500000001</v>
      </c>
      <c r="HB8" s="117">
        <v>332.17685</v>
      </c>
      <c r="HC8" s="117">
        <v>249.10486499999999</v>
      </c>
      <c r="HD8" s="117">
        <v>379.86427600000002</v>
      </c>
      <c r="HE8" s="117">
        <v>221.51497499999999</v>
      </c>
      <c r="HF8" s="117">
        <v>377.50235099999998</v>
      </c>
    </row>
    <row r="9" spans="1:214" x14ac:dyDescent="0.25">
      <c r="F9" s="116" t="str">
        <f xml:space="preserve"> _xll.EPMOlapMemberO("[PRDDESCR].[].[HELGAS GFREE MIXED GRAIN 500G]","","HELGAS GFREE MIXED GRAIN 500G","","000")</f>
        <v>HELGAS GFREE MIXED GRAIN 500G</v>
      </c>
      <c r="G9" s="116" t="str">
        <f xml:space="preserve"> _xll.EPMOlapMemberO("[PRDID].[].[168847]","","168847","","000")</f>
        <v>168847</v>
      </c>
      <c r="H9" s="116" t="str">
        <f xml:space="preserve"> _xll.EPMOlapMemberO("[LOCID].[].[6110]","","6110","","000")</f>
        <v>6110</v>
      </c>
      <c r="I9" s="116" t="str">
        <f xml:space="preserve"> _xll.EPMOlapMemberO("[LOCDESCR].[].[QBA-Burleigh Heads]","","QBA-Burleigh Heads","","000")</f>
        <v>QBA-Burleigh Heads</v>
      </c>
      <c r="J9" s="116" t="str">
        <f xml:space="preserve"> _xll.EPMOlapMemberO("[KEY_FIGURES].[].[ZGFAPPROVEDFCSTQTY]","","Approved Forecast","","000")</f>
        <v>Approved Forecast</v>
      </c>
      <c r="K9" s="117">
        <v>0.16165199999999999</v>
      </c>
      <c r="L9" s="117">
        <v>922.185971</v>
      </c>
      <c r="M9" s="117">
        <v>461.380652</v>
      </c>
      <c r="N9" s="117">
        <v>757.20928700000002</v>
      </c>
      <c r="O9" s="117">
        <v>414.80371200000002</v>
      </c>
      <c r="P9" s="117">
        <v>780.17837799999995</v>
      </c>
      <c r="Q9" s="117">
        <v>511.62789400000003</v>
      </c>
      <c r="R9" s="117">
        <v>0.28613100000000002</v>
      </c>
      <c r="S9" s="117">
        <v>973.24532799999997</v>
      </c>
      <c r="T9" s="117">
        <v>480.72787399999999</v>
      </c>
      <c r="U9" s="117">
        <v>806.14565400000004</v>
      </c>
      <c r="V9" s="117">
        <v>438.67577</v>
      </c>
      <c r="W9" s="117">
        <v>830.92317200000002</v>
      </c>
      <c r="X9" s="117">
        <v>550.80494999999996</v>
      </c>
      <c r="Y9" s="117">
        <v>0.159471</v>
      </c>
      <c r="Z9" s="117">
        <v>940.00688000000002</v>
      </c>
      <c r="AA9" s="117">
        <v>470.92045000000002</v>
      </c>
      <c r="AB9" s="117">
        <v>730.86451</v>
      </c>
      <c r="AC9" s="117">
        <v>413.26301799999999</v>
      </c>
      <c r="AD9" s="117">
        <v>801.51448200000004</v>
      </c>
      <c r="AE9" s="117">
        <v>532.37128499999994</v>
      </c>
      <c r="AF9" s="117">
        <v>0.156302</v>
      </c>
      <c r="AG9" s="117">
        <v>942.65416300000004</v>
      </c>
      <c r="AH9" s="117">
        <v>459.58235100000002</v>
      </c>
      <c r="AI9" s="117">
        <v>712.86509899999999</v>
      </c>
      <c r="AJ9" s="117">
        <v>418.82783599999999</v>
      </c>
      <c r="AK9" s="117">
        <v>792.65447500000005</v>
      </c>
      <c r="AL9" s="117">
        <v>520.51219300000002</v>
      </c>
      <c r="AM9" s="117">
        <v>0.162268</v>
      </c>
      <c r="AN9" s="117">
        <v>953.61332800000002</v>
      </c>
      <c r="AO9" s="117">
        <v>468.21015999999997</v>
      </c>
      <c r="AP9" s="117">
        <v>723.73599899999999</v>
      </c>
      <c r="AQ9" s="117">
        <v>426.56955399999998</v>
      </c>
      <c r="AR9" s="117">
        <v>805.073353</v>
      </c>
      <c r="AS9" s="117">
        <v>526.86632299999997</v>
      </c>
      <c r="AT9" s="117">
        <v>0.16267699999999999</v>
      </c>
      <c r="AU9" s="117">
        <v>982.92299700000001</v>
      </c>
      <c r="AV9" s="117">
        <v>485.86266499999999</v>
      </c>
      <c r="AW9" s="117">
        <v>758.25562100000002</v>
      </c>
      <c r="AX9" s="117">
        <v>445.917756</v>
      </c>
      <c r="AY9" s="117">
        <v>849.54255899999998</v>
      </c>
      <c r="AZ9" s="117">
        <v>559.73397499999999</v>
      </c>
      <c r="BA9" s="117">
        <v>0.16308500000000001</v>
      </c>
      <c r="BB9" s="117">
        <v>1025.386786</v>
      </c>
      <c r="BC9" s="117">
        <v>496.85998799999999</v>
      </c>
      <c r="BD9" s="117">
        <v>774.46305800000005</v>
      </c>
      <c r="BE9" s="117">
        <v>454.76710500000002</v>
      </c>
      <c r="BF9" s="117">
        <v>867.891752</v>
      </c>
      <c r="BG9" s="117">
        <v>572.47338200000002</v>
      </c>
      <c r="BH9" s="117">
        <v>0.163494</v>
      </c>
      <c r="BI9" s="117">
        <v>999.62301100000002</v>
      </c>
      <c r="BJ9" s="117">
        <v>480.01797800000003</v>
      </c>
      <c r="BK9" s="117">
        <v>744.13758900000005</v>
      </c>
      <c r="BL9" s="117">
        <v>437.68913400000002</v>
      </c>
      <c r="BM9" s="117">
        <v>828.09996699999999</v>
      </c>
      <c r="BN9" s="117">
        <v>543.05726300000003</v>
      </c>
      <c r="BO9" s="117">
        <v>0.16390199999999999</v>
      </c>
      <c r="BP9" s="117">
        <v>974.89720199999999</v>
      </c>
      <c r="BQ9" s="117">
        <v>477.49187999999998</v>
      </c>
      <c r="BR9" s="117">
        <v>740.21846900000003</v>
      </c>
      <c r="BS9" s="117">
        <v>435.69192800000002</v>
      </c>
      <c r="BT9" s="117">
        <v>823.63369899999998</v>
      </c>
      <c r="BU9" s="117">
        <v>539.78545699999995</v>
      </c>
      <c r="BV9" s="117">
        <v>0.16755700000000001</v>
      </c>
      <c r="BW9" s="117">
        <v>979.88724100000002</v>
      </c>
      <c r="BX9" s="117">
        <v>486.56732299999999</v>
      </c>
      <c r="BY9" s="117">
        <v>756.560699</v>
      </c>
      <c r="BZ9" s="117">
        <v>446.47696300000001</v>
      </c>
      <c r="CA9" s="117">
        <v>847.48363400000005</v>
      </c>
      <c r="CB9" s="117">
        <v>556.50309500000003</v>
      </c>
      <c r="CC9" s="117">
        <v>0.167966</v>
      </c>
      <c r="CD9" s="117">
        <v>1012.036141</v>
      </c>
      <c r="CE9" s="117">
        <v>491.09020500000003</v>
      </c>
      <c r="CF9" s="117">
        <v>763.71950600000002</v>
      </c>
      <c r="CG9" s="117">
        <v>450.42517600000002</v>
      </c>
      <c r="CH9" s="117">
        <v>855.59723299999996</v>
      </c>
      <c r="CI9" s="117">
        <v>562.11232199999995</v>
      </c>
      <c r="CJ9" s="117">
        <v>0.168374</v>
      </c>
      <c r="CK9" s="117">
        <v>1018.8682700000001</v>
      </c>
      <c r="CL9" s="117">
        <v>490.22960899999998</v>
      </c>
      <c r="CM9" s="117">
        <v>757.222264</v>
      </c>
      <c r="CN9" s="117">
        <v>446.17532999999997</v>
      </c>
      <c r="CO9" s="117">
        <v>842.74694499999998</v>
      </c>
      <c r="CP9" s="117">
        <v>551.58312999999998</v>
      </c>
      <c r="CQ9" s="117">
        <v>0.16878099999999999</v>
      </c>
      <c r="CR9" s="117">
        <v>1012.053168</v>
      </c>
      <c r="CS9" s="117">
        <v>494.500767</v>
      </c>
      <c r="CT9" s="117">
        <v>768.74831900000004</v>
      </c>
      <c r="CU9" s="117">
        <v>452.18221</v>
      </c>
      <c r="CV9" s="117">
        <v>855.80671099999995</v>
      </c>
      <c r="CW9" s="117">
        <v>561.26373799999999</v>
      </c>
      <c r="CX9" s="117">
        <v>0.171094</v>
      </c>
      <c r="CY9" s="117">
        <v>988.00231099999996</v>
      </c>
      <c r="CZ9" s="117">
        <v>485.27564699999999</v>
      </c>
      <c r="DA9" s="117">
        <v>749.67887900000005</v>
      </c>
      <c r="DB9" s="117">
        <v>443.255537</v>
      </c>
      <c r="DC9" s="117">
        <v>834.87962900000002</v>
      </c>
      <c r="DD9" s="117">
        <v>544.49140799999998</v>
      </c>
      <c r="DE9" s="117">
        <v>0.17150399999999999</v>
      </c>
      <c r="DF9" s="117">
        <v>999.89920299999994</v>
      </c>
      <c r="DG9" s="117">
        <v>495.24183699999998</v>
      </c>
      <c r="DH9" s="117">
        <v>769.643959</v>
      </c>
      <c r="DI9" s="117">
        <v>454.94920200000001</v>
      </c>
      <c r="DJ9" s="117">
        <v>862.77728400000001</v>
      </c>
      <c r="DK9" s="117">
        <v>565.28418299999998</v>
      </c>
      <c r="DL9" s="117">
        <v>0.17191000000000001</v>
      </c>
      <c r="DM9" s="117">
        <v>1002.042875</v>
      </c>
      <c r="DN9" s="117">
        <v>487.05106599999999</v>
      </c>
      <c r="DO9" s="117">
        <v>755.87812799999995</v>
      </c>
      <c r="DP9" s="117">
        <v>447.75515999999999</v>
      </c>
      <c r="DQ9" s="117">
        <v>847.19123500000001</v>
      </c>
      <c r="DR9" s="117">
        <v>553.99159699999996</v>
      </c>
      <c r="DS9" s="117">
        <v>0.172319</v>
      </c>
      <c r="DT9" s="117">
        <v>1026.8333640000001</v>
      </c>
      <c r="DU9" s="117">
        <v>495.13087300000001</v>
      </c>
      <c r="DV9" s="117">
        <v>765.39765699999998</v>
      </c>
      <c r="DW9" s="117">
        <v>451.95775500000002</v>
      </c>
      <c r="DX9" s="117">
        <v>852.59140500000001</v>
      </c>
      <c r="DY9" s="117">
        <v>556.73558000000003</v>
      </c>
      <c r="DZ9" s="117">
        <v>0.16209799999999999</v>
      </c>
      <c r="EA9" s="117">
        <v>971.77779699999996</v>
      </c>
      <c r="EB9" s="117">
        <v>476.39528899999999</v>
      </c>
      <c r="EC9" s="117">
        <v>737.83076800000003</v>
      </c>
      <c r="ED9" s="117">
        <v>434.18327900000003</v>
      </c>
      <c r="EE9" s="117">
        <v>821.408997</v>
      </c>
      <c r="EF9" s="117">
        <v>538.30249800000001</v>
      </c>
      <c r="EG9" s="117">
        <v>0.16250600000000001</v>
      </c>
      <c r="EH9" s="117">
        <v>986.86992699999996</v>
      </c>
      <c r="EI9" s="117">
        <v>482.37370499999997</v>
      </c>
      <c r="EJ9" s="117">
        <v>749.65926400000001</v>
      </c>
      <c r="EK9" s="117">
        <v>440.480479</v>
      </c>
      <c r="EL9" s="117">
        <v>834.79160300000001</v>
      </c>
      <c r="EM9" s="117">
        <v>547.947045</v>
      </c>
      <c r="EN9" s="117">
        <v>0.162915</v>
      </c>
      <c r="EO9" s="117">
        <v>968.52699600000005</v>
      </c>
      <c r="EP9" s="117">
        <v>477.17966300000001</v>
      </c>
      <c r="EQ9" s="117">
        <v>744.80926999999997</v>
      </c>
      <c r="ER9" s="117">
        <v>438.99111699999997</v>
      </c>
      <c r="ES9" s="117">
        <v>834.63765599999999</v>
      </c>
      <c r="ET9" s="117">
        <v>548.66316400000005</v>
      </c>
      <c r="EU9" s="117">
        <v>0.163323</v>
      </c>
      <c r="EV9" s="117">
        <v>1011.235138</v>
      </c>
      <c r="EW9" s="117">
        <v>487.51321200000001</v>
      </c>
      <c r="EX9" s="117">
        <v>764.12433599999997</v>
      </c>
      <c r="EY9" s="117">
        <v>449.27781099999999</v>
      </c>
      <c r="EZ9" s="117">
        <v>856.53897600000005</v>
      </c>
      <c r="FA9" s="117">
        <v>564.38324299999999</v>
      </c>
      <c r="FB9" s="117">
        <v>0.16373099999999999</v>
      </c>
      <c r="FC9" s="117">
        <v>951.56341499999996</v>
      </c>
      <c r="FD9" s="117">
        <v>458.24108699999999</v>
      </c>
      <c r="FE9" s="117">
        <v>709.59768699999995</v>
      </c>
      <c r="FF9" s="117">
        <v>419.472556</v>
      </c>
      <c r="FG9" s="117">
        <v>789.32765600000005</v>
      </c>
      <c r="FH9" s="117">
        <v>515.149359</v>
      </c>
      <c r="FI9" s="117">
        <v>0.142314</v>
      </c>
      <c r="FJ9" s="117">
        <v>939.05123100000003</v>
      </c>
      <c r="FK9" s="117">
        <v>452.73150299999998</v>
      </c>
      <c r="FL9" s="117">
        <v>714.95519899999999</v>
      </c>
      <c r="FM9" s="117">
        <v>416.43649399999998</v>
      </c>
      <c r="FN9" s="117">
        <v>797.45021699999995</v>
      </c>
      <c r="FO9" s="117">
        <v>527.95771500000001</v>
      </c>
      <c r="FP9" s="117">
        <v>0.14272099999999999</v>
      </c>
      <c r="FQ9" s="117">
        <v>891.58282099999997</v>
      </c>
      <c r="FR9" s="117">
        <v>433.629392</v>
      </c>
      <c r="FS9" s="117">
        <v>677.71674099999996</v>
      </c>
      <c r="FT9" s="117">
        <v>397.01020299999999</v>
      </c>
      <c r="FU9" s="117">
        <v>755.20045800000003</v>
      </c>
      <c r="FV9" s="117">
        <v>497.09619300000003</v>
      </c>
      <c r="FW9" s="117">
        <v>0.14313100000000001</v>
      </c>
      <c r="FX9" s="117">
        <v>912.23594400000002</v>
      </c>
      <c r="FY9" s="117">
        <v>442.41354000000001</v>
      </c>
      <c r="FZ9" s="117">
        <v>693.80878499999994</v>
      </c>
      <c r="GA9" s="117">
        <v>405.59631100000001</v>
      </c>
      <c r="GB9" s="117">
        <v>773.40942500000006</v>
      </c>
      <c r="GC9" s="117">
        <v>510.145129</v>
      </c>
      <c r="GD9" s="117">
        <v>0.143538</v>
      </c>
      <c r="GE9" s="117">
        <v>881.09807000000001</v>
      </c>
      <c r="GF9" s="117">
        <v>432.62268</v>
      </c>
      <c r="GG9" s="117">
        <v>682.45270600000003</v>
      </c>
      <c r="GH9" s="117">
        <v>400.32364200000001</v>
      </c>
      <c r="GI9" s="117">
        <v>765.05296999999996</v>
      </c>
      <c r="GJ9" s="117">
        <v>505.308336</v>
      </c>
      <c r="GK9" s="117">
        <v>0.15553800000000001</v>
      </c>
      <c r="GL9" s="117">
        <v>1022.217144</v>
      </c>
      <c r="GM9" s="117">
        <v>481.53917300000001</v>
      </c>
      <c r="GN9" s="117">
        <v>762.14452100000005</v>
      </c>
      <c r="GO9" s="117">
        <v>445.60180600000001</v>
      </c>
      <c r="GP9" s="117">
        <v>854.36198200000001</v>
      </c>
      <c r="GQ9" s="117">
        <v>566.24500799999998</v>
      </c>
      <c r="GR9" s="117">
        <v>0.155947</v>
      </c>
      <c r="GS9" s="117">
        <v>981.81344100000001</v>
      </c>
      <c r="GT9" s="117">
        <v>470.800701</v>
      </c>
      <c r="GU9" s="117">
        <v>741.29201999999998</v>
      </c>
      <c r="GV9" s="117">
        <v>433.36098199999998</v>
      </c>
      <c r="GW9" s="117">
        <v>824.95570199999997</v>
      </c>
      <c r="GX9" s="117">
        <v>544.70441400000004</v>
      </c>
      <c r="GY9" s="117">
        <v>0.15635399999999999</v>
      </c>
      <c r="GZ9" s="117">
        <v>1012.012035</v>
      </c>
      <c r="HA9" s="117">
        <v>488.45645000000002</v>
      </c>
      <c r="HB9" s="117">
        <v>770.38945999999999</v>
      </c>
      <c r="HC9" s="117">
        <v>448.95491700000002</v>
      </c>
      <c r="HD9" s="117">
        <v>857.88250800000003</v>
      </c>
      <c r="HE9" s="117">
        <v>568.08115299999997</v>
      </c>
      <c r="HF9" s="117">
        <v>0.15676300000000001</v>
      </c>
    </row>
    <row r="10" spans="1:214" x14ac:dyDescent="0.25">
      <c r="F10" s="116" t="str">
        <f xml:space="preserve"> _xll.EPMOlapMemberO("[PRDDESCR].[].[HELGAS GFREE MIXED GRAIN 500G]","","HELGAS GFREE MIXED GRAIN 500G","","000")</f>
        <v>HELGAS GFREE MIXED GRAIN 500G</v>
      </c>
      <c r="G10" s="116" t="str">
        <f xml:space="preserve"> _xll.EPMOlapMemberO("[PRDID].[].[168847]","","168847","","000")</f>
        <v>168847</v>
      </c>
      <c r="H10" s="116" t="str">
        <f xml:space="preserve"> _xll.EPMOlapMemberO("[LOCID].[].[6120]","","6120","","000")</f>
        <v>6120</v>
      </c>
      <c r="I10" s="116" t="str">
        <f xml:space="preserve"> _xll.EPMOlapMemberO("[LOCDESCR].[].[QBA-Hobart]","","QBA-Hobart","","000")</f>
        <v>QBA-Hobart</v>
      </c>
      <c r="J10" s="116" t="str">
        <f xml:space="preserve"> _xll.EPMOlapMemberO("[KEY_FIGURES].[].[ZGFAPPROVEDFCSTQTY]","","Approved Forecast","","000")</f>
        <v>Approved Forecast</v>
      </c>
      <c r="K10" s="117">
        <v>170.688986</v>
      </c>
      <c r="L10" s="117">
        <v>0.54363099999999998</v>
      </c>
      <c r="M10" s="117">
        <v>177.0308</v>
      </c>
      <c r="N10" s="117">
        <v>0.81088000000000005</v>
      </c>
      <c r="O10" s="117">
        <v>182.726473</v>
      </c>
      <c r="P10" s="117">
        <v>7.7762469999999997</v>
      </c>
      <c r="Q10" s="117">
        <v>6.6770999999999997E-2</v>
      </c>
      <c r="R10" s="117">
        <v>193.701763</v>
      </c>
      <c r="S10" s="117">
        <v>0.37556699999999998</v>
      </c>
      <c r="T10" s="117">
        <v>180.64313300000001</v>
      </c>
      <c r="U10" s="117">
        <v>0.89935500000000002</v>
      </c>
      <c r="V10" s="117">
        <v>180.35458499999999</v>
      </c>
      <c r="W10" s="117">
        <v>7.8027049999999996</v>
      </c>
      <c r="X10" s="117">
        <v>7.4903999999999998E-2</v>
      </c>
      <c r="Y10" s="117">
        <v>191.75888699999999</v>
      </c>
      <c r="Z10" s="117">
        <v>0.30884499999999998</v>
      </c>
      <c r="AA10" s="117">
        <v>179.01098999999999</v>
      </c>
      <c r="AB10" s="117">
        <v>0.74220399999999997</v>
      </c>
      <c r="AC10" s="117">
        <v>178.60239200000001</v>
      </c>
      <c r="AD10" s="117">
        <v>17.498999000000001</v>
      </c>
      <c r="AE10" s="117">
        <v>7.0744000000000001E-2</v>
      </c>
      <c r="AF10" s="117">
        <v>194.288082</v>
      </c>
      <c r="AG10" s="117">
        <v>7.7870999999999996E-2</v>
      </c>
      <c r="AH10" s="117">
        <v>149.53042099999999</v>
      </c>
      <c r="AI10" s="117">
        <v>0.66756400000000005</v>
      </c>
      <c r="AJ10" s="117">
        <v>144.725438</v>
      </c>
      <c r="AK10" s="117">
        <v>14.452493</v>
      </c>
      <c r="AL10" s="117">
        <v>0</v>
      </c>
      <c r="AM10" s="117">
        <v>142.020565</v>
      </c>
      <c r="AN10" s="117">
        <v>7.4954000000000007E-2</v>
      </c>
      <c r="AO10" s="117">
        <v>124.63188100000001</v>
      </c>
      <c r="AP10" s="117">
        <v>0.64255099999999998</v>
      </c>
      <c r="AQ10" s="117">
        <v>122.005628</v>
      </c>
      <c r="AR10" s="117">
        <v>12.417107</v>
      </c>
      <c r="AS10" s="117">
        <v>0</v>
      </c>
      <c r="AT10" s="117">
        <v>142.77266700000001</v>
      </c>
      <c r="AU10" s="117">
        <v>7.5420000000000001E-2</v>
      </c>
      <c r="AV10" s="117">
        <v>132.03063800000001</v>
      </c>
      <c r="AW10" s="117">
        <v>0.64654599999999995</v>
      </c>
      <c r="AX10" s="117">
        <v>129.21275499999999</v>
      </c>
      <c r="AY10" s="117">
        <v>13.169420000000001</v>
      </c>
      <c r="AZ10" s="117">
        <v>0</v>
      </c>
      <c r="BA10" s="117">
        <v>151.071358</v>
      </c>
      <c r="BB10" s="117">
        <v>7.5884999999999994E-2</v>
      </c>
      <c r="BC10" s="117">
        <v>132.60093900000001</v>
      </c>
      <c r="BD10" s="117">
        <v>0.65053499999999997</v>
      </c>
      <c r="BE10" s="117">
        <v>129.78798499999999</v>
      </c>
      <c r="BF10" s="117">
        <v>13.230796</v>
      </c>
      <c r="BG10" s="117">
        <v>0</v>
      </c>
      <c r="BH10" s="117">
        <v>151.76842400000001</v>
      </c>
      <c r="BI10" s="117">
        <v>7.6350000000000001E-2</v>
      </c>
      <c r="BJ10" s="117">
        <v>126.524821</v>
      </c>
      <c r="BK10" s="117">
        <v>0.65452500000000002</v>
      </c>
      <c r="BL10" s="117">
        <v>123.89412</v>
      </c>
      <c r="BM10" s="117">
        <v>12.615240999999999</v>
      </c>
      <c r="BN10" s="117">
        <v>0</v>
      </c>
      <c r="BO10" s="117">
        <v>145.02904699999999</v>
      </c>
      <c r="BP10" s="117">
        <v>7.6815999999999995E-2</v>
      </c>
      <c r="BQ10" s="117">
        <v>127.155789</v>
      </c>
      <c r="BR10" s="117">
        <v>0.65851800000000005</v>
      </c>
      <c r="BS10" s="117">
        <v>124.523605</v>
      </c>
      <c r="BT10" s="117">
        <v>12.681297000000001</v>
      </c>
      <c r="BU10" s="117">
        <v>0</v>
      </c>
      <c r="BV10" s="117">
        <v>154.96121099999999</v>
      </c>
      <c r="BW10" s="117">
        <v>8.5236000000000006E-2</v>
      </c>
      <c r="BX10" s="117">
        <v>141.05784</v>
      </c>
      <c r="BY10" s="117">
        <v>0.73069700000000004</v>
      </c>
      <c r="BZ10" s="117">
        <v>138.61671799999999</v>
      </c>
      <c r="CA10" s="117">
        <v>14.219749</v>
      </c>
      <c r="CB10" s="117">
        <v>0</v>
      </c>
      <c r="CC10" s="117">
        <v>162.951978</v>
      </c>
      <c r="CD10" s="117">
        <v>8.5702E-2</v>
      </c>
      <c r="CE10" s="117">
        <v>141.63471699999999</v>
      </c>
      <c r="CF10" s="117">
        <v>0.73468699999999998</v>
      </c>
      <c r="CG10" s="117">
        <v>139.19790900000001</v>
      </c>
      <c r="CH10" s="117">
        <v>14.28166</v>
      </c>
      <c r="CI10" s="117">
        <v>0</v>
      </c>
      <c r="CJ10" s="117">
        <v>163.655236</v>
      </c>
      <c r="CK10" s="117">
        <v>8.6167999999999995E-2</v>
      </c>
      <c r="CL10" s="117">
        <v>135.78863000000001</v>
      </c>
      <c r="CM10" s="117">
        <v>0.73868</v>
      </c>
      <c r="CN10" s="117">
        <v>133.54513399999999</v>
      </c>
      <c r="CO10" s="117">
        <v>13.694986999999999</v>
      </c>
      <c r="CP10" s="117">
        <v>0</v>
      </c>
      <c r="CQ10" s="117">
        <v>157.21757299999999</v>
      </c>
      <c r="CR10" s="117">
        <v>8.6632000000000001E-2</v>
      </c>
      <c r="CS10" s="117">
        <v>136.41960700000001</v>
      </c>
      <c r="CT10" s="117">
        <v>0.74267000000000005</v>
      </c>
      <c r="CU10" s="117">
        <v>134.17463699999999</v>
      </c>
      <c r="CV10" s="117">
        <v>13.76103</v>
      </c>
      <c r="CW10" s="117">
        <v>0</v>
      </c>
      <c r="CX10" s="117">
        <v>166.25842900000001</v>
      </c>
      <c r="CY10" s="117">
        <v>8.6638000000000007E-2</v>
      </c>
      <c r="CZ10" s="117">
        <v>146.370823</v>
      </c>
      <c r="DA10" s="117">
        <v>0.74272199999999999</v>
      </c>
      <c r="DB10" s="117">
        <v>143.095924</v>
      </c>
      <c r="DC10" s="117">
        <v>14.531675999999999</v>
      </c>
      <c r="DD10" s="117">
        <v>0</v>
      </c>
      <c r="DE10" s="117">
        <v>167.01055600000001</v>
      </c>
      <c r="DF10" s="117">
        <v>8.7105000000000002E-2</v>
      </c>
      <c r="DG10" s="117">
        <v>155.16202999999999</v>
      </c>
      <c r="DH10" s="117">
        <v>0.74671399999999999</v>
      </c>
      <c r="DI10" s="117">
        <v>152.601563</v>
      </c>
      <c r="DJ10" s="117">
        <v>15.391000999999999</v>
      </c>
      <c r="DK10" s="117">
        <v>0</v>
      </c>
      <c r="DL10" s="117">
        <v>176.45165299999999</v>
      </c>
      <c r="DM10" s="117">
        <v>8.7570999999999996E-2</v>
      </c>
      <c r="DN10" s="117">
        <v>155.263901</v>
      </c>
      <c r="DO10" s="117">
        <v>0.75070300000000001</v>
      </c>
      <c r="DP10" s="117">
        <v>151.81321299999999</v>
      </c>
      <c r="DQ10" s="117">
        <v>15.45082</v>
      </c>
      <c r="DR10" s="117">
        <v>0</v>
      </c>
      <c r="DS10" s="117">
        <v>177.13003</v>
      </c>
      <c r="DT10" s="117">
        <v>8.8036000000000003E-2</v>
      </c>
      <c r="DU10" s="117">
        <v>148.263734</v>
      </c>
      <c r="DV10" s="117">
        <v>0.75469699999999995</v>
      </c>
      <c r="DW10" s="117">
        <v>144.984441</v>
      </c>
      <c r="DX10" s="117">
        <v>14.729831000000001</v>
      </c>
      <c r="DY10" s="117">
        <v>0</v>
      </c>
      <c r="DZ10" s="117">
        <v>175.889309</v>
      </c>
      <c r="EA10" s="117">
        <v>9.0412999999999993E-2</v>
      </c>
      <c r="EB10" s="117">
        <v>155.37665999999999</v>
      </c>
      <c r="EC10" s="117">
        <v>0.77507999999999999</v>
      </c>
      <c r="ED10" s="117">
        <v>151.68665999999999</v>
      </c>
      <c r="EE10" s="117">
        <v>15.368247999999999</v>
      </c>
      <c r="EF10" s="117">
        <v>0</v>
      </c>
      <c r="EG10" s="117">
        <v>176.641381</v>
      </c>
      <c r="EH10" s="117">
        <v>9.0879000000000001E-2</v>
      </c>
      <c r="EI10" s="117">
        <v>156.00768500000001</v>
      </c>
      <c r="EJ10" s="117">
        <v>0.77907400000000004</v>
      </c>
      <c r="EK10" s="117">
        <v>152.31612699999999</v>
      </c>
      <c r="EL10" s="117">
        <v>15.434331</v>
      </c>
      <c r="EM10" s="117">
        <v>0</v>
      </c>
      <c r="EN10" s="117">
        <v>177.39354700000001</v>
      </c>
      <c r="EO10" s="117">
        <v>9.1344999999999996E-2</v>
      </c>
      <c r="EP10" s="117">
        <v>164.64724799999999</v>
      </c>
      <c r="EQ10" s="117">
        <v>0.78306299999999995</v>
      </c>
      <c r="ER10" s="117">
        <v>160.80235500000001</v>
      </c>
      <c r="ES10" s="117">
        <v>16.335674999999998</v>
      </c>
      <c r="ET10" s="117">
        <v>0</v>
      </c>
      <c r="EU10" s="117">
        <v>187.26397399999999</v>
      </c>
      <c r="EV10" s="117">
        <v>9.1810000000000003E-2</v>
      </c>
      <c r="EW10" s="117">
        <v>165.18659299999999</v>
      </c>
      <c r="EX10" s="117">
        <v>0.78705000000000003</v>
      </c>
      <c r="EY10" s="117">
        <v>161.34955299999999</v>
      </c>
      <c r="EZ10" s="117">
        <v>16.394606</v>
      </c>
      <c r="FA10" s="117">
        <v>0</v>
      </c>
      <c r="FB10" s="117">
        <v>187.93198599999999</v>
      </c>
      <c r="FC10" s="117">
        <v>9.2274999999999996E-2</v>
      </c>
      <c r="FD10" s="117">
        <v>157.900531</v>
      </c>
      <c r="FE10" s="117">
        <v>0.79103900000000005</v>
      </c>
      <c r="FF10" s="117">
        <v>154.204669</v>
      </c>
      <c r="FG10" s="117">
        <v>15.632478000000001</v>
      </c>
      <c r="FH10" s="117">
        <v>0</v>
      </c>
      <c r="FI10" s="117">
        <v>174.490692</v>
      </c>
      <c r="FJ10" s="117">
        <v>9.0403999999999998E-2</v>
      </c>
      <c r="FK10" s="117">
        <v>153.840935</v>
      </c>
      <c r="FL10" s="117">
        <v>0.77499700000000005</v>
      </c>
      <c r="FM10" s="117">
        <v>150.30863500000001</v>
      </c>
      <c r="FN10" s="117">
        <v>15.248987</v>
      </c>
      <c r="FO10" s="117">
        <v>0</v>
      </c>
      <c r="FP10" s="117">
        <v>175.24274800000001</v>
      </c>
      <c r="FQ10" s="117">
        <v>9.0868000000000004E-2</v>
      </c>
      <c r="FR10" s="117">
        <v>154.471858</v>
      </c>
      <c r="FS10" s="117">
        <v>0.77898400000000001</v>
      </c>
      <c r="FT10" s="117">
        <v>150.93818400000001</v>
      </c>
      <c r="FU10" s="117">
        <v>15.315094</v>
      </c>
      <c r="FV10" s="117">
        <v>0</v>
      </c>
      <c r="FW10" s="117">
        <v>175.99486300000001</v>
      </c>
      <c r="FX10" s="117">
        <v>9.1333999999999999E-2</v>
      </c>
      <c r="FY10" s="117">
        <v>155.10281900000001</v>
      </c>
      <c r="FZ10" s="117">
        <v>0.78297300000000003</v>
      </c>
      <c r="GA10" s="117">
        <v>151.56769199999999</v>
      </c>
      <c r="GB10" s="117">
        <v>15.381142000000001</v>
      </c>
      <c r="GC10" s="117">
        <v>0</v>
      </c>
      <c r="GD10" s="117">
        <v>176.74697599999999</v>
      </c>
      <c r="GE10" s="117">
        <v>9.1800000000000007E-2</v>
      </c>
      <c r="GF10" s="117">
        <v>164.652174</v>
      </c>
      <c r="GG10" s="117">
        <v>0.78696500000000003</v>
      </c>
      <c r="GH10" s="117">
        <v>161.02102199999999</v>
      </c>
      <c r="GI10" s="117">
        <v>16.344622000000001</v>
      </c>
      <c r="GJ10" s="117">
        <v>0</v>
      </c>
      <c r="GK10" s="117">
        <v>181.75474700000001</v>
      </c>
      <c r="GL10" s="117">
        <v>8.3531999999999995E-2</v>
      </c>
      <c r="GM10" s="117">
        <v>159.88192799999999</v>
      </c>
      <c r="GN10" s="117">
        <v>0.71608099999999997</v>
      </c>
      <c r="GO10" s="117">
        <v>155.516637</v>
      </c>
      <c r="GP10" s="117">
        <v>15.696607999999999</v>
      </c>
      <c r="GQ10" s="117">
        <v>0</v>
      </c>
      <c r="GR10" s="117">
        <v>180.08357899999999</v>
      </c>
      <c r="GS10" s="117">
        <v>8.3997000000000002E-2</v>
      </c>
      <c r="GT10" s="117">
        <v>153.38181800000001</v>
      </c>
      <c r="GU10" s="117">
        <v>0.72007200000000005</v>
      </c>
      <c r="GV10" s="117">
        <v>149.0181</v>
      </c>
      <c r="GW10" s="117">
        <v>14.976849</v>
      </c>
      <c r="GX10" s="117">
        <v>0</v>
      </c>
      <c r="GY10" s="117">
        <v>172.36227199999999</v>
      </c>
      <c r="GZ10" s="117">
        <v>8.4461999999999995E-2</v>
      </c>
      <c r="HA10" s="117">
        <v>154.01279199999999</v>
      </c>
      <c r="HB10" s="117">
        <v>0.72406099999999995</v>
      </c>
      <c r="HC10" s="117">
        <v>149.647592</v>
      </c>
      <c r="HD10" s="117">
        <v>15.042885</v>
      </c>
      <c r="HE10" s="117">
        <v>0</v>
      </c>
      <c r="HF10" s="117">
        <v>173.114385</v>
      </c>
    </row>
    <row r="11" spans="1:214" x14ac:dyDescent="0.25">
      <c r="F11" s="116" t="str">
        <f xml:space="preserve"> _xll.EPMOlapMemberO("[PRDDESCR].[].[HELGAS GFREE MIXED GRAIN 500G]","","HELGAS GFREE MIXED GRAIN 500G","","000")</f>
        <v>HELGAS GFREE MIXED GRAIN 500G</v>
      </c>
      <c r="G11" s="116" t="str">
        <f xml:space="preserve"> _xll.EPMOlapMemberO("[PRDID].[].[168847]","","168847","","000")</f>
        <v>168847</v>
      </c>
      <c r="H11" s="116" t="str">
        <f xml:space="preserve"> _xll.EPMOlapMemberO("[LOCID].[].[6123]","","6123","","000")</f>
        <v>6123</v>
      </c>
      <c r="I11" s="116" t="str">
        <f xml:space="preserve"> _xll.EPMOlapMemberO("[LOCDESCR].[].[QBA-Clayton - Fairbank]","","QBA-Clayton - Fairbank","","000")</f>
        <v>QBA-Clayton - Fairbank</v>
      </c>
      <c r="J11" s="116" t="str">
        <f xml:space="preserve"> _xll.EPMOlapMemberO("[KEY_FIGURES].[].[ZGFAPPROVEDFCSTQTY]","","Approved Forecast","","000")</f>
        <v>Approved Forecast</v>
      </c>
      <c r="K11" s="117">
        <v>0</v>
      </c>
      <c r="L11" s="117">
        <v>0</v>
      </c>
      <c r="M11" s="117">
        <v>775.38286300000004</v>
      </c>
      <c r="N11" s="117">
        <v>234.32791</v>
      </c>
      <c r="O11" s="117">
        <v>421.06864899999999</v>
      </c>
      <c r="P11" s="117">
        <v>333.05618700000002</v>
      </c>
      <c r="Q11" s="117">
        <v>810.15547700000002</v>
      </c>
      <c r="R11" s="117">
        <v>6.4270000000000004E-3</v>
      </c>
      <c r="S11" s="117">
        <v>6.4270000000000004E-3</v>
      </c>
      <c r="T11" s="117">
        <v>751.32388800000001</v>
      </c>
      <c r="U11" s="117">
        <v>224.971158</v>
      </c>
      <c r="V11" s="117">
        <v>405.93232699999999</v>
      </c>
      <c r="W11" s="117">
        <v>329.31555200000003</v>
      </c>
      <c r="X11" s="117">
        <v>782.11467300000004</v>
      </c>
      <c r="Y11" s="117">
        <v>0.32477200000000001</v>
      </c>
      <c r="Z11" s="117">
        <v>0</v>
      </c>
      <c r="AA11" s="117">
        <v>780.72463100000004</v>
      </c>
      <c r="AB11" s="117">
        <v>243.253837</v>
      </c>
      <c r="AC11" s="117">
        <v>433.84758599999998</v>
      </c>
      <c r="AD11" s="117">
        <v>344.39253300000001</v>
      </c>
      <c r="AE11" s="117">
        <v>829.20157800000004</v>
      </c>
      <c r="AF11" s="117">
        <v>0.38421300000000003</v>
      </c>
      <c r="AG11" s="117">
        <v>0</v>
      </c>
      <c r="AH11" s="117">
        <v>841.84689300000002</v>
      </c>
      <c r="AI11" s="117">
        <v>298.01173699999998</v>
      </c>
      <c r="AJ11" s="117">
        <v>470.30576000000002</v>
      </c>
      <c r="AK11" s="117">
        <v>359.568037</v>
      </c>
      <c r="AL11" s="117">
        <v>859.01010499999995</v>
      </c>
      <c r="AM11" s="117">
        <v>0.36358099999999999</v>
      </c>
      <c r="AN11" s="117">
        <v>0</v>
      </c>
      <c r="AO11" s="117">
        <v>795.83408199999997</v>
      </c>
      <c r="AP11" s="117">
        <v>282.32871799999998</v>
      </c>
      <c r="AQ11" s="117">
        <v>445.044082</v>
      </c>
      <c r="AR11" s="117">
        <v>339.80020000000002</v>
      </c>
      <c r="AS11" s="117">
        <v>816.61921500000005</v>
      </c>
      <c r="AT11" s="117">
        <v>0.36480699999999999</v>
      </c>
      <c r="AU11" s="117">
        <v>0</v>
      </c>
      <c r="AV11" s="117">
        <v>837.52829399999996</v>
      </c>
      <c r="AW11" s="117">
        <v>289.06416899999999</v>
      </c>
      <c r="AX11" s="117">
        <v>469.18039599999997</v>
      </c>
      <c r="AY11" s="117">
        <v>358.27824700000002</v>
      </c>
      <c r="AZ11" s="117">
        <v>870.26575100000002</v>
      </c>
      <c r="BA11" s="117">
        <v>0.34585900000000003</v>
      </c>
      <c r="BB11" s="117">
        <v>0</v>
      </c>
      <c r="BC11" s="117">
        <v>820.11023599999999</v>
      </c>
      <c r="BD11" s="117">
        <v>282.463052</v>
      </c>
      <c r="BE11" s="117">
        <v>457.81396000000001</v>
      </c>
      <c r="BF11" s="117">
        <v>351.573846</v>
      </c>
      <c r="BG11" s="117">
        <v>847.449298</v>
      </c>
      <c r="BH11" s="117">
        <v>0.36607699999999999</v>
      </c>
      <c r="BI11" s="117">
        <v>0</v>
      </c>
      <c r="BJ11" s="117">
        <v>800.55009500000006</v>
      </c>
      <c r="BK11" s="117">
        <v>284.21934599999997</v>
      </c>
      <c r="BL11" s="117">
        <v>447.15005600000001</v>
      </c>
      <c r="BM11" s="117">
        <v>342.14399200000003</v>
      </c>
      <c r="BN11" s="117">
        <v>823.00557200000003</v>
      </c>
      <c r="BO11" s="117">
        <v>0.35832999999999998</v>
      </c>
      <c r="BP11" s="117">
        <v>0</v>
      </c>
      <c r="BQ11" s="117">
        <v>795.26198399999998</v>
      </c>
      <c r="BR11" s="117">
        <v>281.85497900000001</v>
      </c>
      <c r="BS11" s="117">
        <v>444.340192</v>
      </c>
      <c r="BT11" s="117">
        <v>339.64509099999998</v>
      </c>
      <c r="BU11" s="117">
        <v>814.54418599999997</v>
      </c>
      <c r="BV11" s="117">
        <v>0.39977600000000002</v>
      </c>
      <c r="BW11" s="117">
        <v>0</v>
      </c>
      <c r="BX11" s="117">
        <v>893.17037800000003</v>
      </c>
      <c r="BY11" s="117">
        <v>309.57997799999998</v>
      </c>
      <c r="BZ11" s="117">
        <v>502.22125999999997</v>
      </c>
      <c r="CA11" s="117">
        <v>381.48667</v>
      </c>
      <c r="CB11" s="117">
        <v>934.83982200000003</v>
      </c>
      <c r="CC11" s="117">
        <v>0.39070500000000002</v>
      </c>
      <c r="CD11" s="117">
        <v>0</v>
      </c>
      <c r="CE11" s="117">
        <v>882.38344400000005</v>
      </c>
      <c r="CF11" s="117">
        <v>305.52110499999998</v>
      </c>
      <c r="CG11" s="117">
        <v>495.39618400000001</v>
      </c>
      <c r="CH11" s="117">
        <v>377.17087500000002</v>
      </c>
      <c r="CI11" s="117">
        <v>923.71719299999995</v>
      </c>
      <c r="CJ11" s="117">
        <v>0.33774999999999999</v>
      </c>
      <c r="CK11" s="117">
        <v>0</v>
      </c>
      <c r="CL11" s="117">
        <v>792.048181</v>
      </c>
      <c r="CM11" s="117">
        <v>279.69371000000001</v>
      </c>
      <c r="CN11" s="117">
        <v>442.800231</v>
      </c>
      <c r="CO11" s="117">
        <v>337.72087499999998</v>
      </c>
      <c r="CP11" s="117">
        <v>804.92044899999996</v>
      </c>
      <c r="CQ11" s="117">
        <v>0.37018099999999998</v>
      </c>
      <c r="CR11" s="117">
        <v>0</v>
      </c>
      <c r="CS11" s="117">
        <v>825.88960199999997</v>
      </c>
      <c r="CT11" s="117">
        <v>293.07646399999999</v>
      </c>
      <c r="CU11" s="117">
        <v>462.46882900000003</v>
      </c>
      <c r="CV11" s="117">
        <v>352.29851400000001</v>
      </c>
      <c r="CW11" s="117">
        <v>846.617299</v>
      </c>
      <c r="CX11" s="117">
        <v>0.38049100000000002</v>
      </c>
      <c r="CY11" s="117">
        <v>0</v>
      </c>
      <c r="CZ11" s="117">
        <v>849.99096899999995</v>
      </c>
      <c r="DA11" s="117">
        <v>300.896839</v>
      </c>
      <c r="DB11" s="117">
        <v>474.16331000000002</v>
      </c>
      <c r="DC11" s="117">
        <v>363.32975299999998</v>
      </c>
      <c r="DD11" s="117">
        <v>867.87876900000003</v>
      </c>
      <c r="DE11" s="117">
        <v>0.38262299999999999</v>
      </c>
      <c r="DF11" s="117">
        <v>0</v>
      </c>
      <c r="DG11" s="117">
        <v>895.29674199999999</v>
      </c>
      <c r="DH11" s="117">
        <v>308.21806500000002</v>
      </c>
      <c r="DI11" s="117">
        <v>500.71206899999999</v>
      </c>
      <c r="DJ11" s="117">
        <v>383.212244</v>
      </c>
      <c r="DK11" s="117">
        <v>925.37503800000002</v>
      </c>
      <c r="DL11" s="117">
        <v>0.371527</v>
      </c>
      <c r="DM11" s="117">
        <v>0</v>
      </c>
      <c r="DN11" s="117">
        <v>885.41950799999995</v>
      </c>
      <c r="DO11" s="117">
        <v>304.28050000000002</v>
      </c>
      <c r="DP11" s="117">
        <v>494.68757199999999</v>
      </c>
      <c r="DQ11" s="117">
        <v>379.11458900000002</v>
      </c>
      <c r="DR11" s="117">
        <v>912.06567299999995</v>
      </c>
      <c r="DS11" s="117">
        <v>0.42202000000000001</v>
      </c>
      <c r="DT11" s="117">
        <v>0</v>
      </c>
      <c r="DU11" s="117">
        <v>893.37639300000001</v>
      </c>
      <c r="DV11" s="117">
        <v>317.65383600000001</v>
      </c>
      <c r="DW11" s="117">
        <v>500.25666100000001</v>
      </c>
      <c r="DX11" s="117">
        <v>381.348342</v>
      </c>
      <c r="DY11" s="117">
        <v>922.690699</v>
      </c>
      <c r="DZ11" s="117">
        <v>0.42217100000000002</v>
      </c>
      <c r="EA11" s="117">
        <v>0</v>
      </c>
      <c r="EB11" s="117">
        <v>879.14774299999999</v>
      </c>
      <c r="EC11" s="117">
        <v>312.87488400000001</v>
      </c>
      <c r="ED11" s="117">
        <v>492.48831200000001</v>
      </c>
      <c r="EE11" s="117">
        <v>375.335983</v>
      </c>
      <c r="EF11" s="117">
        <v>908.40289299999995</v>
      </c>
      <c r="EG11" s="117">
        <v>0.379187</v>
      </c>
      <c r="EH11" s="117">
        <v>0</v>
      </c>
      <c r="EI11" s="117">
        <v>839.12732400000004</v>
      </c>
      <c r="EJ11" s="117">
        <v>296.92969799999997</v>
      </c>
      <c r="EK11" s="117">
        <v>468.72069699999997</v>
      </c>
      <c r="EL11" s="117">
        <v>358.36023499999999</v>
      </c>
      <c r="EM11" s="117">
        <v>856.11788899999999</v>
      </c>
      <c r="EN11" s="117">
        <v>0.39961099999999999</v>
      </c>
      <c r="EO11" s="117">
        <v>0</v>
      </c>
      <c r="EP11" s="117">
        <v>896.66428800000006</v>
      </c>
      <c r="EQ11" s="117">
        <v>309.86944299999999</v>
      </c>
      <c r="ER11" s="117">
        <v>501.91019</v>
      </c>
      <c r="ES11" s="117">
        <v>383.84581200000002</v>
      </c>
      <c r="ET11" s="117">
        <v>932.73733500000003</v>
      </c>
      <c r="EU11" s="117">
        <v>0.40669699999999998</v>
      </c>
      <c r="EV11" s="117">
        <v>0</v>
      </c>
      <c r="EW11" s="117">
        <v>906.62030700000003</v>
      </c>
      <c r="EX11" s="117">
        <v>313.38259199999999</v>
      </c>
      <c r="EY11" s="117">
        <v>508.41796199999999</v>
      </c>
      <c r="EZ11" s="117">
        <v>387.63704999999999</v>
      </c>
      <c r="FA11" s="117">
        <v>942.20267100000001</v>
      </c>
      <c r="FB11" s="117">
        <v>0.42069800000000002</v>
      </c>
      <c r="FC11" s="117">
        <v>0</v>
      </c>
      <c r="FD11" s="117">
        <v>884.22215700000004</v>
      </c>
      <c r="FE11" s="117">
        <v>314.47972199999998</v>
      </c>
      <c r="FF11" s="117">
        <v>495.28860400000002</v>
      </c>
      <c r="FG11" s="117">
        <v>377.47450700000002</v>
      </c>
      <c r="FH11" s="117">
        <v>911.27264600000001</v>
      </c>
      <c r="FI11" s="117">
        <v>0.37789200000000001</v>
      </c>
      <c r="FJ11" s="117">
        <v>0</v>
      </c>
      <c r="FK11" s="117">
        <v>839.69180300000005</v>
      </c>
      <c r="FL11" s="117">
        <v>296.78044399999999</v>
      </c>
      <c r="FM11" s="117">
        <v>468.51290799999998</v>
      </c>
      <c r="FN11" s="117">
        <v>358.79879399999999</v>
      </c>
      <c r="FO11" s="117">
        <v>854.00843199999997</v>
      </c>
      <c r="FP11" s="117">
        <v>0.38620399999999999</v>
      </c>
      <c r="FQ11" s="117">
        <v>0</v>
      </c>
      <c r="FR11" s="117">
        <v>846.60860100000002</v>
      </c>
      <c r="FS11" s="117">
        <v>299.843728</v>
      </c>
      <c r="FT11" s="117">
        <v>471.78527200000002</v>
      </c>
      <c r="FU11" s="117">
        <v>362.24630500000001</v>
      </c>
      <c r="FV11" s="117">
        <v>865.30584599999997</v>
      </c>
      <c r="FW11" s="117">
        <v>0.42460700000000001</v>
      </c>
      <c r="FX11" s="117">
        <v>0</v>
      </c>
      <c r="FY11" s="117">
        <v>884.15565500000002</v>
      </c>
      <c r="FZ11" s="117">
        <v>314.43044800000001</v>
      </c>
      <c r="GA11" s="117">
        <v>494.62726300000003</v>
      </c>
      <c r="GB11" s="117">
        <v>377.72558500000002</v>
      </c>
      <c r="GC11" s="117">
        <v>913.91711799999996</v>
      </c>
      <c r="GD11" s="117">
        <v>0.44373400000000002</v>
      </c>
      <c r="GE11" s="117">
        <v>0</v>
      </c>
      <c r="GF11" s="117">
        <v>949.69865400000003</v>
      </c>
      <c r="GG11" s="117">
        <v>329.702268</v>
      </c>
      <c r="GH11" s="117">
        <v>533.196552</v>
      </c>
      <c r="GI11" s="117">
        <v>406.09836000000001</v>
      </c>
      <c r="GJ11" s="117">
        <v>995.77030999999999</v>
      </c>
      <c r="GK11" s="117">
        <v>0.41978199999999999</v>
      </c>
      <c r="GL11" s="117">
        <v>0</v>
      </c>
      <c r="GM11" s="117">
        <v>950.85020799999995</v>
      </c>
      <c r="GN11" s="117">
        <v>328.243044</v>
      </c>
      <c r="GO11" s="117">
        <v>529.93460100000004</v>
      </c>
      <c r="GP11" s="117">
        <v>408.16806300000002</v>
      </c>
      <c r="GQ11" s="117">
        <v>982.94181800000001</v>
      </c>
      <c r="GR11" s="117">
        <v>0.46015800000000001</v>
      </c>
      <c r="GS11" s="117">
        <v>0</v>
      </c>
      <c r="GT11" s="117">
        <v>960.08916199999999</v>
      </c>
      <c r="GU11" s="117">
        <v>341.38040699999999</v>
      </c>
      <c r="GV11" s="117">
        <v>537.170886</v>
      </c>
      <c r="GW11" s="117">
        <v>410.14174400000002</v>
      </c>
      <c r="GX11" s="117">
        <v>990.98190599999998</v>
      </c>
      <c r="GY11" s="117">
        <v>0.44159500000000002</v>
      </c>
      <c r="GZ11" s="117">
        <v>0</v>
      </c>
      <c r="HA11" s="117">
        <v>944.88479900000004</v>
      </c>
      <c r="HB11" s="117">
        <v>335.16410500000001</v>
      </c>
      <c r="HC11" s="117">
        <v>528.21319200000005</v>
      </c>
      <c r="HD11" s="117">
        <v>403.62329999999997</v>
      </c>
      <c r="HE11" s="117">
        <v>969.21095800000001</v>
      </c>
      <c r="HF11" s="117">
        <v>0.37201200000000001</v>
      </c>
    </row>
    <row r="12" spans="1:214" x14ac:dyDescent="0.25">
      <c r="F12" s="116" t="str">
        <f xml:space="preserve"> _xll.EPMOlapMemberO("[PRDDESCR].[].[HELGAS GFREE MIXED GRAIN 500G]","","HELGAS GFREE MIXED GRAIN 500G","","000")</f>
        <v>HELGAS GFREE MIXED GRAIN 500G</v>
      </c>
      <c r="G12" s="116" t="str">
        <f xml:space="preserve"> _xll.EPMOlapMemberO("[PRDID].[].[168847]","","168847","","000")</f>
        <v>168847</v>
      </c>
      <c r="H12" s="116" t="str">
        <f xml:space="preserve"> _xll.EPMOlapMemberO("[LOCID].[].[6125]","","6125","","000")</f>
        <v>6125</v>
      </c>
      <c r="I12" s="116" t="str">
        <f xml:space="preserve"> _xll.EPMOlapMemberO("[LOCDESCR].[].[QBA -Keilor Park]","","QBA -Keilor Park","","000")</f>
        <v>QBA -Keilor Park</v>
      </c>
      <c r="J12" s="116" t="str">
        <f xml:space="preserve"> _xll.EPMOlapMemberO("[KEY_FIGURES].[].[ZGFAPPROVEDFCSTQTY]","","Approved Forecast","","000")</f>
        <v>Approved Forecast</v>
      </c>
      <c r="K12" s="117">
        <v>8.541E-3</v>
      </c>
      <c r="L12" s="117">
        <v>8.5339999999999999E-3</v>
      </c>
      <c r="M12" s="117">
        <v>634.43237999999997</v>
      </c>
      <c r="N12" s="117">
        <v>119.661451</v>
      </c>
      <c r="O12" s="117">
        <v>242.56408200000001</v>
      </c>
      <c r="P12" s="117">
        <v>392.01756399999999</v>
      </c>
      <c r="Q12" s="117">
        <v>411.85411099999999</v>
      </c>
      <c r="R12" s="117">
        <v>0</v>
      </c>
      <c r="S12" s="117">
        <v>0</v>
      </c>
      <c r="T12" s="117">
        <v>612.61388399999998</v>
      </c>
      <c r="U12" s="117">
        <v>113.033766</v>
      </c>
      <c r="V12" s="117">
        <v>227.8304</v>
      </c>
      <c r="W12" s="117">
        <v>377.341274</v>
      </c>
      <c r="X12" s="117">
        <v>394.32902300000001</v>
      </c>
      <c r="Y12" s="117">
        <v>2.7739E-2</v>
      </c>
      <c r="Z12" s="117">
        <v>2.794E-2</v>
      </c>
      <c r="AA12" s="117">
        <v>683.41389200000003</v>
      </c>
      <c r="AB12" s="117">
        <v>125.971436</v>
      </c>
      <c r="AC12" s="117">
        <v>265.65249599999999</v>
      </c>
      <c r="AD12" s="117">
        <v>423.492434</v>
      </c>
      <c r="AE12" s="117">
        <v>444.23304899999999</v>
      </c>
      <c r="AF12" s="117">
        <v>0</v>
      </c>
      <c r="AG12" s="117">
        <v>2.1532689999999999</v>
      </c>
      <c r="AH12" s="117">
        <v>635.22344899999996</v>
      </c>
      <c r="AI12" s="117">
        <v>128.159899</v>
      </c>
      <c r="AJ12" s="117">
        <v>264.59804300000002</v>
      </c>
      <c r="AK12" s="117">
        <v>375.44279399999999</v>
      </c>
      <c r="AL12" s="117">
        <v>393.41553499999998</v>
      </c>
      <c r="AM12" s="117">
        <v>0</v>
      </c>
      <c r="AN12" s="117">
        <v>1.807633</v>
      </c>
      <c r="AO12" s="117">
        <v>655.49612100000002</v>
      </c>
      <c r="AP12" s="117">
        <v>126.955269</v>
      </c>
      <c r="AQ12" s="117">
        <v>263.560787</v>
      </c>
      <c r="AR12" s="117">
        <v>393.37708199999997</v>
      </c>
      <c r="AS12" s="117">
        <v>405.79245100000003</v>
      </c>
      <c r="AT12" s="117">
        <v>0</v>
      </c>
      <c r="AU12" s="117">
        <v>1.565064</v>
      </c>
      <c r="AV12" s="117">
        <v>672.64581899999996</v>
      </c>
      <c r="AW12" s="117">
        <v>121.22349800000001</v>
      </c>
      <c r="AX12" s="117">
        <v>269.217938</v>
      </c>
      <c r="AY12" s="117">
        <v>409.09401200000002</v>
      </c>
      <c r="AZ12" s="117">
        <v>426.55409500000002</v>
      </c>
      <c r="BA12" s="117">
        <v>0</v>
      </c>
      <c r="BB12" s="117">
        <v>1.4170769999999999</v>
      </c>
      <c r="BC12" s="117">
        <v>676.84847000000002</v>
      </c>
      <c r="BD12" s="117">
        <v>128.93476100000001</v>
      </c>
      <c r="BE12" s="117">
        <v>279.62487399999998</v>
      </c>
      <c r="BF12" s="117">
        <v>408.94331299999999</v>
      </c>
      <c r="BG12" s="117">
        <v>427.80809299999999</v>
      </c>
      <c r="BH12" s="117">
        <v>0</v>
      </c>
      <c r="BI12" s="117">
        <v>2.5405310000000001</v>
      </c>
      <c r="BJ12" s="117">
        <v>654.75275299999998</v>
      </c>
      <c r="BK12" s="117">
        <v>129.267122</v>
      </c>
      <c r="BL12" s="117">
        <v>263.14588199999997</v>
      </c>
      <c r="BM12" s="117">
        <v>388.467603</v>
      </c>
      <c r="BN12" s="117">
        <v>404.149698</v>
      </c>
      <c r="BO12" s="117">
        <v>0</v>
      </c>
      <c r="BP12" s="117">
        <v>1.6394390000000001</v>
      </c>
      <c r="BQ12" s="117">
        <v>629.80462399999999</v>
      </c>
      <c r="BR12" s="117">
        <v>118.799312</v>
      </c>
      <c r="BS12" s="117">
        <v>254.225268</v>
      </c>
      <c r="BT12" s="117">
        <v>378.01327600000002</v>
      </c>
      <c r="BU12" s="117">
        <v>391.63088800000003</v>
      </c>
      <c r="BV12" s="117">
        <v>0</v>
      </c>
      <c r="BW12" s="117">
        <v>1.697346</v>
      </c>
      <c r="BX12" s="117">
        <v>686.91997900000001</v>
      </c>
      <c r="BY12" s="117">
        <v>128.80253500000001</v>
      </c>
      <c r="BZ12" s="117">
        <v>283.85307499999999</v>
      </c>
      <c r="CA12" s="117">
        <v>416.58973600000002</v>
      </c>
      <c r="CB12" s="117">
        <v>438.83372200000002</v>
      </c>
      <c r="CC12" s="117">
        <v>0</v>
      </c>
      <c r="CD12" s="117">
        <v>2.61835</v>
      </c>
      <c r="CE12" s="117">
        <v>717.13037999999995</v>
      </c>
      <c r="CF12" s="117">
        <v>132.57900100000001</v>
      </c>
      <c r="CG12" s="117">
        <v>285.89457800000002</v>
      </c>
      <c r="CH12" s="117">
        <v>434.26917800000001</v>
      </c>
      <c r="CI12" s="117">
        <v>456.42959500000001</v>
      </c>
      <c r="CJ12" s="117">
        <v>0</v>
      </c>
      <c r="CK12" s="117">
        <v>1.682159</v>
      </c>
      <c r="CL12" s="117">
        <v>615.41651899999999</v>
      </c>
      <c r="CM12" s="117">
        <v>114.225191</v>
      </c>
      <c r="CN12" s="117">
        <v>247.960037</v>
      </c>
      <c r="CO12" s="117">
        <v>370.555114</v>
      </c>
      <c r="CP12" s="117">
        <v>386.645014</v>
      </c>
      <c r="CQ12" s="117">
        <v>0</v>
      </c>
      <c r="CR12" s="117">
        <v>1.8303590000000001</v>
      </c>
      <c r="CS12" s="117">
        <v>643.30347099999994</v>
      </c>
      <c r="CT12" s="117">
        <v>126.48639799999999</v>
      </c>
      <c r="CU12" s="117">
        <v>268.532241</v>
      </c>
      <c r="CV12" s="117">
        <v>384.679394</v>
      </c>
      <c r="CW12" s="117">
        <v>403.03536800000001</v>
      </c>
      <c r="CX12" s="117">
        <v>0</v>
      </c>
      <c r="CY12" s="117">
        <v>1.997503</v>
      </c>
      <c r="CZ12" s="117">
        <v>648.64442399999996</v>
      </c>
      <c r="DA12" s="117">
        <v>123.658356</v>
      </c>
      <c r="DB12" s="117">
        <v>260.49208299999998</v>
      </c>
      <c r="DC12" s="117">
        <v>390.47269299999999</v>
      </c>
      <c r="DD12" s="117">
        <v>405.95407899999998</v>
      </c>
      <c r="DE12" s="117">
        <v>0</v>
      </c>
      <c r="DF12" s="117">
        <v>1.895432</v>
      </c>
      <c r="DG12" s="117">
        <v>682.92672600000003</v>
      </c>
      <c r="DH12" s="117">
        <v>120.84914000000001</v>
      </c>
      <c r="DI12" s="117">
        <v>273.33374800000001</v>
      </c>
      <c r="DJ12" s="117">
        <v>417.05651499999999</v>
      </c>
      <c r="DK12" s="117">
        <v>437.798158</v>
      </c>
      <c r="DL12" s="117">
        <v>0</v>
      </c>
      <c r="DM12" s="117">
        <v>2.3370600000000001</v>
      </c>
      <c r="DN12" s="117">
        <v>713.963661</v>
      </c>
      <c r="DO12" s="117">
        <v>135.362728</v>
      </c>
      <c r="DP12" s="117">
        <v>296.08007099999998</v>
      </c>
      <c r="DQ12" s="117">
        <v>431.23880700000001</v>
      </c>
      <c r="DR12" s="117">
        <v>455.48913099999999</v>
      </c>
      <c r="DS12" s="117">
        <v>0</v>
      </c>
      <c r="DT12" s="117">
        <v>2.1843159999999999</v>
      </c>
      <c r="DU12" s="117">
        <v>669.96175100000005</v>
      </c>
      <c r="DV12" s="117">
        <v>127.619913</v>
      </c>
      <c r="DW12" s="117">
        <v>269.30568199999999</v>
      </c>
      <c r="DX12" s="117">
        <v>403.62197700000002</v>
      </c>
      <c r="DY12" s="117">
        <v>419.64981899999998</v>
      </c>
      <c r="DZ12" s="117">
        <v>0</v>
      </c>
      <c r="EA12" s="117">
        <v>1.7083299999999999</v>
      </c>
      <c r="EB12" s="117">
        <v>636.19687299999998</v>
      </c>
      <c r="EC12" s="117">
        <v>117.987281</v>
      </c>
      <c r="ED12" s="117">
        <v>256.88658299999997</v>
      </c>
      <c r="EE12" s="117">
        <v>383.95847300000003</v>
      </c>
      <c r="EF12" s="117">
        <v>398.93994199999997</v>
      </c>
      <c r="EG12" s="117">
        <v>0</v>
      </c>
      <c r="EH12" s="117">
        <v>1.9944500000000001</v>
      </c>
      <c r="EI12" s="117">
        <v>627.43730300000004</v>
      </c>
      <c r="EJ12" s="117">
        <v>125.008616</v>
      </c>
      <c r="EK12" s="117">
        <v>261.29082</v>
      </c>
      <c r="EL12" s="117">
        <v>372.613024</v>
      </c>
      <c r="EM12" s="117">
        <v>390.95176099999998</v>
      </c>
      <c r="EN12" s="117">
        <v>0</v>
      </c>
      <c r="EO12" s="117">
        <v>1.291425</v>
      </c>
      <c r="EP12" s="117">
        <v>696.20232099999998</v>
      </c>
      <c r="EQ12" s="117">
        <v>125.821916</v>
      </c>
      <c r="ER12" s="117">
        <v>277.39373499999999</v>
      </c>
      <c r="ES12" s="117">
        <v>427.11192899999998</v>
      </c>
      <c r="ET12" s="117">
        <v>443.374752</v>
      </c>
      <c r="EU12" s="117">
        <v>0</v>
      </c>
      <c r="EV12" s="117">
        <v>1.80271</v>
      </c>
      <c r="EW12" s="117">
        <v>692.41403000000003</v>
      </c>
      <c r="EX12" s="117">
        <v>123.00132600000001</v>
      </c>
      <c r="EY12" s="117">
        <v>277.40480200000002</v>
      </c>
      <c r="EZ12" s="117">
        <v>422.90516300000002</v>
      </c>
      <c r="FA12" s="117">
        <v>442.367143</v>
      </c>
      <c r="FB12" s="117">
        <v>0</v>
      </c>
      <c r="FC12" s="117">
        <v>1.6838630000000001</v>
      </c>
      <c r="FD12" s="117">
        <v>654.38864599999999</v>
      </c>
      <c r="FE12" s="117">
        <v>128.67389399999999</v>
      </c>
      <c r="FF12" s="117">
        <v>273.69420300000002</v>
      </c>
      <c r="FG12" s="117">
        <v>392.13991700000003</v>
      </c>
      <c r="FH12" s="117">
        <v>409.24123600000001</v>
      </c>
      <c r="FI12" s="117">
        <v>0</v>
      </c>
      <c r="FJ12" s="117">
        <v>1.871337</v>
      </c>
      <c r="FK12" s="117">
        <v>656.66333999999995</v>
      </c>
      <c r="FL12" s="117">
        <v>126.52663200000001</v>
      </c>
      <c r="FM12" s="117">
        <v>263.863201</v>
      </c>
      <c r="FN12" s="117">
        <v>394.34634699999998</v>
      </c>
      <c r="FO12" s="117">
        <v>408.07639499999999</v>
      </c>
      <c r="FP12" s="117">
        <v>0</v>
      </c>
      <c r="FQ12" s="117">
        <v>1.9257660000000001</v>
      </c>
      <c r="FR12" s="117">
        <v>673.98169800000005</v>
      </c>
      <c r="FS12" s="117">
        <v>125.217635</v>
      </c>
      <c r="FT12" s="117">
        <v>272.79261400000001</v>
      </c>
      <c r="FU12" s="117">
        <v>407.111625</v>
      </c>
      <c r="FV12" s="117">
        <v>421.85278699999998</v>
      </c>
      <c r="FW12" s="117">
        <v>0</v>
      </c>
      <c r="FX12" s="117">
        <v>1.070603</v>
      </c>
      <c r="FY12" s="117">
        <v>668.97245599999997</v>
      </c>
      <c r="FZ12" s="117">
        <v>130.287711</v>
      </c>
      <c r="GA12" s="117">
        <v>280.69717400000002</v>
      </c>
      <c r="GB12" s="117">
        <v>404.23390899999998</v>
      </c>
      <c r="GC12" s="117">
        <v>418.116668</v>
      </c>
      <c r="GD12" s="117">
        <v>0</v>
      </c>
      <c r="GE12" s="117">
        <v>1.5930150000000001</v>
      </c>
      <c r="GF12" s="117">
        <v>730.63141700000006</v>
      </c>
      <c r="GG12" s="117">
        <v>132.992266</v>
      </c>
      <c r="GH12" s="117">
        <v>291.50182599999999</v>
      </c>
      <c r="GI12" s="117">
        <v>447.27293100000003</v>
      </c>
      <c r="GJ12" s="117">
        <v>464.36240500000002</v>
      </c>
      <c r="GK12" s="117">
        <v>0</v>
      </c>
      <c r="GL12" s="117">
        <v>1.708636</v>
      </c>
      <c r="GM12" s="117">
        <v>698.55732999999998</v>
      </c>
      <c r="GN12" s="117">
        <v>121.04176699999999</v>
      </c>
      <c r="GO12" s="117">
        <v>280.20015899999999</v>
      </c>
      <c r="GP12" s="117">
        <v>430.49061799999998</v>
      </c>
      <c r="GQ12" s="117">
        <v>450.31732199999999</v>
      </c>
      <c r="GR12" s="117">
        <v>0</v>
      </c>
      <c r="GS12" s="117">
        <v>1.9912209999999999</v>
      </c>
      <c r="GT12" s="117">
        <v>672.60293799999999</v>
      </c>
      <c r="GU12" s="117">
        <v>130.28947400000001</v>
      </c>
      <c r="GV12" s="117">
        <v>281.98231099999998</v>
      </c>
      <c r="GW12" s="117">
        <v>405.06298099999998</v>
      </c>
      <c r="GX12" s="117">
        <v>425.064933</v>
      </c>
      <c r="GY12" s="117">
        <v>0</v>
      </c>
      <c r="GZ12" s="117">
        <v>1.6530549999999999</v>
      </c>
      <c r="HA12" s="117">
        <v>713.12093300000004</v>
      </c>
      <c r="HB12" s="117">
        <v>131.04270199999999</v>
      </c>
      <c r="HC12" s="117">
        <v>287.16605499999997</v>
      </c>
      <c r="HD12" s="117">
        <v>437.27839699999998</v>
      </c>
      <c r="HE12" s="117">
        <v>451.57288699999998</v>
      </c>
      <c r="HF12" s="117">
        <v>0</v>
      </c>
    </row>
    <row r="13" spans="1:214" x14ac:dyDescent="0.25">
      <c r="F13" s="116" t="str">
        <f xml:space="preserve"> _xll.EPMOlapMemberO("[PRDDESCR].[].[HELGAS GFREE MIXED GRAIN 500G]","","HELGAS GFREE MIXED GRAIN 500G","","000")</f>
        <v>HELGAS GFREE MIXED GRAIN 500G</v>
      </c>
      <c r="G13" s="116" t="str">
        <f xml:space="preserve"> _xll.EPMOlapMemberO("[PRDID].[].[168847]","","168847","","000")</f>
        <v>168847</v>
      </c>
      <c r="H13" s="116" t="str">
        <f xml:space="preserve"> _xll.EPMOlapMemberO("[LOCID].[].[6130]","","6130","","000")</f>
        <v>6130</v>
      </c>
      <c r="I13" s="116" t="str">
        <f xml:space="preserve"> _xll.EPMOlapMemberO("[LOCDESCR].[].[QBA-Canning Vale]","","QBA-Canning Vale","","000")</f>
        <v>QBA-Canning Vale</v>
      </c>
      <c r="J13" s="116" t="str">
        <f xml:space="preserve"> _xll.EPMOlapMemberO("[KEY_FIGURES].[].[ZGFAPPROVEDFCSTQTY]","","Approved Forecast","","000")</f>
        <v>Approved Forecast</v>
      </c>
      <c r="K13" s="117">
        <v>161.976294</v>
      </c>
      <c r="L13" s="117">
        <v>161.97622100000001</v>
      </c>
      <c r="M13" s="117">
        <v>137.192418</v>
      </c>
      <c r="N13" s="117">
        <v>137.19235800000001</v>
      </c>
      <c r="O13" s="117">
        <v>137.19228699999999</v>
      </c>
      <c r="P13" s="117">
        <v>144.718975</v>
      </c>
      <c r="Q13" s="117">
        <v>144.71896799999999</v>
      </c>
      <c r="R13" s="117">
        <v>138.51659000000001</v>
      </c>
      <c r="S13" s="117">
        <v>138.51655400000001</v>
      </c>
      <c r="T13" s="117">
        <v>138.721315</v>
      </c>
      <c r="U13" s="117">
        <v>138.72125700000001</v>
      </c>
      <c r="V13" s="117">
        <v>138.72106199999999</v>
      </c>
      <c r="W13" s="117">
        <v>145.78685899999999</v>
      </c>
      <c r="X13" s="117">
        <v>145.786835</v>
      </c>
      <c r="Y13" s="117">
        <v>138.053754</v>
      </c>
      <c r="Z13" s="117">
        <v>138.05371700000001</v>
      </c>
      <c r="AA13" s="117">
        <v>138.141446</v>
      </c>
      <c r="AB13" s="117">
        <v>138.1414</v>
      </c>
      <c r="AC13" s="117">
        <v>138.14134100000001</v>
      </c>
      <c r="AD13" s="117">
        <v>146.869721</v>
      </c>
      <c r="AE13" s="117">
        <v>146.86971399999999</v>
      </c>
      <c r="AF13" s="117">
        <v>114.58529900000001</v>
      </c>
      <c r="AG13" s="117">
        <v>114.585211</v>
      </c>
      <c r="AH13" s="117">
        <v>128.948148</v>
      </c>
      <c r="AI13" s="117">
        <v>128.94814299999999</v>
      </c>
      <c r="AJ13" s="117">
        <v>128.94810799999999</v>
      </c>
      <c r="AK13" s="117">
        <v>143.344562</v>
      </c>
      <c r="AL13" s="117">
        <v>143.34450899999999</v>
      </c>
      <c r="AM13" s="117">
        <v>119.358041</v>
      </c>
      <c r="AN13" s="117">
        <v>119.35796000000001</v>
      </c>
      <c r="AO13" s="117">
        <v>119.358023</v>
      </c>
      <c r="AP13" s="117">
        <v>119.357961</v>
      </c>
      <c r="AQ13" s="117">
        <v>119.357951</v>
      </c>
      <c r="AR13" s="117">
        <v>132.675579</v>
      </c>
      <c r="AS13" s="117">
        <v>132.67553599999999</v>
      </c>
      <c r="AT13" s="117">
        <v>119.338413</v>
      </c>
      <c r="AU13" s="117">
        <v>119.33835999999999</v>
      </c>
      <c r="AV13" s="117">
        <v>135.45965200000001</v>
      </c>
      <c r="AW13" s="117">
        <v>135.45959199999999</v>
      </c>
      <c r="AX13" s="117">
        <v>135.459553</v>
      </c>
      <c r="AY13" s="117">
        <v>141.923045</v>
      </c>
      <c r="AZ13" s="117">
        <v>141.92303000000001</v>
      </c>
      <c r="BA13" s="117">
        <v>135.46464599999999</v>
      </c>
      <c r="BB13" s="117">
        <v>135.46450999999999</v>
      </c>
      <c r="BC13" s="117">
        <v>135.26614699999999</v>
      </c>
      <c r="BD13" s="117">
        <v>135.26604499999999</v>
      </c>
      <c r="BE13" s="117">
        <v>135.26606699999999</v>
      </c>
      <c r="BF13" s="117">
        <v>141.72854100000001</v>
      </c>
      <c r="BG13" s="117">
        <v>141.728523</v>
      </c>
      <c r="BH13" s="117">
        <v>135.27112299999999</v>
      </c>
      <c r="BI13" s="117">
        <v>135.27103500000001</v>
      </c>
      <c r="BJ13" s="117">
        <v>119.299221</v>
      </c>
      <c r="BK13" s="117">
        <v>119.299184</v>
      </c>
      <c r="BL13" s="117">
        <v>119.299148</v>
      </c>
      <c r="BM13" s="117">
        <v>132.61034100000001</v>
      </c>
      <c r="BN13" s="117">
        <v>132.610331</v>
      </c>
      <c r="BO13" s="117">
        <v>119.27985</v>
      </c>
      <c r="BP13" s="117">
        <v>119.279798</v>
      </c>
      <c r="BQ13" s="117">
        <v>119.279813</v>
      </c>
      <c r="BR13" s="117">
        <v>119.27977199999999</v>
      </c>
      <c r="BS13" s="117">
        <v>119.279696</v>
      </c>
      <c r="BT13" s="117">
        <v>132.588954</v>
      </c>
      <c r="BU13" s="117">
        <v>132.58893499999999</v>
      </c>
      <c r="BV13" s="117">
        <v>131.631978</v>
      </c>
      <c r="BW13" s="117">
        <v>131.63190700000001</v>
      </c>
      <c r="BX13" s="117">
        <v>149.87195199999999</v>
      </c>
      <c r="BY13" s="117">
        <v>149.87190000000001</v>
      </c>
      <c r="BZ13" s="117">
        <v>149.871906</v>
      </c>
      <c r="CA13" s="117">
        <v>156.78290000000001</v>
      </c>
      <c r="CB13" s="117">
        <v>156.78286</v>
      </c>
      <c r="CC13" s="117">
        <v>149.877071</v>
      </c>
      <c r="CD13" s="117">
        <v>149.87689</v>
      </c>
      <c r="CE13" s="117">
        <v>149.652287</v>
      </c>
      <c r="CF13" s="117">
        <v>149.65224000000001</v>
      </c>
      <c r="CG13" s="117">
        <v>149.652242</v>
      </c>
      <c r="CH13" s="117">
        <v>156.562578</v>
      </c>
      <c r="CI13" s="117">
        <v>156.56252900000001</v>
      </c>
      <c r="CJ13" s="117">
        <v>149.65749299999999</v>
      </c>
      <c r="CK13" s="117">
        <v>149.657399</v>
      </c>
      <c r="CL13" s="117">
        <v>131.59297799999999</v>
      </c>
      <c r="CM13" s="117">
        <v>131.59291300000001</v>
      </c>
      <c r="CN13" s="117">
        <v>131.59284099999999</v>
      </c>
      <c r="CO13" s="117">
        <v>146.22305600000001</v>
      </c>
      <c r="CP13" s="117">
        <v>146.22297399999999</v>
      </c>
      <c r="CQ13" s="117">
        <v>131.57329799999999</v>
      </c>
      <c r="CR13" s="117">
        <v>131.57324600000001</v>
      </c>
      <c r="CS13" s="117">
        <v>131.573261</v>
      </c>
      <c r="CT13" s="117">
        <v>131.57321400000001</v>
      </c>
      <c r="CU13" s="117">
        <v>131.57317900000001</v>
      </c>
      <c r="CV13" s="117">
        <v>146.20127400000001</v>
      </c>
      <c r="CW13" s="117">
        <v>146.20123599999999</v>
      </c>
      <c r="CX13" s="117">
        <v>128.16732099999999</v>
      </c>
      <c r="CY13" s="117">
        <v>128.167261</v>
      </c>
      <c r="CZ13" s="117">
        <v>128.16727700000001</v>
      </c>
      <c r="DA13" s="117">
        <v>128.16721799999999</v>
      </c>
      <c r="DB13" s="117">
        <v>128.16713300000001</v>
      </c>
      <c r="DC13" s="117">
        <v>142.327742</v>
      </c>
      <c r="DD13" s="117">
        <v>142.32771500000001</v>
      </c>
      <c r="DE13" s="117">
        <v>128.14747700000001</v>
      </c>
      <c r="DF13" s="117">
        <v>128.147425</v>
      </c>
      <c r="DG13" s="117">
        <v>145.94183200000001</v>
      </c>
      <c r="DH13" s="117">
        <v>145.94173900000001</v>
      </c>
      <c r="DI13" s="117">
        <v>145.94167300000001</v>
      </c>
      <c r="DJ13" s="117">
        <v>152.30115900000001</v>
      </c>
      <c r="DK13" s="117">
        <v>152.30110199999999</v>
      </c>
      <c r="DL13" s="117">
        <v>145.946787</v>
      </c>
      <c r="DM13" s="117">
        <v>145.946685</v>
      </c>
      <c r="DN13" s="117">
        <v>145.72274300000001</v>
      </c>
      <c r="DO13" s="117">
        <v>145.72269399999999</v>
      </c>
      <c r="DP13" s="117">
        <v>145.72270700000001</v>
      </c>
      <c r="DQ13" s="117">
        <v>152.081591</v>
      </c>
      <c r="DR13" s="117">
        <v>152.08155199999999</v>
      </c>
      <c r="DS13" s="117">
        <v>145.72757100000001</v>
      </c>
      <c r="DT13" s="117">
        <v>145.727429</v>
      </c>
      <c r="DU13" s="117">
        <v>128.10832600000001</v>
      </c>
      <c r="DV13" s="117">
        <v>128.10828900000001</v>
      </c>
      <c r="DW13" s="117">
        <v>128.10825299999999</v>
      </c>
      <c r="DX13" s="117">
        <v>142.262775</v>
      </c>
      <c r="DY13" s="117">
        <v>142.26274900000001</v>
      </c>
      <c r="DZ13" s="117">
        <v>140.23392000000001</v>
      </c>
      <c r="EA13" s="117">
        <v>140.23383999999999</v>
      </c>
      <c r="EB13" s="117">
        <v>140.23385500000001</v>
      </c>
      <c r="EC13" s="117">
        <v>140.23381800000001</v>
      </c>
      <c r="ED13" s="117">
        <v>140.23372900000001</v>
      </c>
      <c r="EE13" s="117">
        <v>155.71717000000001</v>
      </c>
      <c r="EF13" s="117">
        <v>155.71714399999999</v>
      </c>
      <c r="EG13" s="117">
        <v>140.21437700000001</v>
      </c>
      <c r="EH13" s="117">
        <v>140.21431799999999</v>
      </c>
      <c r="EI13" s="117">
        <v>140.21431999999999</v>
      </c>
      <c r="EJ13" s="117">
        <v>140.21428299999999</v>
      </c>
      <c r="EK13" s="117">
        <v>140.214248</v>
      </c>
      <c r="EL13" s="117">
        <v>155.69567900000001</v>
      </c>
      <c r="EM13" s="117">
        <v>155.69562199999999</v>
      </c>
      <c r="EN13" s="117">
        <v>140.19473600000001</v>
      </c>
      <c r="EO13" s="117">
        <v>140.194648</v>
      </c>
      <c r="EP13" s="117">
        <v>158.940245</v>
      </c>
      <c r="EQ13" s="117">
        <v>158.94017299999999</v>
      </c>
      <c r="ER13" s="117">
        <v>158.94007999999999</v>
      </c>
      <c r="ES13" s="117">
        <v>165.85472100000001</v>
      </c>
      <c r="ET13" s="117">
        <v>165.85453699999999</v>
      </c>
      <c r="EU13" s="117">
        <v>158.94509199999999</v>
      </c>
      <c r="EV13" s="117">
        <v>158.94488799999999</v>
      </c>
      <c r="EW13" s="117">
        <v>158.702068</v>
      </c>
      <c r="EX13" s="117">
        <v>158.70199600000001</v>
      </c>
      <c r="EY13" s="117">
        <v>158.70215300000001</v>
      </c>
      <c r="EZ13" s="117">
        <v>165.61586500000001</v>
      </c>
      <c r="FA13" s="117">
        <v>165.61583300000001</v>
      </c>
      <c r="FB13" s="117">
        <v>158.707134</v>
      </c>
      <c r="FC13" s="117">
        <v>158.70703900000001</v>
      </c>
      <c r="FD13" s="117">
        <v>140.15562499999999</v>
      </c>
      <c r="FE13" s="117">
        <v>140.15558799999999</v>
      </c>
      <c r="FF13" s="117">
        <v>140.15549899999999</v>
      </c>
      <c r="FG13" s="117">
        <v>155.63027299999999</v>
      </c>
      <c r="FH13" s="117">
        <v>155.630247</v>
      </c>
      <c r="FI13" s="117">
        <v>136.14665099999999</v>
      </c>
      <c r="FJ13" s="117">
        <v>136.14658399999999</v>
      </c>
      <c r="FK13" s="117">
        <v>136.14658800000001</v>
      </c>
      <c r="FL13" s="117">
        <v>136.14651499999999</v>
      </c>
      <c r="FM13" s="117">
        <v>136.146772</v>
      </c>
      <c r="FN13" s="117">
        <v>151.192408</v>
      </c>
      <c r="FO13" s="117">
        <v>151.19238200000001</v>
      </c>
      <c r="FP13" s="117">
        <v>136.127343</v>
      </c>
      <c r="FQ13" s="117">
        <v>136.127242</v>
      </c>
      <c r="FR13" s="117">
        <v>136.12719000000001</v>
      </c>
      <c r="FS13" s="117">
        <v>136.12697399999999</v>
      </c>
      <c r="FT13" s="117">
        <v>136.12679399999999</v>
      </c>
      <c r="FU13" s="117">
        <v>151.17057500000001</v>
      </c>
      <c r="FV13" s="117">
        <v>151.17054899999999</v>
      </c>
      <c r="FW13" s="117">
        <v>136.10753199999999</v>
      </c>
      <c r="FX13" s="117">
        <v>136.10747799999999</v>
      </c>
      <c r="FY13" s="117">
        <v>136.10741200000001</v>
      </c>
      <c r="FZ13" s="117">
        <v>136.10737499999999</v>
      </c>
      <c r="GA13" s="117">
        <v>136.10765900000001</v>
      </c>
      <c r="GB13" s="117">
        <v>151.148946</v>
      </c>
      <c r="GC13" s="117">
        <v>151.14891900000001</v>
      </c>
      <c r="GD13" s="117">
        <v>136.08792500000001</v>
      </c>
      <c r="GE13" s="117">
        <v>136.08787100000001</v>
      </c>
      <c r="GF13" s="117">
        <v>156.09003100000001</v>
      </c>
      <c r="GG13" s="117">
        <v>156.089989</v>
      </c>
      <c r="GH13" s="117">
        <v>156.09021999999999</v>
      </c>
      <c r="GI13" s="117">
        <v>162.85816600000001</v>
      </c>
      <c r="GJ13" s="117">
        <v>162.85813300000001</v>
      </c>
      <c r="GK13" s="117">
        <v>150.04375200000001</v>
      </c>
      <c r="GL13" s="117">
        <v>150.043631</v>
      </c>
      <c r="GM13" s="117">
        <v>146.029236</v>
      </c>
      <c r="GN13" s="117">
        <v>146.029201</v>
      </c>
      <c r="GO13" s="117">
        <v>146.02919299999999</v>
      </c>
      <c r="GP13" s="117">
        <v>153.162589</v>
      </c>
      <c r="GQ13" s="117">
        <v>153.162553</v>
      </c>
      <c r="GR13" s="117">
        <v>146.03369900000001</v>
      </c>
      <c r="GS13" s="117">
        <v>146.03358700000001</v>
      </c>
      <c r="GT13" s="117">
        <v>131.707066</v>
      </c>
      <c r="GU13" s="117">
        <v>131.70701700000001</v>
      </c>
      <c r="GV13" s="117">
        <v>131.70692</v>
      </c>
      <c r="GW13" s="117">
        <v>146.40255300000001</v>
      </c>
      <c r="GX13" s="117">
        <v>146.40251000000001</v>
      </c>
      <c r="GY13" s="117">
        <v>131.68757199999999</v>
      </c>
      <c r="GZ13" s="117">
        <v>131.68752000000001</v>
      </c>
      <c r="HA13" s="117">
        <v>131.687534</v>
      </c>
      <c r="HB13" s="117">
        <v>131.68749700000001</v>
      </c>
      <c r="HC13" s="117">
        <v>131.68746200000001</v>
      </c>
      <c r="HD13" s="117">
        <v>146.38092800000001</v>
      </c>
      <c r="HE13" s="117">
        <v>146.38090199999999</v>
      </c>
      <c r="HF13" s="117">
        <v>131.66795300000001</v>
      </c>
    </row>
    <row r="14" spans="1:214" x14ac:dyDescent="0.25">
      <c r="F14" s="116" t="str">
        <f xml:space="preserve"> _xll.EPMOlapMemberO("[PRDDESCR].[].[HELGAS GFREE MIXED GRAIN 500G]","","HELGAS GFREE MIXED GRAIN 500G","","000")</f>
        <v>HELGAS GFREE MIXED GRAIN 500G</v>
      </c>
      <c r="G14" s="116" t="str">
        <f xml:space="preserve"> _xll.EPMOlapMemberO("[PRDID].[].[168847]","","168847","","000")</f>
        <v>168847</v>
      </c>
      <c r="H14" s="116" t="str">
        <f xml:space="preserve"> _xll.EPMOlapMemberO("[LOCID].[].[6134]","","6134","","000")</f>
        <v>6134</v>
      </c>
      <c r="I14" s="116" t="str">
        <f xml:space="preserve"> _xll.EPMOlapMemberO("[LOCDESCR].[].[QBA-West Richmond SA]","","QBA-West Richmond SA","","000")</f>
        <v>QBA-West Richmond SA</v>
      </c>
      <c r="J14" s="116" t="str">
        <f xml:space="preserve"> _xll.EPMOlapMemberO("[KEY_FIGURES].[].[ZGFAPPROVEDFCSTQTY]","","Approved Forecast","","000")</f>
        <v>Approved Forecast</v>
      </c>
      <c r="K14" s="117">
        <v>367.27065900000002</v>
      </c>
      <c r="L14" s="117">
        <v>139.71163100000001</v>
      </c>
      <c r="M14" s="117">
        <v>303.34044699999998</v>
      </c>
      <c r="N14" s="117">
        <v>152.82466299999999</v>
      </c>
      <c r="O14" s="117">
        <v>271.36199900000003</v>
      </c>
      <c r="P14" s="117">
        <v>172.343873</v>
      </c>
      <c r="Q14" s="117">
        <v>88.728262000000001</v>
      </c>
      <c r="R14" s="117">
        <v>316.13284399999998</v>
      </c>
      <c r="S14" s="117">
        <v>116.25395899999999</v>
      </c>
      <c r="T14" s="117">
        <v>275.549128</v>
      </c>
      <c r="U14" s="117">
        <v>142.06561500000001</v>
      </c>
      <c r="V14" s="117">
        <v>249.03065900000001</v>
      </c>
      <c r="W14" s="117">
        <v>155.75462999999999</v>
      </c>
      <c r="X14" s="117">
        <v>77.975380000000001</v>
      </c>
      <c r="Y14" s="117">
        <v>346.791875</v>
      </c>
      <c r="Z14" s="117">
        <v>131.01378299999999</v>
      </c>
      <c r="AA14" s="117">
        <v>308.45420999999999</v>
      </c>
      <c r="AB14" s="117">
        <v>156.80276900000001</v>
      </c>
      <c r="AC14" s="117">
        <v>275.59209800000002</v>
      </c>
      <c r="AD14" s="117">
        <v>173.59413900000001</v>
      </c>
      <c r="AE14" s="117">
        <v>87.649925999999994</v>
      </c>
      <c r="AF14" s="117">
        <v>331.02345400000002</v>
      </c>
      <c r="AG14" s="117">
        <v>124.747353</v>
      </c>
      <c r="AH14" s="117">
        <v>306.73863699999998</v>
      </c>
      <c r="AI14" s="117">
        <v>154.654483</v>
      </c>
      <c r="AJ14" s="117">
        <v>271.369958</v>
      </c>
      <c r="AK14" s="117">
        <v>172.44229899999999</v>
      </c>
      <c r="AL14" s="117">
        <v>84.960012000000006</v>
      </c>
      <c r="AM14" s="117">
        <v>333.60143900000003</v>
      </c>
      <c r="AN14" s="117">
        <v>125.616091</v>
      </c>
      <c r="AO14" s="117">
        <v>301.686262</v>
      </c>
      <c r="AP14" s="117">
        <v>151.22394800000001</v>
      </c>
      <c r="AQ14" s="117">
        <v>266.598184</v>
      </c>
      <c r="AR14" s="117">
        <v>169.164827</v>
      </c>
      <c r="AS14" s="117">
        <v>83.591918000000007</v>
      </c>
      <c r="AT14" s="117">
        <v>335.57613400000002</v>
      </c>
      <c r="AU14" s="117">
        <v>126.813772</v>
      </c>
      <c r="AV14" s="117">
        <v>316.00418500000001</v>
      </c>
      <c r="AW14" s="117">
        <v>160.114677</v>
      </c>
      <c r="AX14" s="117">
        <v>278.97899999999998</v>
      </c>
      <c r="AY14" s="117">
        <v>178.204643</v>
      </c>
      <c r="AZ14" s="117">
        <v>88.739711999999997</v>
      </c>
      <c r="BA14" s="117">
        <v>352.36103200000002</v>
      </c>
      <c r="BB14" s="117">
        <v>137.18849399999999</v>
      </c>
      <c r="BC14" s="117">
        <v>318.97903100000002</v>
      </c>
      <c r="BD14" s="117">
        <v>163.67028500000001</v>
      </c>
      <c r="BE14" s="117">
        <v>282.62433499999997</v>
      </c>
      <c r="BF14" s="117">
        <v>181.48191199999999</v>
      </c>
      <c r="BG14" s="117">
        <v>89.259668000000005</v>
      </c>
      <c r="BH14" s="117">
        <v>350.25986599999999</v>
      </c>
      <c r="BI14" s="117">
        <v>135.34956199999999</v>
      </c>
      <c r="BJ14" s="117">
        <v>305.57787200000001</v>
      </c>
      <c r="BK14" s="117">
        <v>153.25388100000001</v>
      </c>
      <c r="BL14" s="117">
        <v>270.10622499999999</v>
      </c>
      <c r="BM14" s="117">
        <v>171.58313000000001</v>
      </c>
      <c r="BN14" s="117">
        <v>84.623474000000002</v>
      </c>
      <c r="BO14" s="117">
        <v>339.23460999999998</v>
      </c>
      <c r="BP14" s="117">
        <v>127.743686</v>
      </c>
      <c r="BQ14" s="117">
        <v>307.42380700000001</v>
      </c>
      <c r="BR14" s="117">
        <v>153.991941</v>
      </c>
      <c r="BS14" s="117">
        <v>272.07588299999998</v>
      </c>
      <c r="BT14" s="117">
        <v>173.29804899999999</v>
      </c>
      <c r="BU14" s="117">
        <v>84.511396000000005</v>
      </c>
      <c r="BV14" s="117">
        <v>349.24990400000002</v>
      </c>
      <c r="BW14" s="117">
        <v>131.52378200000001</v>
      </c>
      <c r="BX14" s="117">
        <v>328.15165500000001</v>
      </c>
      <c r="BY14" s="117">
        <v>167.36519799999999</v>
      </c>
      <c r="BZ14" s="117">
        <v>290.42575199999999</v>
      </c>
      <c r="CA14" s="117">
        <v>185.76844600000001</v>
      </c>
      <c r="CB14" s="117">
        <v>91.612543000000002</v>
      </c>
      <c r="CC14" s="117">
        <v>367.90125699999999</v>
      </c>
      <c r="CD14" s="117">
        <v>142.31890200000001</v>
      </c>
      <c r="CE14" s="117">
        <v>333.19833299999999</v>
      </c>
      <c r="CF14" s="117">
        <v>169.42230900000001</v>
      </c>
      <c r="CG14" s="117">
        <v>294.68169</v>
      </c>
      <c r="CH14" s="117">
        <v>188.58967000000001</v>
      </c>
      <c r="CI14" s="117">
        <v>93.108645999999993</v>
      </c>
      <c r="CJ14" s="117">
        <v>363.85650900000002</v>
      </c>
      <c r="CK14" s="117">
        <v>140.091013</v>
      </c>
      <c r="CL14" s="117">
        <v>315.94355300000001</v>
      </c>
      <c r="CM14" s="117">
        <v>159.044971</v>
      </c>
      <c r="CN14" s="117">
        <v>279.64501000000001</v>
      </c>
      <c r="CO14" s="117">
        <v>177.49477200000001</v>
      </c>
      <c r="CP14" s="117">
        <v>87.188160999999994</v>
      </c>
      <c r="CQ14" s="117">
        <v>354.39849199999998</v>
      </c>
      <c r="CR14" s="117">
        <v>133.46759599999999</v>
      </c>
      <c r="CS14" s="117">
        <v>319.78232800000001</v>
      </c>
      <c r="CT14" s="117">
        <v>161.710792</v>
      </c>
      <c r="CU14" s="117">
        <v>283.531948</v>
      </c>
      <c r="CV14" s="117">
        <v>180.595631</v>
      </c>
      <c r="CW14" s="117">
        <v>87.970867999999996</v>
      </c>
      <c r="CX14" s="117">
        <v>350.52682700000003</v>
      </c>
      <c r="CY14" s="117">
        <v>132.07919799999999</v>
      </c>
      <c r="CZ14" s="117">
        <v>316.75383099999999</v>
      </c>
      <c r="DA14" s="117">
        <v>159.17259000000001</v>
      </c>
      <c r="DB14" s="117">
        <v>279.991649</v>
      </c>
      <c r="DC14" s="117">
        <v>177.59062</v>
      </c>
      <c r="DD14" s="117">
        <v>87.754715000000004</v>
      </c>
      <c r="DE14" s="117">
        <v>353.36310700000001</v>
      </c>
      <c r="DF14" s="117">
        <v>134.28403499999999</v>
      </c>
      <c r="DG14" s="117">
        <v>331.62483900000001</v>
      </c>
      <c r="DH14" s="117">
        <v>171.034098</v>
      </c>
      <c r="DI14" s="117">
        <v>294.07992000000002</v>
      </c>
      <c r="DJ14" s="117">
        <v>188.76892599999999</v>
      </c>
      <c r="DK14" s="117">
        <v>92.758281999999994</v>
      </c>
      <c r="DL14" s="117">
        <v>368.47878400000002</v>
      </c>
      <c r="DM14" s="117">
        <v>142.76926</v>
      </c>
      <c r="DN14" s="117">
        <v>334.180699</v>
      </c>
      <c r="DO14" s="117">
        <v>169.88976500000001</v>
      </c>
      <c r="DP14" s="117">
        <v>295.63591700000001</v>
      </c>
      <c r="DQ14" s="117">
        <v>189.44387399999999</v>
      </c>
      <c r="DR14" s="117">
        <v>93.132763999999995</v>
      </c>
      <c r="DS14" s="117">
        <v>366.16300999999999</v>
      </c>
      <c r="DT14" s="117">
        <v>142.50991200000001</v>
      </c>
      <c r="DU14" s="117">
        <v>317.11991599999999</v>
      </c>
      <c r="DV14" s="117">
        <v>162.65782400000001</v>
      </c>
      <c r="DW14" s="117">
        <v>281.43788599999999</v>
      </c>
      <c r="DX14" s="117">
        <v>179.18350799999999</v>
      </c>
      <c r="DY14" s="117">
        <v>88.054595000000006</v>
      </c>
      <c r="DZ14" s="117">
        <v>355.647783</v>
      </c>
      <c r="EA14" s="117">
        <v>135.09507500000001</v>
      </c>
      <c r="EB14" s="117">
        <v>319.33088199999997</v>
      </c>
      <c r="EC14" s="117">
        <v>164.83702700000001</v>
      </c>
      <c r="ED14" s="117">
        <v>284.16540500000002</v>
      </c>
      <c r="EE14" s="117">
        <v>181.554991</v>
      </c>
      <c r="EF14" s="117">
        <v>88.128449000000003</v>
      </c>
      <c r="EG14" s="117">
        <v>350.87398899999999</v>
      </c>
      <c r="EH14" s="117">
        <v>131.65124299999999</v>
      </c>
      <c r="EI14" s="117">
        <v>316.34727900000001</v>
      </c>
      <c r="EJ14" s="117">
        <v>159.23381000000001</v>
      </c>
      <c r="EK14" s="117">
        <v>279.93187399999999</v>
      </c>
      <c r="EL14" s="117">
        <v>177.474154</v>
      </c>
      <c r="EM14" s="117">
        <v>87.259167000000005</v>
      </c>
      <c r="EN14" s="117">
        <v>359.08448800000002</v>
      </c>
      <c r="EO14" s="117">
        <v>135.44790499999999</v>
      </c>
      <c r="EP14" s="117">
        <v>338.03261199999997</v>
      </c>
      <c r="EQ14" s="117">
        <v>170.90045599999999</v>
      </c>
      <c r="ER14" s="117">
        <v>298.480076</v>
      </c>
      <c r="ES14" s="117">
        <v>190.71389300000001</v>
      </c>
      <c r="ET14" s="117">
        <v>94.520752999999999</v>
      </c>
      <c r="EU14" s="117">
        <v>361.22754099999997</v>
      </c>
      <c r="EV14" s="117">
        <v>138.834958</v>
      </c>
      <c r="EW14" s="117">
        <v>325.98849100000001</v>
      </c>
      <c r="EX14" s="117">
        <v>165.73048800000001</v>
      </c>
      <c r="EY14" s="117">
        <v>288.30004300000002</v>
      </c>
      <c r="EZ14" s="117">
        <v>183.84219300000001</v>
      </c>
      <c r="FA14" s="117">
        <v>90.802870999999996</v>
      </c>
      <c r="FB14" s="117">
        <v>364.82788199999999</v>
      </c>
      <c r="FC14" s="117">
        <v>140.62738999999999</v>
      </c>
      <c r="FD14" s="117">
        <v>316.42492299999998</v>
      </c>
      <c r="FE14" s="117">
        <v>160.26132000000001</v>
      </c>
      <c r="FF14" s="117">
        <v>280.24294099999997</v>
      </c>
      <c r="FG14" s="117">
        <v>177.69060500000001</v>
      </c>
      <c r="FH14" s="117">
        <v>87.454077999999996</v>
      </c>
      <c r="FI14" s="117">
        <v>357.71637199999998</v>
      </c>
      <c r="FJ14" s="117">
        <v>134.48784900000001</v>
      </c>
      <c r="FK14" s="117">
        <v>323.98804699999999</v>
      </c>
      <c r="FL14" s="117">
        <v>161.73712900000001</v>
      </c>
      <c r="FM14" s="117">
        <v>286.158345</v>
      </c>
      <c r="FN14" s="117">
        <v>181.50768299999999</v>
      </c>
      <c r="FO14" s="117">
        <v>89.492016000000007</v>
      </c>
      <c r="FP14" s="117">
        <v>350.68300099999999</v>
      </c>
      <c r="FQ14" s="117">
        <v>131.81760800000001</v>
      </c>
      <c r="FR14" s="117">
        <v>315.60470400000003</v>
      </c>
      <c r="FS14" s="117">
        <v>159.75606999999999</v>
      </c>
      <c r="FT14" s="117">
        <v>279.50672400000002</v>
      </c>
      <c r="FU14" s="117">
        <v>177.24155099999999</v>
      </c>
      <c r="FV14" s="117">
        <v>87.189986000000005</v>
      </c>
      <c r="FW14" s="117">
        <v>359.30009100000001</v>
      </c>
      <c r="FX14" s="117">
        <v>135.28515100000001</v>
      </c>
      <c r="FY14" s="117">
        <v>325.15038099999998</v>
      </c>
      <c r="FZ14" s="117">
        <v>163.022617</v>
      </c>
      <c r="GA14" s="117">
        <v>287.50587400000001</v>
      </c>
      <c r="GB14" s="117">
        <v>182.60923</v>
      </c>
      <c r="GC14" s="117">
        <v>89.726850999999996</v>
      </c>
      <c r="GD14" s="117">
        <v>351.62066299999998</v>
      </c>
      <c r="GE14" s="117">
        <v>132.098206</v>
      </c>
      <c r="GF14" s="117">
        <v>331.76317899999998</v>
      </c>
      <c r="GG14" s="117">
        <v>168.40983199999999</v>
      </c>
      <c r="GH14" s="117">
        <v>292.98607399999997</v>
      </c>
      <c r="GI14" s="117">
        <v>186.75797800000001</v>
      </c>
      <c r="GJ14" s="117">
        <v>92.900355000000005</v>
      </c>
      <c r="GK14" s="117">
        <v>369.83567299999999</v>
      </c>
      <c r="GL14" s="117">
        <v>142.22307499999999</v>
      </c>
      <c r="GM14" s="117">
        <v>330.707671</v>
      </c>
      <c r="GN14" s="117">
        <v>166.862492</v>
      </c>
      <c r="GO14" s="117">
        <v>292.11660000000001</v>
      </c>
      <c r="GP14" s="117">
        <v>186.04853900000001</v>
      </c>
      <c r="GQ14" s="117">
        <v>92.013803999999993</v>
      </c>
      <c r="GR14" s="117">
        <v>368.21754299999998</v>
      </c>
      <c r="GS14" s="117">
        <v>142.44181</v>
      </c>
      <c r="GT14" s="117">
        <v>320.21889599999997</v>
      </c>
      <c r="GU14" s="117">
        <v>165.14191600000001</v>
      </c>
      <c r="GV14" s="117">
        <v>284.80657500000001</v>
      </c>
      <c r="GW14" s="117">
        <v>181.47300799999999</v>
      </c>
      <c r="GX14" s="117">
        <v>88.405242000000001</v>
      </c>
      <c r="GY14" s="117">
        <v>374.11201899999998</v>
      </c>
      <c r="GZ14" s="117">
        <v>141.945887</v>
      </c>
      <c r="HA14" s="117">
        <v>339.35691200000002</v>
      </c>
      <c r="HB14" s="117">
        <v>170.40253300000001</v>
      </c>
      <c r="HC14" s="117">
        <v>299.84239000000002</v>
      </c>
      <c r="HD14" s="117">
        <v>190.73448200000001</v>
      </c>
      <c r="HE14" s="117">
        <v>94.284898999999996</v>
      </c>
      <c r="HF14" s="117">
        <v>339.34982200000002</v>
      </c>
    </row>
    <row r="15" spans="1:214" x14ac:dyDescent="0.25">
      <c r="F15" s="116" t="str">
        <f xml:space="preserve"> _xll.EPMOlapMemberO("[PRDDESCR].[].[HELGAS GFREE TRAD WHITE 470G]","","HELGAS GFREE TRAD WHITE 470G","","000")</f>
        <v>HELGAS GFREE TRAD WHITE 470G</v>
      </c>
      <c r="G15" s="116" t="str">
        <f xml:space="preserve"> _xll.EPMOlapMemberO("[PRDID].[].[168846]","","168846","","000")</f>
        <v>168846</v>
      </c>
      <c r="H15" s="116" t="str">
        <f xml:space="preserve"> _xll.EPMOlapMemberO("[LOCID].[].[6103]","","6103","","000")</f>
        <v>6103</v>
      </c>
      <c r="I15" s="116" t="str">
        <f xml:space="preserve"> _xll.EPMOlapMemberO("[LOCDESCR].[].[QBA-Canberra]","","QBA-Canberra","","000")</f>
        <v>QBA-Canberra</v>
      </c>
      <c r="J15" s="116" t="str">
        <f xml:space="preserve"> _xll.EPMOlapMemberO("[KEY_FIGURES].[].[ZGFAPPROVEDFCSTQTY]","","Approved Forecast","","000")</f>
        <v>Approved Forecast</v>
      </c>
      <c r="K15" s="117">
        <v>200.11191500000001</v>
      </c>
      <c r="L15" s="117">
        <v>125.644633</v>
      </c>
      <c r="M15" s="117">
        <v>106.18636600000001</v>
      </c>
      <c r="N15" s="117">
        <v>124.36462299999999</v>
      </c>
      <c r="O15" s="117">
        <v>99.475082999999998</v>
      </c>
      <c r="P15" s="117">
        <v>156.07328999999999</v>
      </c>
      <c r="Q15" s="117">
        <v>87.881513999999996</v>
      </c>
      <c r="R15" s="117">
        <v>177.36376799999999</v>
      </c>
      <c r="S15" s="117">
        <v>105.655101</v>
      </c>
      <c r="T15" s="117">
        <v>105.883695</v>
      </c>
      <c r="U15" s="117">
        <v>121.80389599999999</v>
      </c>
      <c r="V15" s="117">
        <v>95.737808000000001</v>
      </c>
      <c r="W15" s="117">
        <v>151.89288999999999</v>
      </c>
      <c r="X15" s="117">
        <v>82.594848999999996</v>
      </c>
      <c r="Y15" s="117">
        <v>177.662094</v>
      </c>
      <c r="Z15" s="117">
        <v>101.455685</v>
      </c>
      <c r="AA15" s="117">
        <v>105.97254</v>
      </c>
      <c r="AB15" s="117">
        <v>116.83492099999999</v>
      </c>
      <c r="AC15" s="117">
        <v>96.121013000000005</v>
      </c>
      <c r="AD15" s="117">
        <v>146.225989</v>
      </c>
      <c r="AE15" s="117">
        <v>82.707432999999995</v>
      </c>
      <c r="AF15" s="117">
        <v>178.68000699999999</v>
      </c>
      <c r="AG15" s="117">
        <v>105.68210000000001</v>
      </c>
      <c r="AH15" s="117">
        <v>113.553878</v>
      </c>
      <c r="AI15" s="117">
        <v>127.82364099999999</v>
      </c>
      <c r="AJ15" s="117">
        <v>103.792849</v>
      </c>
      <c r="AK15" s="117">
        <v>159.16340400000001</v>
      </c>
      <c r="AL15" s="117">
        <v>89.323324999999997</v>
      </c>
      <c r="AM15" s="117">
        <v>222.63090700000001</v>
      </c>
      <c r="AN15" s="117">
        <v>129.53822199999999</v>
      </c>
      <c r="AO15" s="117">
        <v>127.434883</v>
      </c>
      <c r="AP15" s="117">
        <v>142.272109</v>
      </c>
      <c r="AQ15" s="117">
        <v>119.729193</v>
      </c>
      <c r="AR15" s="117">
        <v>172.18406100000001</v>
      </c>
      <c r="AS15" s="117">
        <v>91.464817999999994</v>
      </c>
      <c r="AT15" s="117">
        <v>220.12025299999999</v>
      </c>
      <c r="AU15" s="117">
        <v>131.899214</v>
      </c>
      <c r="AV15" s="117">
        <v>127.999235</v>
      </c>
      <c r="AW15" s="117">
        <v>149.667541</v>
      </c>
      <c r="AX15" s="117">
        <v>118.83633399999999</v>
      </c>
      <c r="AY15" s="117">
        <v>181.819941</v>
      </c>
      <c r="AZ15" s="117">
        <v>95.604949000000005</v>
      </c>
      <c r="BA15" s="117">
        <v>201.62014400000001</v>
      </c>
      <c r="BB15" s="117">
        <v>118.48837</v>
      </c>
      <c r="BC15" s="117">
        <v>112.96386699999999</v>
      </c>
      <c r="BD15" s="117">
        <v>131.502858</v>
      </c>
      <c r="BE15" s="117">
        <v>105.041185</v>
      </c>
      <c r="BF15" s="117">
        <v>153.831152</v>
      </c>
      <c r="BG15" s="117">
        <v>80.656435000000002</v>
      </c>
      <c r="BH15" s="117">
        <v>223.19215199999999</v>
      </c>
      <c r="BI15" s="117">
        <v>133.04530399999999</v>
      </c>
      <c r="BJ15" s="117">
        <v>124.29904399999999</v>
      </c>
      <c r="BK15" s="117">
        <v>142.03219899999999</v>
      </c>
      <c r="BL15" s="117">
        <v>116.777158</v>
      </c>
      <c r="BM15" s="117">
        <v>171.62571</v>
      </c>
      <c r="BN15" s="117">
        <v>88.519818999999998</v>
      </c>
      <c r="BO15" s="117">
        <v>216.89606699999999</v>
      </c>
      <c r="BP15" s="117">
        <v>126.036632</v>
      </c>
      <c r="BQ15" s="117">
        <v>124.031598</v>
      </c>
      <c r="BR15" s="117">
        <v>138.859543</v>
      </c>
      <c r="BS15" s="117">
        <v>116.52846599999999</v>
      </c>
      <c r="BT15" s="117">
        <v>166.437288</v>
      </c>
      <c r="BU15" s="117">
        <v>87.718310000000002</v>
      </c>
      <c r="BV15" s="117">
        <v>181.79890900000001</v>
      </c>
      <c r="BW15" s="117">
        <v>106.999588</v>
      </c>
      <c r="BX15" s="117">
        <v>111.40501999999999</v>
      </c>
      <c r="BY15" s="117">
        <v>127.429891</v>
      </c>
      <c r="BZ15" s="117">
        <v>100.970934</v>
      </c>
      <c r="CA15" s="117">
        <v>155.19703100000001</v>
      </c>
      <c r="CB15" s="117">
        <v>85.378349</v>
      </c>
      <c r="CC15" s="117">
        <v>197.97773799999999</v>
      </c>
      <c r="CD15" s="117">
        <v>114.231898</v>
      </c>
      <c r="CE15" s="117">
        <v>117.932467</v>
      </c>
      <c r="CF15" s="117">
        <v>131.013823</v>
      </c>
      <c r="CG15" s="117">
        <v>106.900406</v>
      </c>
      <c r="CH15" s="117">
        <v>160.29383200000001</v>
      </c>
      <c r="CI15" s="117">
        <v>90.957836999999998</v>
      </c>
      <c r="CJ15" s="117">
        <v>191.481244</v>
      </c>
      <c r="CK15" s="117">
        <v>113.254453</v>
      </c>
      <c r="CL15" s="117">
        <v>110.91485</v>
      </c>
      <c r="CM15" s="117">
        <v>124.150931</v>
      </c>
      <c r="CN15" s="117">
        <v>102.07757100000001</v>
      </c>
      <c r="CO15" s="117">
        <v>153.48121499999999</v>
      </c>
      <c r="CP15" s="117">
        <v>83.938199999999995</v>
      </c>
      <c r="CQ15" s="117">
        <v>182.764455</v>
      </c>
      <c r="CR15" s="117">
        <v>105.43906</v>
      </c>
      <c r="CS15" s="117">
        <v>108.920331</v>
      </c>
      <c r="CT15" s="117">
        <v>119.372882</v>
      </c>
      <c r="CU15" s="117">
        <v>100.148005</v>
      </c>
      <c r="CV15" s="117">
        <v>147.42772299999999</v>
      </c>
      <c r="CW15" s="117">
        <v>83.204016999999993</v>
      </c>
      <c r="CX15" s="117">
        <v>185.48818800000001</v>
      </c>
      <c r="CY15" s="117">
        <v>109.5068</v>
      </c>
      <c r="CZ15" s="117">
        <v>111.647195</v>
      </c>
      <c r="DA15" s="117">
        <v>124.16159</v>
      </c>
      <c r="DB15" s="117">
        <v>102.333951</v>
      </c>
      <c r="DC15" s="117">
        <v>155.594785</v>
      </c>
      <c r="DD15" s="117">
        <v>86.012393000000003</v>
      </c>
      <c r="DE15" s="117">
        <v>170.365003</v>
      </c>
      <c r="DF15" s="117">
        <v>98.276827999999995</v>
      </c>
      <c r="DG15" s="117">
        <v>104.227949</v>
      </c>
      <c r="DH15" s="117">
        <v>117.187551</v>
      </c>
      <c r="DI15" s="117">
        <v>94.354769000000005</v>
      </c>
      <c r="DJ15" s="117">
        <v>142.87061</v>
      </c>
      <c r="DK15" s="117">
        <v>81.480562000000006</v>
      </c>
      <c r="DL15" s="117">
        <v>180.32297600000001</v>
      </c>
      <c r="DM15" s="117">
        <v>107.34316699999999</v>
      </c>
      <c r="DN15" s="117">
        <v>107.058527</v>
      </c>
      <c r="DO15" s="117">
        <v>122.71632700000001</v>
      </c>
      <c r="DP15" s="117">
        <v>96.811600999999996</v>
      </c>
      <c r="DQ15" s="117">
        <v>151.54359099999999</v>
      </c>
      <c r="DR15" s="117">
        <v>84.499512999999993</v>
      </c>
      <c r="DS15" s="117">
        <v>188.029042</v>
      </c>
      <c r="DT15" s="117">
        <v>109.08094800000001</v>
      </c>
      <c r="DU15" s="117">
        <v>109.292314</v>
      </c>
      <c r="DV15" s="117">
        <v>119.368081</v>
      </c>
      <c r="DW15" s="117">
        <v>100.446427</v>
      </c>
      <c r="DX15" s="117">
        <v>149.43275399999999</v>
      </c>
      <c r="DY15" s="117">
        <v>85.482588000000007</v>
      </c>
      <c r="DZ15" s="117">
        <v>180.93320299999999</v>
      </c>
      <c r="EA15" s="117">
        <v>108.185819</v>
      </c>
      <c r="EB15" s="117">
        <v>107.55185299999999</v>
      </c>
      <c r="EC15" s="117">
        <v>121.366158</v>
      </c>
      <c r="ED15" s="117">
        <v>98.804417000000001</v>
      </c>
      <c r="EE15" s="117">
        <v>153.60252700000001</v>
      </c>
      <c r="EF15" s="117">
        <v>85.800098000000006</v>
      </c>
      <c r="EG15" s="117">
        <v>174.818973</v>
      </c>
      <c r="EH15" s="117">
        <v>101.381837</v>
      </c>
      <c r="EI15" s="117">
        <v>104.094325</v>
      </c>
      <c r="EJ15" s="117">
        <v>114.55665500000001</v>
      </c>
      <c r="EK15" s="117">
        <v>95.526532000000003</v>
      </c>
      <c r="EL15" s="117">
        <v>142.509424</v>
      </c>
      <c r="EM15" s="117">
        <v>81.353475000000003</v>
      </c>
      <c r="EN15" s="117">
        <v>179.83783500000001</v>
      </c>
      <c r="EO15" s="117">
        <v>106.93975500000001</v>
      </c>
      <c r="EP15" s="117">
        <v>109.91964</v>
      </c>
      <c r="EQ15" s="117">
        <v>126.09813</v>
      </c>
      <c r="ER15" s="117">
        <v>99.271043000000006</v>
      </c>
      <c r="ES15" s="117">
        <v>156.28799100000001</v>
      </c>
      <c r="ET15" s="117">
        <v>87.412227000000001</v>
      </c>
      <c r="EU15" s="117">
        <v>189.673586</v>
      </c>
      <c r="EV15" s="117">
        <v>110.446513</v>
      </c>
      <c r="EW15" s="117">
        <v>112.70053299999999</v>
      </c>
      <c r="EX15" s="117">
        <v>125.880786</v>
      </c>
      <c r="EY15" s="117">
        <v>101.79581899999999</v>
      </c>
      <c r="EZ15" s="117">
        <v>156.061836</v>
      </c>
      <c r="FA15" s="117">
        <v>89.988795999999994</v>
      </c>
      <c r="FB15" s="117">
        <v>185.94782799999999</v>
      </c>
      <c r="FC15" s="117">
        <v>110.75386</v>
      </c>
      <c r="FD15" s="117">
        <v>107.735415</v>
      </c>
      <c r="FE15" s="117">
        <v>121.32079400000001</v>
      </c>
      <c r="FF15" s="117">
        <v>99.051993999999993</v>
      </c>
      <c r="FG15" s="117">
        <v>151.63521800000001</v>
      </c>
      <c r="FH15" s="117">
        <v>84.110701000000006</v>
      </c>
      <c r="FI15" s="117">
        <v>174.35819900000001</v>
      </c>
      <c r="FJ15" s="117">
        <v>101.27704900000001</v>
      </c>
      <c r="FK15" s="117">
        <v>103.99327</v>
      </c>
      <c r="FL15" s="117">
        <v>114.673</v>
      </c>
      <c r="FM15" s="117">
        <v>95.311716000000004</v>
      </c>
      <c r="FN15" s="117">
        <v>143.336996</v>
      </c>
      <c r="FO15" s="117">
        <v>82.620569000000003</v>
      </c>
      <c r="FP15" s="117">
        <v>182.075624</v>
      </c>
      <c r="FQ15" s="117">
        <v>107.93934</v>
      </c>
      <c r="FR15" s="117">
        <v>109.08973899999999</v>
      </c>
      <c r="FS15" s="117">
        <v>122.573314</v>
      </c>
      <c r="FT15" s="117">
        <v>100.039238</v>
      </c>
      <c r="FU15" s="117">
        <v>153.64904999999999</v>
      </c>
      <c r="FV15" s="117">
        <v>85.809764999999999</v>
      </c>
      <c r="FW15" s="117">
        <v>181.79039800000001</v>
      </c>
      <c r="FX15" s="117">
        <v>105.350917</v>
      </c>
      <c r="FY15" s="117">
        <v>108.69770200000001</v>
      </c>
      <c r="FZ15" s="117">
        <v>119.378274</v>
      </c>
      <c r="GA15" s="117">
        <v>99.684988000000004</v>
      </c>
      <c r="GB15" s="117">
        <v>149.70020500000001</v>
      </c>
      <c r="GC15" s="117">
        <v>86.391476999999995</v>
      </c>
      <c r="GD15" s="117">
        <v>184.57389599999999</v>
      </c>
      <c r="GE15" s="117">
        <v>110.43920799999999</v>
      </c>
      <c r="GF15" s="117">
        <v>113.582285</v>
      </c>
      <c r="GG15" s="117">
        <v>130.69757899999999</v>
      </c>
      <c r="GH15" s="117">
        <v>102.34589800000001</v>
      </c>
      <c r="GI15" s="117">
        <v>164.15255400000001</v>
      </c>
      <c r="GJ15" s="117">
        <v>93.190021999999999</v>
      </c>
      <c r="GK15" s="117">
        <v>196.057388</v>
      </c>
      <c r="GL15" s="117">
        <v>114.157948</v>
      </c>
      <c r="GM15" s="117">
        <v>114.953694</v>
      </c>
      <c r="GN15" s="117">
        <v>128.881776</v>
      </c>
      <c r="GO15" s="117">
        <v>103.768863</v>
      </c>
      <c r="GP15" s="117">
        <v>158.541113</v>
      </c>
      <c r="GQ15" s="117">
        <v>91.125737000000001</v>
      </c>
      <c r="GR15" s="117">
        <v>188.796662</v>
      </c>
      <c r="GS15" s="117">
        <v>112.93163199999999</v>
      </c>
      <c r="GT15" s="117">
        <v>109.78227200000001</v>
      </c>
      <c r="GU15" s="117">
        <v>124.295136</v>
      </c>
      <c r="GV15" s="117">
        <v>100.75373</v>
      </c>
      <c r="GW15" s="117">
        <v>155.60819699999999</v>
      </c>
      <c r="GX15" s="117">
        <v>86.915654000000004</v>
      </c>
      <c r="GY15" s="117">
        <v>191.97579300000001</v>
      </c>
      <c r="GZ15" s="117">
        <v>111.869474</v>
      </c>
      <c r="HA15" s="117">
        <v>114.078766</v>
      </c>
      <c r="HB15" s="117">
        <v>125.901732</v>
      </c>
      <c r="HC15" s="117">
        <v>104.77782000000001</v>
      </c>
      <c r="HD15" s="117">
        <v>158.637641</v>
      </c>
      <c r="HE15" s="117">
        <v>91.704571999999999</v>
      </c>
      <c r="HF15" s="117">
        <v>183.66103100000001</v>
      </c>
    </row>
    <row r="16" spans="1:214" x14ac:dyDescent="0.25">
      <c r="F16" s="116" t="str">
        <f xml:space="preserve"> _xll.EPMOlapMemberO("[PRDDESCR].[].[HELGAS GFREE TRAD WHITE 470G]","","HELGAS GFREE TRAD WHITE 470G","","000")</f>
        <v>HELGAS GFREE TRAD WHITE 470G</v>
      </c>
      <c r="G16" s="116" t="str">
        <f xml:space="preserve"> _xll.EPMOlapMemberO("[PRDID].[].[168846]","","168846","","000")</f>
        <v>168846</v>
      </c>
      <c r="H16" s="116" t="str">
        <f xml:space="preserve"> _xll.EPMOlapMemberO("[LOCID].[].[6104]","","6104","","000")</f>
        <v>6104</v>
      </c>
      <c r="I16" s="116" t="str">
        <f xml:space="preserve"> _xll.EPMOlapMemberO("[LOCDESCR].[].[QBA-Moorebank]","","QBA-Moorebank","","000")</f>
        <v>QBA-Moorebank</v>
      </c>
      <c r="J16" s="116" t="str">
        <f xml:space="preserve"> _xll.EPMOlapMemberO("[KEY_FIGURES].[].[ZGFAPPROVEDFCSTQTY]","","Approved Forecast","","000")</f>
        <v>Approved Forecast</v>
      </c>
      <c r="K16" s="117">
        <v>891.36664199999996</v>
      </c>
      <c r="L16" s="117">
        <v>452.25951199999997</v>
      </c>
      <c r="M16" s="117">
        <v>556.50154499999996</v>
      </c>
      <c r="N16" s="117">
        <v>458.30006900000001</v>
      </c>
      <c r="O16" s="117">
        <v>523.98484299999996</v>
      </c>
      <c r="P16" s="117">
        <v>406.03490799999997</v>
      </c>
      <c r="Q16" s="117">
        <v>298.87946799999997</v>
      </c>
      <c r="R16" s="117">
        <v>809.94242899999995</v>
      </c>
      <c r="S16" s="117">
        <v>406.33543200000003</v>
      </c>
      <c r="T16" s="117">
        <v>529.11863900000003</v>
      </c>
      <c r="U16" s="117">
        <v>444.68292100000002</v>
      </c>
      <c r="V16" s="117">
        <v>501.79776099999998</v>
      </c>
      <c r="W16" s="117">
        <v>393.70934599999998</v>
      </c>
      <c r="X16" s="117">
        <v>282.75295199999999</v>
      </c>
      <c r="Y16" s="117">
        <v>782.99105199999997</v>
      </c>
      <c r="Z16" s="117">
        <v>395.989712</v>
      </c>
      <c r="AA16" s="117">
        <v>508.48051199999998</v>
      </c>
      <c r="AB16" s="117">
        <v>428.345778</v>
      </c>
      <c r="AC16" s="117">
        <v>480.33885500000002</v>
      </c>
      <c r="AD16" s="117">
        <v>381.82375999999999</v>
      </c>
      <c r="AE16" s="117">
        <v>270.12642599999998</v>
      </c>
      <c r="AF16" s="117">
        <v>799.87669400000004</v>
      </c>
      <c r="AG16" s="117">
        <v>406.09737200000001</v>
      </c>
      <c r="AH16" s="117">
        <v>523.98222299999998</v>
      </c>
      <c r="AI16" s="117">
        <v>450.64821999999998</v>
      </c>
      <c r="AJ16" s="117">
        <v>480.82824900000003</v>
      </c>
      <c r="AK16" s="117">
        <v>393.06186200000002</v>
      </c>
      <c r="AL16" s="117">
        <v>289.737415</v>
      </c>
      <c r="AM16" s="117">
        <v>799.81169</v>
      </c>
      <c r="AN16" s="117">
        <v>423.27894800000001</v>
      </c>
      <c r="AO16" s="117">
        <v>538.51326100000006</v>
      </c>
      <c r="AP16" s="117">
        <v>459.73216200000002</v>
      </c>
      <c r="AQ16" s="117">
        <v>492.048723</v>
      </c>
      <c r="AR16" s="117">
        <v>403.94079399999998</v>
      </c>
      <c r="AS16" s="117">
        <v>300.11773599999998</v>
      </c>
      <c r="AT16" s="117">
        <v>779.61796000000004</v>
      </c>
      <c r="AU16" s="117">
        <v>411.087309</v>
      </c>
      <c r="AV16" s="117">
        <v>541.03446799999995</v>
      </c>
      <c r="AW16" s="117">
        <v>464.32072599999998</v>
      </c>
      <c r="AX16" s="117">
        <v>495.81154400000003</v>
      </c>
      <c r="AY16" s="117">
        <v>409.56343700000002</v>
      </c>
      <c r="AZ16" s="117">
        <v>306.74485099999998</v>
      </c>
      <c r="BA16" s="117">
        <v>747.70955500000002</v>
      </c>
      <c r="BB16" s="117">
        <v>392.90413100000001</v>
      </c>
      <c r="BC16" s="117">
        <v>490.18262499999997</v>
      </c>
      <c r="BD16" s="117">
        <v>425.15415100000001</v>
      </c>
      <c r="BE16" s="117">
        <v>451.81605999999999</v>
      </c>
      <c r="BF16" s="117">
        <v>372.25879300000003</v>
      </c>
      <c r="BG16" s="117">
        <v>274.973703</v>
      </c>
      <c r="BH16" s="117">
        <v>823.81045500000005</v>
      </c>
      <c r="BI16" s="117">
        <v>429.54118399999999</v>
      </c>
      <c r="BJ16" s="117">
        <v>523.46306300000003</v>
      </c>
      <c r="BK16" s="117">
        <v>455.33329199999997</v>
      </c>
      <c r="BL16" s="117">
        <v>482.66240399999998</v>
      </c>
      <c r="BM16" s="117">
        <v>390.95098000000002</v>
      </c>
      <c r="BN16" s="117">
        <v>285.046694</v>
      </c>
      <c r="BO16" s="117">
        <v>814.11244399999998</v>
      </c>
      <c r="BP16" s="117">
        <v>425.24642499999999</v>
      </c>
      <c r="BQ16" s="117">
        <v>542.25680999999997</v>
      </c>
      <c r="BR16" s="117">
        <v>468.11957799999999</v>
      </c>
      <c r="BS16" s="117">
        <v>498.25249300000002</v>
      </c>
      <c r="BT16" s="117">
        <v>405.11700999999999</v>
      </c>
      <c r="BU16" s="117">
        <v>297.76424200000002</v>
      </c>
      <c r="BV16" s="117">
        <v>796.47702700000002</v>
      </c>
      <c r="BW16" s="117">
        <v>419.88564400000001</v>
      </c>
      <c r="BX16" s="117">
        <v>557.098298</v>
      </c>
      <c r="BY16" s="117">
        <v>474.41109999999998</v>
      </c>
      <c r="BZ16" s="117">
        <v>510.53934500000003</v>
      </c>
      <c r="CA16" s="117">
        <v>418.92067700000001</v>
      </c>
      <c r="CB16" s="117">
        <v>313.60904900000003</v>
      </c>
      <c r="CC16" s="117">
        <v>823.37862299999995</v>
      </c>
      <c r="CD16" s="117">
        <v>435.82611300000002</v>
      </c>
      <c r="CE16" s="117">
        <v>552.25489200000004</v>
      </c>
      <c r="CF16" s="117">
        <v>472.82834100000002</v>
      </c>
      <c r="CG16" s="117">
        <v>505.76420899999999</v>
      </c>
      <c r="CH16" s="117">
        <v>415.83911899999998</v>
      </c>
      <c r="CI16" s="117">
        <v>311.984307</v>
      </c>
      <c r="CJ16" s="117">
        <v>783.83580900000004</v>
      </c>
      <c r="CK16" s="117">
        <v>416.85533800000002</v>
      </c>
      <c r="CL16" s="117">
        <v>506.42144200000001</v>
      </c>
      <c r="CM16" s="117">
        <v>435.13836400000002</v>
      </c>
      <c r="CN16" s="117">
        <v>461.967625</v>
      </c>
      <c r="CO16" s="117">
        <v>380.18087700000001</v>
      </c>
      <c r="CP16" s="117">
        <v>283.17970300000002</v>
      </c>
      <c r="CQ16" s="117">
        <v>734.57310299999995</v>
      </c>
      <c r="CR16" s="117">
        <v>385.08783799999998</v>
      </c>
      <c r="CS16" s="117">
        <v>488.60981299999997</v>
      </c>
      <c r="CT16" s="117">
        <v>424.96144500000003</v>
      </c>
      <c r="CU16" s="117">
        <v>447.54783400000002</v>
      </c>
      <c r="CV16" s="117">
        <v>366.641999</v>
      </c>
      <c r="CW16" s="117">
        <v>270.72849500000001</v>
      </c>
      <c r="CX16" s="117">
        <v>786.85767099999998</v>
      </c>
      <c r="CY16" s="117">
        <v>414.83020299999998</v>
      </c>
      <c r="CZ16" s="117">
        <v>526.91591500000004</v>
      </c>
      <c r="DA16" s="117">
        <v>452.56228800000002</v>
      </c>
      <c r="DB16" s="117">
        <v>482.16788600000001</v>
      </c>
      <c r="DC16" s="117">
        <v>395.49308300000001</v>
      </c>
      <c r="DD16" s="117">
        <v>293.018438</v>
      </c>
      <c r="DE16" s="117">
        <v>755.58007899999996</v>
      </c>
      <c r="DF16" s="117">
        <v>396.58954999999997</v>
      </c>
      <c r="DG16" s="117">
        <v>520.46311900000001</v>
      </c>
      <c r="DH16" s="117">
        <v>449.17011300000001</v>
      </c>
      <c r="DI16" s="117">
        <v>478.19758000000002</v>
      </c>
      <c r="DJ16" s="117">
        <v>394.42766499999999</v>
      </c>
      <c r="DK16" s="117">
        <v>293.78745600000002</v>
      </c>
      <c r="DL16" s="117">
        <v>820.93369600000005</v>
      </c>
      <c r="DM16" s="117">
        <v>431.21193799999998</v>
      </c>
      <c r="DN16" s="117">
        <v>543.69847900000002</v>
      </c>
      <c r="DO16" s="117">
        <v>467.830307</v>
      </c>
      <c r="DP16" s="117">
        <v>500.70803999999998</v>
      </c>
      <c r="DQ16" s="117">
        <v>410.031272</v>
      </c>
      <c r="DR16" s="117">
        <v>304.03290099999998</v>
      </c>
      <c r="DS16" s="117">
        <v>802.62561700000003</v>
      </c>
      <c r="DT16" s="117">
        <v>423.93166500000001</v>
      </c>
      <c r="DU16" s="117">
        <v>514.91075499999999</v>
      </c>
      <c r="DV16" s="117">
        <v>444.83529099999998</v>
      </c>
      <c r="DW16" s="117">
        <v>471.59466700000002</v>
      </c>
      <c r="DX16" s="117">
        <v>386.908322</v>
      </c>
      <c r="DY16" s="117">
        <v>286.03243300000003</v>
      </c>
      <c r="DZ16" s="117">
        <v>755.420299</v>
      </c>
      <c r="EA16" s="117">
        <v>400.55136099999999</v>
      </c>
      <c r="EB16" s="117">
        <v>508.07946199999998</v>
      </c>
      <c r="EC16" s="117">
        <v>435.06687199999999</v>
      </c>
      <c r="ED16" s="117">
        <v>463.631553</v>
      </c>
      <c r="EE16" s="117">
        <v>382.16677399999998</v>
      </c>
      <c r="EF16" s="117">
        <v>284.64809100000002</v>
      </c>
      <c r="EG16" s="117">
        <v>766.36791400000004</v>
      </c>
      <c r="EH16" s="117">
        <v>403.38908600000002</v>
      </c>
      <c r="EI16" s="117">
        <v>512.60771099999999</v>
      </c>
      <c r="EJ16" s="117">
        <v>441.56326000000001</v>
      </c>
      <c r="EK16" s="117">
        <v>469.19996300000003</v>
      </c>
      <c r="EL16" s="117">
        <v>384.59221300000002</v>
      </c>
      <c r="EM16" s="117">
        <v>284.87489499999998</v>
      </c>
      <c r="EN16" s="117">
        <v>748.96536600000002</v>
      </c>
      <c r="EO16" s="117">
        <v>393.310495</v>
      </c>
      <c r="EP16" s="117">
        <v>515.93603199999995</v>
      </c>
      <c r="EQ16" s="117">
        <v>443.76472100000001</v>
      </c>
      <c r="ER16" s="117">
        <v>474.15415100000001</v>
      </c>
      <c r="ES16" s="117">
        <v>390.204024</v>
      </c>
      <c r="ET16" s="117">
        <v>290.456909</v>
      </c>
      <c r="EU16" s="117">
        <v>787.66022799999996</v>
      </c>
      <c r="EV16" s="117">
        <v>415.22234600000002</v>
      </c>
      <c r="EW16" s="117">
        <v>522.68764799999997</v>
      </c>
      <c r="EX16" s="117">
        <v>450.086814</v>
      </c>
      <c r="EY16" s="117">
        <v>480.26165200000003</v>
      </c>
      <c r="EZ16" s="117">
        <v>395.06185199999999</v>
      </c>
      <c r="FA16" s="117">
        <v>294.37333100000001</v>
      </c>
      <c r="FB16" s="117">
        <v>765.95404399999995</v>
      </c>
      <c r="FC16" s="117">
        <v>405.55828100000002</v>
      </c>
      <c r="FD16" s="117">
        <v>492.37723</v>
      </c>
      <c r="FE16" s="117">
        <v>426.125472</v>
      </c>
      <c r="FF16" s="117">
        <v>450.102597</v>
      </c>
      <c r="FG16" s="117">
        <v>370.79697900000002</v>
      </c>
      <c r="FH16" s="117">
        <v>275.12756000000002</v>
      </c>
      <c r="FI16" s="117">
        <v>730.47628099999997</v>
      </c>
      <c r="FJ16" s="117">
        <v>386.80835100000002</v>
      </c>
      <c r="FK16" s="117">
        <v>491.385265</v>
      </c>
      <c r="FL16" s="117">
        <v>422.45682699999998</v>
      </c>
      <c r="FM16" s="117">
        <v>448.198353</v>
      </c>
      <c r="FN16" s="117">
        <v>369.01217000000003</v>
      </c>
      <c r="FO16" s="117">
        <v>274.68272400000001</v>
      </c>
      <c r="FP16" s="117">
        <v>730.30882999999994</v>
      </c>
      <c r="FQ16" s="117">
        <v>386.71408700000001</v>
      </c>
      <c r="FR16" s="117">
        <v>491.17839500000002</v>
      </c>
      <c r="FS16" s="117">
        <v>422.46880700000003</v>
      </c>
      <c r="FT16" s="117">
        <v>447.97570200000001</v>
      </c>
      <c r="FU16" s="117">
        <v>368.91205000000002</v>
      </c>
      <c r="FV16" s="117">
        <v>274.64479</v>
      </c>
      <c r="FW16" s="117">
        <v>730.911922</v>
      </c>
      <c r="FX16" s="117">
        <v>385.506146</v>
      </c>
      <c r="FY16" s="117">
        <v>489.84880099999998</v>
      </c>
      <c r="FZ16" s="117">
        <v>422.44620300000003</v>
      </c>
      <c r="GA16" s="117">
        <v>447.65805399999999</v>
      </c>
      <c r="GB16" s="117">
        <v>367.471226</v>
      </c>
      <c r="GC16" s="117">
        <v>272.41808900000001</v>
      </c>
      <c r="GD16" s="117">
        <v>719.50309200000004</v>
      </c>
      <c r="GE16" s="117">
        <v>379.04342700000001</v>
      </c>
      <c r="GF16" s="117">
        <v>502.05048900000003</v>
      </c>
      <c r="GG16" s="117">
        <v>431.25896399999999</v>
      </c>
      <c r="GH16" s="117">
        <v>460.21067900000003</v>
      </c>
      <c r="GI16" s="117">
        <v>379.70357000000001</v>
      </c>
      <c r="GJ16" s="117">
        <v>283.59460799999999</v>
      </c>
      <c r="GK16" s="117">
        <v>786.63242500000001</v>
      </c>
      <c r="GL16" s="117">
        <v>420.658705</v>
      </c>
      <c r="GM16" s="117">
        <v>519.12321999999995</v>
      </c>
      <c r="GN16" s="117">
        <v>445.42434100000003</v>
      </c>
      <c r="GO16" s="117">
        <v>473.63759800000003</v>
      </c>
      <c r="GP16" s="117">
        <v>393.29849400000001</v>
      </c>
      <c r="GQ16" s="117">
        <v>296.53006099999999</v>
      </c>
      <c r="GR16" s="117">
        <v>774.06833500000005</v>
      </c>
      <c r="GS16" s="117">
        <v>410.690518</v>
      </c>
      <c r="GT16" s="117">
        <v>505.11184200000002</v>
      </c>
      <c r="GU16" s="117">
        <v>436.69665400000002</v>
      </c>
      <c r="GV16" s="117">
        <v>460.16896600000001</v>
      </c>
      <c r="GW16" s="117">
        <v>379.029899</v>
      </c>
      <c r="GX16" s="117">
        <v>282.07370700000001</v>
      </c>
      <c r="GY16" s="117">
        <v>788.41339500000004</v>
      </c>
      <c r="GZ16" s="117">
        <v>416.95466399999998</v>
      </c>
      <c r="HA16" s="117">
        <v>532.15569800000003</v>
      </c>
      <c r="HB16" s="117">
        <v>458.41623800000002</v>
      </c>
      <c r="HC16" s="117">
        <v>484.82932799999998</v>
      </c>
      <c r="HD16" s="117">
        <v>398.14337999999998</v>
      </c>
      <c r="HE16" s="117">
        <v>296.78111999999999</v>
      </c>
      <c r="HF16" s="117">
        <v>767.84441700000002</v>
      </c>
    </row>
    <row r="17" spans="6:214" x14ac:dyDescent="0.25">
      <c r="F17" s="116" t="str">
        <f xml:space="preserve"> _xll.EPMOlapMemberO("[PRDDESCR].[].[HELGAS GFREE TRAD WHITE 470G]","","HELGAS GFREE TRAD WHITE 470G","","000")</f>
        <v>HELGAS GFREE TRAD WHITE 470G</v>
      </c>
      <c r="G17" s="116" t="str">
        <f xml:space="preserve"> _xll.EPMOlapMemberO("[PRDID].[].[168846]","","168846","","000")</f>
        <v>168846</v>
      </c>
      <c r="H17" s="116" t="str">
        <f xml:space="preserve"> _xll.EPMOlapMemberO("[LOCID].[].[6105]","","6105","","000")</f>
        <v>6105</v>
      </c>
      <c r="I17" s="116" t="str">
        <f xml:space="preserve"> _xll.EPMOlapMemberO("[LOCDESCR].[].[QBA-Rydalmere]","","QBA-Rydalmere","","000")</f>
        <v>QBA-Rydalmere</v>
      </c>
      <c r="J17" s="116" t="str">
        <f xml:space="preserve"> _xll.EPMOlapMemberO("[KEY_FIGURES].[].[ZGFAPPROVEDFCSTQTY]","","Approved Forecast","","000")</f>
        <v>Approved Forecast</v>
      </c>
      <c r="K17" s="117">
        <v>494.71061900000001</v>
      </c>
      <c r="L17" s="117">
        <v>398.247681</v>
      </c>
      <c r="M17" s="117">
        <v>271.34985</v>
      </c>
      <c r="N17" s="117">
        <v>356.04848900000002</v>
      </c>
      <c r="O17" s="117">
        <v>258.44850200000002</v>
      </c>
      <c r="P17" s="117">
        <v>342.63227599999999</v>
      </c>
      <c r="Q17" s="117">
        <v>197.649327</v>
      </c>
      <c r="R17" s="117">
        <v>474.24644799999999</v>
      </c>
      <c r="S17" s="117">
        <v>401.694275</v>
      </c>
      <c r="T17" s="117">
        <v>286.00343600000002</v>
      </c>
      <c r="U17" s="117">
        <v>395.65650099999999</v>
      </c>
      <c r="V17" s="117">
        <v>276.421739</v>
      </c>
      <c r="W17" s="117">
        <v>361.00981999999999</v>
      </c>
      <c r="X17" s="117">
        <v>201.86524</v>
      </c>
      <c r="Y17" s="117">
        <v>474.26593400000002</v>
      </c>
      <c r="Z17" s="117">
        <v>394.74144799999999</v>
      </c>
      <c r="AA17" s="117">
        <v>284.34730100000002</v>
      </c>
      <c r="AB17" s="117">
        <v>387.276704</v>
      </c>
      <c r="AC17" s="117">
        <v>269.532534</v>
      </c>
      <c r="AD17" s="117">
        <v>356.04509400000001</v>
      </c>
      <c r="AE17" s="117">
        <v>199.475516</v>
      </c>
      <c r="AF17" s="117">
        <v>473.766119</v>
      </c>
      <c r="AG17" s="117">
        <v>397.78173600000002</v>
      </c>
      <c r="AH17" s="117">
        <v>300.85816899999998</v>
      </c>
      <c r="AI17" s="117">
        <v>393.32378999999997</v>
      </c>
      <c r="AJ17" s="117">
        <v>272.26502900000003</v>
      </c>
      <c r="AK17" s="117">
        <v>371.21473600000002</v>
      </c>
      <c r="AL17" s="117">
        <v>222.048799</v>
      </c>
      <c r="AM17" s="117">
        <v>481.796449</v>
      </c>
      <c r="AN17" s="117">
        <v>395.01150000000001</v>
      </c>
      <c r="AO17" s="117">
        <v>296.99466200000001</v>
      </c>
      <c r="AP17" s="117">
        <v>379.42174699999998</v>
      </c>
      <c r="AQ17" s="117">
        <v>266.19699100000003</v>
      </c>
      <c r="AR17" s="117">
        <v>363.80150099999997</v>
      </c>
      <c r="AS17" s="117">
        <v>222.449422</v>
      </c>
      <c r="AT17" s="117">
        <v>487.66189400000002</v>
      </c>
      <c r="AU17" s="117">
        <v>392.570221</v>
      </c>
      <c r="AV17" s="117">
        <v>312.10535900000002</v>
      </c>
      <c r="AW17" s="117">
        <v>392.98612500000002</v>
      </c>
      <c r="AX17" s="117">
        <v>280.61156499999998</v>
      </c>
      <c r="AY17" s="117">
        <v>377.59007800000001</v>
      </c>
      <c r="AZ17" s="117">
        <v>237.36306999999999</v>
      </c>
      <c r="BA17" s="117">
        <v>440.36481600000002</v>
      </c>
      <c r="BB17" s="117">
        <v>356.80124499999999</v>
      </c>
      <c r="BC17" s="117">
        <v>269.53799900000001</v>
      </c>
      <c r="BD17" s="117">
        <v>336.49474199999997</v>
      </c>
      <c r="BE17" s="117">
        <v>236.020251</v>
      </c>
      <c r="BF17" s="117">
        <v>329.75016199999999</v>
      </c>
      <c r="BG17" s="117">
        <v>206.34644700000001</v>
      </c>
      <c r="BH17" s="117">
        <v>527.69967199999996</v>
      </c>
      <c r="BI17" s="117">
        <v>436.46932600000002</v>
      </c>
      <c r="BJ17" s="117">
        <v>311.75511899999998</v>
      </c>
      <c r="BK17" s="117">
        <v>403.23167899999999</v>
      </c>
      <c r="BL17" s="117">
        <v>281.224265</v>
      </c>
      <c r="BM17" s="117">
        <v>382.58438699999999</v>
      </c>
      <c r="BN17" s="117">
        <v>232.585846</v>
      </c>
      <c r="BO17" s="117">
        <v>467.71538299999997</v>
      </c>
      <c r="BP17" s="117">
        <v>377.98521699999998</v>
      </c>
      <c r="BQ17" s="117">
        <v>288.200672</v>
      </c>
      <c r="BR17" s="117">
        <v>357.481604</v>
      </c>
      <c r="BS17" s="117">
        <v>255.36444</v>
      </c>
      <c r="BT17" s="117">
        <v>351.23329899999999</v>
      </c>
      <c r="BU17" s="117">
        <v>220.648042</v>
      </c>
      <c r="BV17" s="117">
        <v>432.75456700000001</v>
      </c>
      <c r="BW17" s="117">
        <v>349.588954</v>
      </c>
      <c r="BX17" s="117">
        <v>278.30904600000002</v>
      </c>
      <c r="BY17" s="117">
        <v>349.12179099999997</v>
      </c>
      <c r="BZ17" s="117">
        <v>246.853824</v>
      </c>
      <c r="CA17" s="117">
        <v>338.59444000000002</v>
      </c>
      <c r="CB17" s="117">
        <v>218.717702</v>
      </c>
      <c r="CC17" s="117">
        <v>495.03358100000003</v>
      </c>
      <c r="CD17" s="117">
        <v>411.31059399999998</v>
      </c>
      <c r="CE17" s="117">
        <v>303.49226399999998</v>
      </c>
      <c r="CF17" s="117">
        <v>400.415345</v>
      </c>
      <c r="CG17" s="117">
        <v>274.95553200000001</v>
      </c>
      <c r="CH17" s="117">
        <v>372.63464299999998</v>
      </c>
      <c r="CI17" s="117">
        <v>229.82766899999999</v>
      </c>
      <c r="CJ17" s="117">
        <v>482.148324</v>
      </c>
      <c r="CK17" s="117">
        <v>395.79341699999998</v>
      </c>
      <c r="CL17" s="117">
        <v>284.36571700000002</v>
      </c>
      <c r="CM17" s="117">
        <v>364.613832</v>
      </c>
      <c r="CN17" s="117">
        <v>256.32595900000001</v>
      </c>
      <c r="CO17" s="117">
        <v>347.04247500000002</v>
      </c>
      <c r="CP17" s="117">
        <v>215.334926</v>
      </c>
      <c r="CQ17" s="117">
        <v>457.53708899999998</v>
      </c>
      <c r="CR17" s="117">
        <v>374.4597</v>
      </c>
      <c r="CS17" s="117">
        <v>282.08832999999998</v>
      </c>
      <c r="CT17" s="117">
        <v>361.265085</v>
      </c>
      <c r="CU17" s="117">
        <v>254.024079</v>
      </c>
      <c r="CV17" s="117">
        <v>344.23035599999997</v>
      </c>
      <c r="CW17" s="117">
        <v>213.40973700000001</v>
      </c>
      <c r="CX17" s="117">
        <v>459.60498799999999</v>
      </c>
      <c r="CY17" s="117">
        <v>380.70131099999998</v>
      </c>
      <c r="CZ17" s="117">
        <v>283.25386400000002</v>
      </c>
      <c r="DA17" s="117">
        <v>368.18517700000001</v>
      </c>
      <c r="DB17" s="117">
        <v>256.40935300000001</v>
      </c>
      <c r="DC17" s="117">
        <v>348.17582800000002</v>
      </c>
      <c r="DD17" s="117">
        <v>211.78775300000001</v>
      </c>
      <c r="DE17" s="117">
        <v>443.37425300000001</v>
      </c>
      <c r="DF17" s="117">
        <v>366.07678199999998</v>
      </c>
      <c r="DG17" s="117">
        <v>283.66191600000002</v>
      </c>
      <c r="DH17" s="117">
        <v>367.87841400000002</v>
      </c>
      <c r="DI17" s="117">
        <v>254.622232</v>
      </c>
      <c r="DJ17" s="117">
        <v>348.95733899999999</v>
      </c>
      <c r="DK17" s="117">
        <v>216.42041800000001</v>
      </c>
      <c r="DL17" s="117">
        <v>472.37466899999998</v>
      </c>
      <c r="DM17" s="117">
        <v>391.10554000000002</v>
      </c>
      <c r="DN17" s="117">
        <v>289.382226</v>
      </c>
      <c r="DO17" s="117">
        <v>375.62527699999998</v>
      </c>
      <c r="DP17" s="117">
        <v>260.14940799999999</v>
      </c>
      <c r="DQ17" s="117">
        <v>355.98608400000001</v>
      </c>
      <c r="DR17" s="117">
        <v>221.353083</v>
      </c>
      <c r="DS17" s="117">
        <v>446.36272000000002</v>
      </c>
      <c r="DT17" s="117">
        <v>366.013712</v>
      </c>
      <c r="DU17" s="117">
        <v>263.39770199999998</v>
      </c>
      <c r="DV17" s="117">
        <v>333.50587200000001</v>
      </c>
      <c r="DW17" s="117">
        <v>235.36778799999999</v>
      </c>
      <c r="DX17" s="117">
        <v>322.52143799999999</v>
      </c>
      <c r="DY17" s="117">
        <v>199.05517900000001</v>
      </c>
      <c r="DZ17" s="117">
        <v>403.90726899999999</v>
      </c>
      <c r="EA17" s="117">
        <v>329.07153599999998</v>
      </c>
      <c r="EB17" s="117">
        <v>248.928225</v>
      </c>
      <c r="EC17" s="117">
        <v>313.84273999999999</v>
      </c>
      <c r="ED17" s="117">
        <v>222.00354999999999</v>
      </c>
      <c r="EE17" s="117">
        <v>304.250563</v>
      </c>
      <c r="EF17" s="117">
        <v>188.43805</v>
      </c>
      <c r="EG17" s="117">
        <v>419.38284299999998</v>
      </c>
      <c r="EH17" s="117">
        <v>343.79278199999999</v>
      </c>
      <c r="EI17" s="117">
        <v>258.47966100000002</v>
      </c>
      <c r="EJ17" s="117">
        <v>329.87867399999999</v>
      </c>
      <c r="EK17" s="117">
        <v>231.897065</v>
      </c>
      <c r="EL17" s="117">
        <v>316.50873100000001</v>
      </c>
      <c r="EM17" s="117">
        <v>194.70459500000001</v>
      </c>
      <c r="EN17" s="117">
        <v>418.143531</v>
      </c>
      <c r="EO17" s="117">
        <v>343.26116500000001</v>
      </c>
      <c r="EP17" s="117">
        <v>267.29159499999997</v>
      </c>
      <c r="EQ17" s="117">
        <v>343.799353</v>
      </c>
      <c r="ER17" s="117">
        <v>238.96851799999999</v>
      </c>
      <c r="ES17" s="117">
        <v>328.14362999999997</v>
      </c>
      <c r="ET17" s="117">
        <v>204.881463</v>
      </c>
      <c r="EU17" s="117">
        <v>466.02242200000001</v>
      </c>
      <c r="EV17" s="117">
        <v>386.25366000000002</v>
      </c>
      <c r="EW17" s="117">
        <v>285.535842</v>
      </c>
      <c r="EX17" s="117">
        <v>371.89932900000002</v>
      </c>
      <c r="EY17" s="117">
        <v>257.37062100000003</v>
      </c>
      <c r="EZ17" s="117">
        <v>351.09489300000001</v>
      </c>
      <c r="FA17" s="117">
        <v>218.59263799999999</v>
      </c>
      <c r="FB17" s="117">
        <v>466.44136200000003</v>
      </c>
      <c r="FC17" s="117">
        <v>386.85330399999998</v>
      </c>
      <c r="FD17" s="117">
        <v>276.70027299999998</v>
      </c>
      <c r="FE17" s="117">
        <v>359.211232</v>
      </c>
      <c r="FF17" s="117">
        <v>250.46015399999999</v>
      </c>
      <c r="FG17" s="117">
        <v>339.67213199999998</v>
      </c>
      <c r="FH17" s="117">
        <v>207.33001899999999</v>
      </c>
      <c r="FI17" s="117">
        <v>451.35592500000001</v>
      </c>
      <c r="FJ17" s="117">
        <v>374.37887000000001</v>
      </c>
      <c r="FK17" s="117">
        <v>278.182592</v>
      </c>
      <c r="FL17" s="117">
        <v>362.61577699999998</v>
      </c>
      <c r="FM17" s="117">
        <v>252.09611799999999</v>
      </c>
      <c r="FN17" s="117">
        <v>342.10440299999999</v>
      </c>
      <c r="FO17" s="117">
        <v>207.52330900000001</v>
      </c>
      <c r="FP17" s="117">
        <v>437.75610399999999</v>
      </c>
      <c r="FQ17" s="117">
        <v>362.99999200000002</v>
      </c>
      <c r="FR17" s="117">
        <v>269.84621399999997</v>
      </c>
      <c r="FS17" s="117">
        <v>351.71740999999997</v>
      </c>
      <c r="FT17" s="117">
        <v>244.05956399999999</v>
      </c>
      <c r="FU17" s="117">
        <v>332.02521999999999</v>
      </c>
      <c r="FV17" s="117">
        <v>199.910776</v>
      </c>
      <c r="FW17" s="117">
        <v>450.955803</v>
      </c>
      <c r="FX17" s="117">
        <v>371.73936300000003</v>
      </c>
      <c r="FY17" s="117">
        <v>277.795188</v>
      </c>
      <c r="FZ17" s="117">
        <v>359.00974200000002</v>
      </c>
      <c r="GA17" s="117">
        <v>251.725224</v>
      </c>
      <c r="GB17" s="117">
        <v>340.281274</v>
      </c>
      <c r="GC17" s="117">
        <v>207.476054</v>
      </c>
      <c r="GD17" s="117">
        <v>441.10765400000003</v>
      </c>
      <c r="GE17" s="117">
        <v>363.55780600000003</v>
      </c>
      <c r="GF17" s="117">
        <v>283.34068400000001</v>
      </c>
      <c r="GG17" s="117">
        <v>366.68114800000001</v>
      </c>
      <c r="GH17" s="117">
        <v>254.81242900000001</v>
      </c>
      <c r="GI17" s="117">
        <v>347.62622099999999</v>
      </c>
      <c r="GJ17" s="117">
        <v>216.114485</v>
      </c>
      <c r="GK17" s="117">
        <v>478.45180800000003</v>
      </c>
      <c r="GL17" s="117">
        <v>395.97355199999998</v>
      </c>
      <c r="GM17" s="117">
        <v>288.28409699999997</v>
      </c>
      <c r="GN17" s="117">
        <v>377.18575299999998</v>
      </c>
      <c r="GO17" s="117">
        <v>260.30342300000001</v>
      </c>
      <c r="GP17" s="117">
        <v>355.01337000000001</v>
      </c>
      <c r="GQ17" s="117">
        <v>217.773425</v>
      </c>
      <c r="GR17" s="117">
        <v>462.297551</v>
      </c>
      <c r="GS17" s="117">
        <v>382.04047300000002</v>
      </c>
      <c r="GT17" s="117">
        <v>276.57091400000002</v>
      </c>
      <c r="GU17" s="117">
        <v>355.15378299999998</v>
      </c>
      <c r="GV17" s="117">
        <v>249.26953700000001</v>
      </c>
      <c r="GW17" s="117">
        <v>338.66252300000002</v>
      </c>
      <c r="GX17" s="117">
        <v>206.695841</v>
      </c>
      <c r="GY17" s="117">
        <v>445.22856300000001</v>
      </c>
      <c r="GZ17" s="117">
        <v>364.53334699999999</v>
      </c>
      <c r="HA17" s="117">
        <v>274.31857500000001</v>
      </c>
      <c r="HB17" s="117">
        <v>349.72779300000002</v>
      </c>
      <c r="HC17" s="117">
        <v>246.53025700000001</v>
      </c>
      <c r="HD17" s="117">
        <v>335.487776</v>
      </c>
      <c r="HE17" s="117">
        <v>206.13002399999999</v>
      </c>
      <c r="HF17" s="117">
        <v>424.87303100000003</v>
      </c>
    </row>
    <row r="18" spans="6:214" x14ac:dyDescent="0.25">
      <c r="F18" s="116" t="str">
        <f xml:space="preserve"> _xll.EPMOlapMemberO("[PRDDESCR].[].[HELGAS GFREE TRAD WHITE 470G]","","HELGAS GFREE TRAD WHITE 470G","","000")</f>
        <v>HELGAS GFREE TRAD WHITE 470G</v>
      </c>
      <c r="G18" s="116" t="str">
        <f xml:space="preserve"> _xll.EPMOlapMemberO("[PRDID].[].[168846]","","168846","","000")</f>
        <v>168846</v>
      </c>
      <c r="H18" s="116" t="str">
        <f xml:space="preserve"> _xll.EPMOlapMemberO("[LOCID].[].[6110]","","6110","","000")</f>
        <v>6110</v>
      </c>
      <c r="I18" s="116" t="str">
        <f xml:space="preserve"> _xll.EPMOlapMemberO("[LOCDESCR].[].[QBA-Burleigh Heads]","","QBA-Burleigh Heads","","000")</f>
        <v>QBA-Burleigh Heads</v>
      </c>
      <c r="J18" s="116" t="str">
        <f xml:space="preserve"> _xll.EPMOlapMemberO("[KEY_FIGURES].[].[ZGFAPPROVEDFCSTQTY]","","Approved Forecast","","000")</f>
        <v>Approved Forecast</v>
      </c>
      <c r="K18" s="117">
        <v>1.3393060000000001</v>
      </c>
      <c r="L18" s="117">
        <v>1121.1669300000001</v>
      </c>
      <c r="M18" s="117">
        <v>537.10186699999997</v>
      </c>
      <c r="N18" s="117">
        <v>837.19457</v>
      </c>
      <c r="O18" s="117">
        <v>475.12924500000003</v>
      </c>
      <c r="P18" s="117">
        <v>846.07809699999996</v>
      </c>
      <c r="Q18" s="117">
        <v>548.76460799999995</v>
      </c>
      <c r="R18" s="117">
        <v>0.33017600000000003</v>
      </c>
      <c r="S18" s="117">
        <v>1079.096861</v>
      </c>
      <c r="T18" s="117">
        <v>500.01477799999998</v>
      </c>
      <c r="U18" s="117">
        <v>803.44491600000003</v>
      </c>
      <c r="V18" s="117">
        <v>453.456885</v>
      </c>
      <c r="W18" s="117">
        <v>833.00306</v>
      </c>
      <c r="X18" s="117">
        <v>538.87060499999995</v>
      </c>
      <c r="Y18" s="117">
        <v>0.16255</v>
      </c>
      <c r="Z18" s="117">
        <v>1064.5404490000001</v>
      </c>
      <c r="AA18" s="117">
        <v>484.20193999999998</v>
      </c>
      <c r="AB18" s="117">
        <v>779.124684</v>
      </c>
      <c r="AC18" s="117">
        <v>448.22978899999998</v>
      </c>
      <c r="AD18" s="117">
        <v>844.66880200000003</v>
      </c>
      <c r="AE18" s="117">
        <v>523.504321</v>
      </c>
      <c r="AF18" s="117">
        <v>0.14196900000000001</v>
      </c>
      <c r="AG18" s="117">
        <v>1100.4949300000001</v>
      </c>
      <c r="AH18" s="117">
        <v>463.18939</v>
      </c>
      <c r="AI18" s="117">
        <v>759.08060399999999</v>
      </c>
      <c r="AJ18" s="117">
        <v>435.03148499999998</v>
      </c>
      <c r="AK18" s="117">
        <v>820.84009300000002</v>
      </c>
      <c r="AL18" s="117">
        <v>505.60596600000002</v>
      </c>
      <c r="AM18" s="117">
        <v>0.152755</v>
      </c>
      <c r="AN18" s="117">
        <v>1068.872723</v>
      </c>
      <c r="AO18" s="117">
        <v>485.56810899999999</v>
      </c>
      <c r="AP18" s="117">
        <v>786.53630799999996</v>
      </c>
      <c r="AQ18" s="117">
        <v>453.92868399999998</v>
      </c>
      <c r="AR18" s="117">
        <v>847.82816600000001</v>
      </c>
      <c r="AS18" s="117">
        <v>519.23970299999996</v>
      </c>
      <c r="AT18" s="117">
        <v>0.15313199999999999</v>
      </c>
      <c r="AU18" s="117">
        <v>1113.7139320000001</v>
      </c>
      <c r="AV18" s="117">
        <v>524.84832900000004</v>
      </c>
      <c r="AW18" s="117">
        <v>842.553809</v>
      </c>
      <c r="AX18" s="117">
        <v>488.285619</v>
      </c>
      <c r="AY18" s="117">
        <v>910.03978900000004</v>
      </c>
      <c r="AZ18" s="117">
        <v>560.07887400000004</v>
      </c>
      <c r="BA18" s="117">
        <v>0.15350800000000001</v>
      </c>
      <c r="BB18" s="117">
        <v>1064.0674939999999</v>
      </c>
      <c r="BC18" s="117">
        <v>479.559256</v>
      </c>
      <c r="BD18" s="117">
        <v>777.94355099999996</v>
      </c>
      <c r="BE18" s="117">
        <v>448.48462999999998</v>
      </c>
      <c r="BF18" s="117">
        <v>842.61458800000003</v>
      </c>
      <c r="BG18" s="117">
        <v>516.80836899999997</v>
      </c>
      <c r="BH18" s="117">
        <v>0.15388499999999999</v>
      </c>
      <c r="BI18" s="117">
        <v>1118.318659</v>
      </c>
      <c r="BJ18" s="117">
        <v>500.72302000000002</v>
      </c>
      <c r="BK18" s="117">
        <v>800.00468499999999</v>
      </c>
      <c r="BL18" s="117">
        <v>465.73691600000001</v>
      </c>
      <c r="BM18" s="117">
        <v>860.08661300000006</v>
      </c>
      <c r="BN18" s="117">
        <v>525.27780099999995</v>
      </c>
      <c r="BO18" s="117">
        <v>0.15426100000000001</v>
      </c>
      <c r="BP18" s="117">
        <v>1114.6064899999999</v>
      </c>
      <c r="BQ18" s="117">
        <v>518.20144800000003</v>
      </c>
      <c r="BR18" s="117">
        <v>822.699657</v>
      </c>
      <c r="BS18" s="117">
        <v>480.52213899999998</v>
      </c>
      <c r="BT18" s="117">
        <v>883.13723200000004</v>
      </c>
      <c r="BU18" s="117">
        <v>538.67796399999997</v>
      </c>
      <c r="BV18" s="117">
        <v>0.16001699999999999</v>
      </c>
      <c r="BW18" s="117">
        <v>1049.3359459999999</v>
      </c>
      <c r="BX18" s="117">
        <v>485.89216599999997</v>
      </c>
      <c r="BY18" s="117">
        <v>791.46170700000005</v>
      </c>
      <c r="BZ18" s="117">
        <v>455.94054</v>
      </c>
      <c r="CA18" s="117">
        <v>859.63489500000003</v>
      </c>
      <c r="CB18" s="117">
        <v>526.16532099999995</v>
      </c>
      <c r="CC18" s="117">
        <v>0.16039400000000001</v>
      </c>
      <c r="CD18" s="117">
        <v>1118.3558929999999</v>
      </c>
      <c r="CE18" s="117">
        <v>501.13104399999997</v>
      </c>
      <c r="CF18" s="117">
        <v>817.52139399999999</v>
      </c>
      <c r="CG18" s="117">
        <v>470.14156400000002</v>
      </c>
      <c r="CH18" s="117">
        <v>887.77453200000002</v>
      </c>
      <c r="CI18" s="117">
        <v>544.20362399999999</v>
      </c>
      <c r="CJ18" s="117">
        <v>0.16077</v>
      </c>
      <c r="CK18" s="117">
        <v>1125.2726749999999</v>
      </c>
      <c r="CL18" s="117">
        <v>506.07112999999998</v>
      </c>
      <c r="CM18" s="117">
        <v>804.79739300000006</v>
      </c>
      <c r="CN18" s="117">
        <v>470.68562300000002</v>
      </c>
      <c r="CO18" s="117">
        <v>866.52374299999997</v>
      </c>
      <c r="CP18" s="117">
        <v>525.54185500000006</v>
      </c>
      <c r="CQ18" s="117">
        <v>0.16114700000000001</v>
      </c>
      <c r="CR18" s="117">
        <v>1106.067382</v>
      </c>
      <c r="CS18" s="117">
        <v>518.39778200000001</v>
      </c>
      <c r="CT18" s="117">
        <v>815.95129199999997</v>
      </c>
      <c r="CU18" s="117">
        <v>480.26622900000001</v>
      </c>
      <c r="CV18" s="117">
        <v>876.37693999999999</v>
      </c>
      <c r="CW18" s="117">
        <v>529.632206</v>
      </c>
      <c r="CX18" s="117">
        <v>0.15127299999999999</v>
      </c>
      <c r="CY18" s="117">
        <v>1111.9098630000001</v>
      </c>
      <c r="CZ18" s="117">
        <v>512.80235200000004</v>
      </c>
      <c r="DA18" s="117">
        <v>820.19462499999997</v>
      </c>
      <c r="DB18" s="117">
        <v>477.11892799999998</v>
      </c>
      <c r="DC18" s="117">
        <v>882.69784800000002</v>
      </c>
      <c r="DD18" s="117">
        <v>540.03063899999995</v>
      </c>
      <c r="DE18" s="117">
        <v>0.15165000000000001</v>
      </c>
      <c r="DF18" s="117">
        <v>1039.2785739999999</v>
      </c>
      <c r="DG18" s="117">
        <v>474.48840999999999</v>
      </c>
      <c r="DH18" s="117">
        <v>782.15231100000005</v>
      </c>
      <c r="DI18" s="117">
        <v>446.71351800000002</v>
      </c>
      <c r="DJ18" s="117">
        <v>850.33932000000004</v>
      </c>
      <c r="DK18" s="117">
        <v>523.88436799999999</v>
      </c>
      <c r="DL18" s="117">
        <v>0.15202599999999999</v>
      </c>
      <c r="DM18" s="117">
        <v>1076.1016979999999</v>
      </c>
      <c r="DN18" s="117">
        <v>476.98506099999997</v>
      </c>
      <c r="DO18" s="117">
        <v>785.99564499999997</v>
      </c>
      <c r="DP18" s="117">
        <v>448.99547100000001</v>
      </c>
      <c r="DQ18" s="117">
        <v>854.69427199999996</v>
      </c>
      <c r="DR18" s="117">
        <v>527.15826600000003</v>
      </c>
      <c r="DS18" s="117">
        <v>0.15240300000000001</v>
      </c>
      <c r="DT18" s="117">
        <v>1093.3041040000001</v>
      </c>
      <c r="DU18" s="117">
        <v>485.72343899999998</v>
      </c>
      <c r="DV18" s="117">
        <v>782.73010099999999</v>
      </c>
      <c r="DW18" s="117">
        <v>453.59137299999998</v>
      </c>
      <c r="DX18" s="117">
        <v>843.89892499999996</v>
      </c>
      <c r="DY18" s="117">
        <v>515.04222800000002</v>
      </c>
      <c r="DZ18" s="117">
        <v>0.15038899999999999</v>
      </c>
      <c r="EA18" s="117">
        <v>1061.2114099999999</v>
      </c>
      <c r="EB18" s="117">
        <v>488.92188399999998</v>
      </c>
      <c r="EC18" s="117">
        <v>781.96283400000004</v>
      </c>
      <c r="ED18" s="117">
        <v>454.89138700000001</v>
      </c>
      <c r="EE18" s="117">
        <v>841.86618999999996</v>
      </c>
      <c r="EF18" s="117">
        <v>513.78952700000002</v>
      </c>
      <c r="EG18" s="117">
        <v>0.15076500000000001</v>
      </c>
      <c r="EH18" s="117">
        <v>1061.669054</v>
      </c>
      <c r="EI18" s="117">
        <v>483.59416700000003</v>
      </c>
      <c r="EJ18" s="117">
        <v>781.47919100000001</v>
      </c>
      <c r="EK18" s="117">
        <v>451.92779400000001</v>
      </c>
      <c r="EL18" s="117">
        <v>842.70320300000003</v>
      </c>
      <c r="EM18" s="117">
        <v>515.30721100000005</v>
      </c>
      <c r="EN18" s="117">
        <v>0.151142</v>
      </c>
      <c r="EO18" s="117">
        <v>1037.9951349999999</v>
      </c>
      <c r="EP18" s="117">
        <v>472.95325000000003</v>
      </c>
      <c r="EQ18" s="117">
        <v>779.816732</v>
      </c>
      <c r="ER18" s="117">
        <v>445.49828500000001</v>
      </c>
      <c r="ES18" s="117">
        <v>847.73858900000005</v>
      </c>
      <c r="ET18" s="117">
        <v>522.97898299999997</v>
      </c>
      <c r="EU18" s="117">
        <v>0.15151899999999999</v>
      </c>
      <c r="EV18" s="117">
        <v>1097.1072389999999</v>
      </c>
      <c r="EW18" s="117">
        <v>500.72078699999997</v>
      </c>
      <c r="EX18" s="117">
        <v>804.17134499999997</v>
      </c>
      <c r="EY18" s="117">
        <v>466.22620899999998</v>
      </c>
      <c r="EZ18" s="117">
        <v>869.80084699999998</v>
      </c>
      <c r="FA18" s="117">
        <v>532.75041699999997</v>
      </c>
      <c r="FB18" s="117">
        <v>0.151895</v>
      </c>
      <c r="FC18" s="117">
        <v>1063.778372</v>
      </c>
      <c r="FD18" s="117">
        <v>472.90294299999999</v>
      </c>
      <c r="FE18" s="117">
        <v>761.880717</v>
      </c>
      <c r="FF18" s="117">
        <v>441.67697800000002</v>
      </c>
      <c r="FG18" s="117">
        <v>821.55238699999995</v>
      </c>
      <c r="FH18" s="117">
        <v>501.169242</v>
      </c>
      <c r="FI18" s="117">
        <v>0.13978599999999999</v>
      </c>
      <c r="FJ18" s="117">
        <v>988.25753399999996</v>
      </c>
      <c r="FK18" s="117">
        <v>460.775666</v>
      </c>
      <c r="FL18" s="117">
        <v>729.18369700000005</v>
      </c>
      <c r="FM18" s="117">
        <v>427.367277</v>
      </c>
      <c r="FN18" s="117">
        <v>783.48368600000003</v>
      </c>
      <c r="FO18" s="117">
        <v>475.69494500000002</v>
      </c>
      <c r="FP18" s="117">
        <v>0.14016200000000001</v>
      </c>
      <c r="FQ18" s="117">
        <v>950.84530900000004</v>
      </c>
      <c r="FR18" s="117">
        <v>434.249909</v>
      </c>
      <c r="FS18" s="117">
        <v>699.36178500000005</v>
      </c>
      <c r="FT18" s="117">
        <v>405.71745700000002</v>
      </c>
      <c r="FU18" s="117">
        <v>754.57854899999995</v>
      </c>
      <c r="FV18" s="117">
        <v>459.69445400000001</v>
      </c>
      <c r="FW18" s="117">
        <v>0.140539</v>
      </c>
      <c r="FX18" s="117">
        <v>1006.025116</v>
      </c>
      <c r="FY18" s="117">
        <v>471.459203</v>
      </c>
      <c r="FZ18" s="117">
        <v>742.821956</v>
      </c>
      <c r="GA18" s="117">
        <v>436.19698699999998</v>
      </c>
      <c r="GB18" s="117">
        <v>797.62259300000005</v>
      </c>
      <c r="GC18" s="117">
        <v>484.09831100000002</v>
      </c>
      <c r="GD18" s="117">
        <v>0.14091500000000001</v>
      </c>
      <c r="GE18" s="117">
        <v>980.60265200000003</v>
      </c>
      <c r="GF18" s="117">
        <v>457.470144</v>
      </c>
      <c r="GG18" s="117">
        <v>742.04145500000004</v>
      </c>
      <c r="GH18" s="117">
        <v>427.84411999999998</v>
      </c>
      <c r="GI18" s="117">
        <v>804.44638499999996</v>
      </c>
      <c r="GJ18" s="117">
        <v>494.31590799999998</v>
      </c>
      <c r="GK18" s="117">
        <v>0.14308999999999999</v>
      </c>
      <c r="GL18" s="117">
        <v>1069.654274</v>
      </c>
      <c r="GM18" s="117">
        <v>468.04600699999997</v>
      </c>
      <c r="GN18" s="117">
        <v>770.51427699999999</v>
      </c>
      <c r="GO18" s="117">
        <v>439.75060300000001</v>
      </c>
      <c r="GP18" s="117">
        <v>836.55926199999999</v>
      </c>
      <c r="GQ18" s="117">
        <v>517.37100699999996</v>
      </c>
      <c r="GR18" s="117">
        <v>0.14346600000000001</v>
      </c>
      <c r="GS18" s="117">
        <v>1051.616315</v>
      </c>
      <c r="GT18" s="117">
        <v>480.33151900000001</v>
      </c>
      <c r="GU18" s="117">
        <v>762.30787999999995</v>
      </c>
      <c r="GV18" s="117">
        <v>445.08122500000002</v>
      </c>
      <c r="GW18" s="117">
        <v>818.31679899999995</v>
      </c>
      <c r="GX18" s="117">
        <v>499.785011</v>
      </c>
      <c r="GY18" s="117">
        <v>0.143843</v>
      </c>
      <c r="GZ18" s="117">
        <v>1026.636512</v>
      </c>
      <c r="HA18" s="117">
        <v>465.73465299999998</v>
      </c>
      <c r="HB18" s="117">
        <v>755.67709400000001</v>
      </c>
      <c r="HC18" s="117">
        <v>435.26483000000002</v>
      </c>
      <c r="HD18" s="117">
        <v>814.61489500000005</v>
      </c>
      <c r="HE18" s="117">
        <v>500.12032499999998</v>
      </c>
      <c r="HF18" s="117">
        <v>0.14421900000000001</v>
      </c>
    </row>
    <row r="19" spans="6:214" x14ac:dyDescent="0.25">
      <c r="F19" s="116" t="str">
        <f xml:space="preserve"> _xll.EPMOlapMemberO("[PRDDESCR].[].[HELGAS GFREE TRAD WHITE 470G]","","HELGAS GFREE TRAD WHITE 470G","","000")</f>
        <v>HELGAS GFREE TRAD WHITE 470G</v>
      </c>
      <c r="G19" s="116" t="str">
        <f xml:space="preserve"> _xll.EPMOlapMemberO("[PRDID].[].[168846]","","168846","","000")</f>
        <v>168846</v>
      </c>
      <c r="H19" s="116" t="str">
        <f xml:space="preserve"> _xll.EPMOlapMemberO("[LOCID].[].[6120]","","6120","","000")</f>
        <v>6120</v>
      </c>
      <c r="I19" s="116" t="str">
        <f xml:space="preserve"> _xll.EPMOlapMemberO("[LOCDESCR].[].[QBA-Hobart]","","QBA-Hobart","","000")</f>
        <v>QBA-Hobart</v>
      </c>
      <c r="J19" s="116" t="str">
        <f xml:space="preserve"> _xll.EPMOlapMemberO("[KEY_FIGURES].[].[ZGFAPPROVEDFCSTQTY]","","Approved Forecast","","000")</f>
        <v>Approved Forecast</v>
      </c>
      <c r="K19" s="117">
        <v>167.367321</v>
      </c>
      <c r="L19" s="117">
        <v>0.28314</v>
      </c>
      <c r="M19" s="117">
        <v>166.00398300000001</v>
      </c>
      <c r="N19" s="117">
        <v>0.50617400000000001</v>
      </c>
      <c r="O19" s="117">
        <v>184.683528</v>
      </c>
      <c r="P19" s="117">
        <v>9.2107050000000008</v>
      </c>
      <c r="Q19" s="117">
        <v>0</v>
      </c>
      <c r="R19" s="117">
        <v>178.55774400000001</v>
      </c>
      <c r="S19" s="117">
        <v>0.120085</v>
      </c>
      <c r="T19" s="117">
        <v>168.44210000000001</v>
      </c>
      <c r="U19" s="117">
        <v>0.54083400000000004</v>
      </c>
      <c r="V19" s="117">
        <v>182.255695</v>
      </c>
      <c r="W19" s="117">
        <v>9.2420449999999992</v>
      </c>
      <c r="X19" s="117">
        <v>0</v>
      </c>
      <c r="Y19" s="117">
        <v>178.46679700000001</v>
      </c>
      <c r="Z19" s="117">
        <v>0.12523200000000001</v>
      </c>
      <c r="AA19" s="117">
        <v>167.607249</v>
      </c>
      <c r="AB19" s="117">
        <v>0.441083</v>
      </c>
      <c r="AC19" s="117">
        <v>181.68532500000001</v>
      </c>
      <c r="AD19" s="117">
        <v>16.772708000000002</v>
      </c>
      <c r="AE19" s="117">
        <v>0</v>
      </c>
      <c r="AF19" s="117">
        <v>179.80661599999999</v>
      </c>
      <c r="AG19" s="117">
        <v>0</v>
      </c>
      <c r="AH19" s="117">
        <v>132.56974700000001</v>
      </c>
      <c r="AI19" s="117">
        <v>0.334233</v>
      </c>
      <c r="AJ19" s="117">
        <v>142.504729</v>
      </c>
      <c r="AK19" s="117">
        <v>13.126080999999999</v>
      </c>
      <c r="AL19" s="117">
        <v>6.7888000000000004E-2</v>
      </c>
      <c r="AM19" s="117">
        <v>131.597396</v>
      </c>
      <c r="AN19" s="117">
        <v>0</v>
      </c>
      <c r="AO19" s="117">
        <v>110.937849</v>
      </c>
      <c r="AP19" s="117">
        <v>0.31244100000000002</v>
      </c>
      <c r="AQ19" s="117">
        <v>120.154636</v>
      </c>
      <c r="AR19" s="117">
        <v>11.093532</v>
      </c>
      <c r="AS19" s="117">
        <v>6.3462000000000005E-2</v>
      </c>
      <c r="AT19" s="117">
        <v>132.02124000000001</v>
      </c>
      <c r="AU19" s="117">
        <v>0</v>
      </c>
      <c r="AV19" s="117">
        <v>118.998397</v>
      </c>
      <c r="AW19" s="117">
        <v>0.31375399999999998</v>
      </c>
      <c r="AX19" s="117">
        <v>128.52801500000001</v>
      </c>
      <c r="AY19" s="117">
        <v>11.961461999999999</v>
      </c>
      <c r="AZ19" s="117">
        <v>6.3728000000000007E-2</v>
      </c>
      <c r="BA19" s="117">
        <v>141.49241900000001</v>
      </c>
      <c r="BB19" s="117">
        <v>0</v>
      </c>
      <c r="BC19" s="117">
        <v>119.233075</v>
      </c>
      <c r="BD19" s="117">
        <v>0.31506600000000001</v>
      </c>
      <c r="BE19" s="117">
        <v>128.79993099999999</v>
      </c>
      <c r="BF19" s="117">
        <v>11.986954000000001</v>
      </c>
      <c r="BG19" s="117">
        <v>6.3995999999999997E-2</v>
      </c>
      <c r="BH19" s="117">
        <v>141.820967</v>
      </c>
      <c r="BI19" s="117">
        <v>0</v>
      </c>
      <c r="BJ19" s="117">
        <v>111.933378</v>
      </c>
      <c r="BK19" s="117">
        <v>0.31638100000000002</v>
      </c>
      <c r="BL19" s="117">
        <v>121.26421000000001</v>
      </c>
      <c r="BM19" s="117">
        <v>11.196868</v>
      </c>
      <c r="BN19" s="117">
        <v>6.4262E-2</v>
      </c>
      <c r="BO19" s="117">
        <v>133.292843</v>
      </c>
      <c r="BP19" s="117">
        <v>0</v>
      </c>
      <c r="BQ19" s="117">
        <v>112.265216</v>
      </c>
      <c r="BR19" s="117">
        <v>0.31769599999999998</v>
      </c>
      <c r="BS19" s="117">
        <v>121.634066</v>
      </c>
      <c r="BT19" s="117">
        <v>11.231331000000001</v>
      </c>
      <c r="BU19" s="117">
        <v>6.4528000000000002E-2</v>
      </c>
      <c r="BV19" s="117">
        <v>147.52228299999999</v>
      </c>
      <c r="BW19" s="117">
        <v>0</v>
      </c>
      <c r="BX19" s="117">
        <v>132.057661</v>
      </c>
      <c r="BY19" s="117">
        <v>0.35812500000000003</v>
      </c>
      <c r="BZ19" s="117">
        <v>142.89686</v>
      </c>
      <c r="CA19" s="117">
        <v>13.301456</v>
      </c>
      <c r="CB19" s="117">
        <v>7.2741E-2</v>
      </c>
      <c r="CC19" s="117">
        <v>157.69441399999999</v>
      </c>
      <c r="CD19" s="117">
        <v>0</v>
      </c>
      <c r="CE19" s="117">
        <v>132.28448399999999</v>
      </c>
      <c r="CF19" s="117">
        <v>0.35943799999999998</v>
      </c>
      <c r="CG19" s="117">
        <v>143.16085200000001</v>
      </c>
      <c r="CH19" s="117">
        <v>13.326249000000001</v>
      </c>
      <c r="CI19" s="117">
        <v>7.3007000000000002E-2</v>
      </c>
      <c r="CJ19" s="117">
        <v>158.01516799999999</v>
      </c>
      <c r="CK19" s="117">
        <v>0</v>
      </c>
      <c r="CL19" s="117">
        <v>124.373295</v>
      </c>
      <c r="CM19" s="117">
        <v>0.36075000000000002</v>
      </c>
      <c r="CN19" s="117">
        <v>134.99500499999999</v>
      </c>
      <c r="CO19" s="117">
        <v>12.472006</v>
      </c>
      <c r="CP19" s="117">
        <v>7.3274000000000006E-2</v>
      </c>
      <c r="CQ19" s="117">
        <v>148.79386500000001</v>
      </c>
      <c r="CR19" s="117">
        <v>0</v>
      </c>
      <c r="CS19" s="117">
        <v>124.705136</v>
      </c>
      <c r="CT19" s="117">
        <v>0.36206500000000003</v>
      </c>
      <c r="CU19" s="117">
        <v>135.36488800000001</v>
      </c>
      <c r="CV19" s="117">
        <v>12.506439</v>
      </c>
      <c r="CW19" s="117">
        <v>7.3540999999999995E-2</v>
      </c>
      <c r="CX19" s="117">
        <v>178.29378199999999</v>
      </c>
      <c r="CY19" s="117">
        <v>0</v>
      </c>
      <c r="CZ19" s="117">
        <v>154.71627699999999</v>
      </c>
      <c r="DA19" s="117">
        <v>0.37010700000000002</v>
      </c>
      <c r="DB19" s="117">
        <v>165.760547</v>
      </c>
      <c r="DC19" s="117">
        <v>15.252254000000001</v>
      </c>
      <c r="DD19" s="117">
        <v>7.5174000000000005E-2</v>
      </c>
      <c r="DE19" s="117">
        <v>178.71766199999999</v>
      </c>
      <c r="DF19" s="117">
        <v>0</v>
      </c>
      <c r="DG19" s="117">
        <v>167.91767100000001</v>
      </c>
      <c r="DH19" s="117">
        <v>0.37142199999999997</v>
      </c>
      <c r="DI19" s="117">
        <v>179.577527</v>
      </c>
      <c r="DJ19" s="117">
        <v>16.650279000000001</v>
      </c>
      <c r="DK19" s="117">
        <v>7.5442999999999996E-2</v>
      </c>
      <c r="DL19" s="117">
        <v>193.94550000000001</v>
      </c>
      <c r="DM19" s="117">
        <v>0</v>
      </c>
      <c r="DN19" s="117">
        <v>167.72305</v>
      </c>
      <c r="DO19" s="117">
        <v>0.37273299999999998</v>
      </c>
      <c r="DP19" s="117">
        <v>179.309957</v>
      </c>
      <c r="DQ19" s="117">
        <v>16.668109000000001</v>
      </c>
      <c r="DR19" s="117">
        <v>7.5708999999999999E-2</v>
      </c>
      <c r="DS19" s="117">
        <v>194.191868</v>
      </c>
      <c r="DT19" s="117">
        <v>0</v>
      </c>
      <c r="DU19" s="117">
        <v>155.71177399999999</v>
      </c>
      <c r="DV19" s="117">
        <v>0.37404500000000002</v>
      </c>
      <c r="DW19" s="117">
        <v>166.870126</v>
      </c>
      <c r="DX19" s="117">
        <v>15.355613999999999</v>
      </c>
      <c r="DY19" s="117">
        <v>7.5975000000000001E-2</v>
      </c>
      <c r="DZ19" s="117">
        <v>176.77868699999999</v>
      </c>
      <c r="EA19" s="117">
        <v>0</v>
      </c>
      <c r="EB19" s="117">
        <v>153.85410999999999</v>
      </c>
      <c r="EC19" s="117">
        <v>0.36150599999999999</v>
      </c>
      <c r="ED19" s="117">
        <v>164.656476</v>
      </c>
      <c r="EE19" s="117">
        <v>15.145383000000001</v>
      </c>
      <c r="EF19" s="117">
        <v>7.3427000000000006E-2</v>
      </c>
      <c r="EG19" s="117">
        <v>177.20246900000001</v>
      </c>
      <c r="EH19" s="117">
        <v>0</v>
      </c>
      <c r="EI19" s="117">
        <v>154.18597800000001</v>
      </c>
      <c r="EJ19" s="117">
        <v>0.362821</v>
      </c>
      <c r="EK19" s="117">
        <v>165.02632199999999</v>
      </c>
      <c r="EL19" s="117">
        <v>15.179888</v>
      </c>
      <c r="EM19" s="117">
        <v>7.3695999999999998E-2</v>
      </c>
      <c r="EN19" s="117">
        <v>177.626419</v>
      </c>
      <c r="EO19" s="117">
        <v>0</v>
      </c>
      <c r="EP19" s="117">
        <v>166.75149200000001</v>
      </c>
      <c r="EQ19" s="117">
        <v>0.36413400000000001</v>
      </c>
      <c r="ER19" s="117">
        <v>178.100156</v>
      </c>
      <c r="ES19" s="117">
        <v>16.553758999999999</v>
      </c>
      <c r="ET19" s="117">
        <v>7.3960999999999999E-2</v>
      </c>
      <c r="EU19" s="117">
        <v>192.60081700000001</v>
      </c>
      <c r="EV19" s="117">
        <v>0</v>
      </c>
      <c r="EW19" s="117">
        <v>166.90227300000001</v>
      </c>
      <c r="EX19" s="117">
        <v>0.36544500000000002</v>
      </c>
      <c r="EY19" s="117">
        <v>178.28743800000001</v>
      </c>
      <c r="EZ19" s="117">
        <v>16.571511000000001</v>
      </c>
      <c r="FA19" s="117">
        <v>7.4228000000000002E-2</v>
      </c>
      <c r="FB19" s="117">
        <v>192.84607</v>
      </c>
      <c r="FC19" s="117">
        <v>0</v>
      </c>
      <c r="FD19" s="117">
        <v>155.181423</v>
      </c>
      <c r="FE19" s="117">
        <v>0.366759</v>
      </c>
      <c r="FF19" s="117">
        <v>166.13595100000001</v>
      </c>
      <c r="FG19" s="117">
        <v>15.283244</v>
      </c>
      <c r="FH19" s="117">
        <v>7.4496000000000007E-2</v>
      </c>
      <c r="FI19" s="117">
        <v>188.347409</v>
      </c>
      <c r="FJ19" s="117">
        <v>0</v>
      </c>
      <c r="FK19" s="117">
        <v>164.749765</v>
      </c>
      <c r="FL19" s="117">
        <v>0.375193</v>
      </c>
      <c r="FM19" s="117">
        <v>175.988541</v>
      </c>
      <c r="FN19" s="117">
        <v>16.178177999999999</v>
      </c>
      <c r="FO19" s="117">
        <v>7.6207999999999998E-2</v>
      </c>
      <c r="FP19" s="117">
        <v>188.77120300000001</v>
      </c>
      <c r="FQ19" s="117">
        <v>0</v>
      </c>
      <c r="FR19" s="117">
        <v>165.081523</v>
      </c>
      <c r="FS19" s="117">
        <v>0.37650299999999998</v>
      </c>
      <c r="FT19" s="117">
        <v>176.358475</v>
      </c>
      <c r="FU19" s="117">
        <v>16.212688</v>
      </c>
      <c r="FV19" s="117">
        <v>7.6475000000000001E-2</v>
      </c>
      <c r="FW19" s="117">
        <v>189.19503599999999</v>
      </c>
      <c r="FX19" s="117">
        <v>0</v>
      </c>
      <c r="FY19" s="117">
        <v>165.41336899999999</v>
      </c>
      <c r="FZ19" s="117">
        <v>0.37781700000000001</v>
      </c>
      <c r="GA19" s="117">
        <v>176.72833299999999</v>
      </c>
      <c r="GB19" s="117">
        <v>16.247153000000001</v>
      </c>
      <c r="GC19" s="117">
        <v>7.6740000000000003E-2</v>
      </c>
      <c r="GD19" s="117">
        <v>189.61890500000001</v>
      </c>
      <c r="GE19" s="117">
        <v>0</v>
      </c>
      <c r="GF19" s="117">
        <v>180.80213900000001</v>
      </c>
      <c r="GG19" s="117">
        <v>0.379133</v>
      </c>
      <c r="GH19" s="117">
        <v>192.69083699999999</v>
      </c>
      <c r="GI19" s="117">
        <v>17.905521</v>
      </c>
      <c r="GJ19" s="117">
        <v>7.7008999999999994E-2</v>
      </c>
      <c r="GK19" s="117">
        <v>180.44028299999999</v>
      </c>
      <c r="GL19" s="117">
        <v>0</v>
      </c>
      <c r="GM19" s="117">
        <v>152.803391</v>
      </c>
      <c r="GN19" s="117">
        <v>0.34764</v>
      </c>
      <c r="GO19" s="117">
        <v>163.57352399999999</v>
      </c>
      <c r="GP19" s="117">
        <v>15.207535</v>
      </c>
      <c r="GQ19" s="117">
        <v>7.0611999999999994E-2</v>
      </c>
      <c r="GR19" s="117">
        <v>177.541528</v>
      </c>
      <c r="GS19" s="117">
        <v>0</v>
      </c>
      <c r="GT19" s="117">
        <v>144.089797</v>
      </c>
      <c r="GU19" s="117">
        <v>0.34895500000000002</v>
      </c>
      <c r="GV19" s="117">
        <v>154.493089</v>
      </c>
      <c r="GW19" s="117">
        <v>14.218895</v>
      </c>
      <c r="GX19" s="117">
        <v>7.0878999999999998E-2</v>
      </c>
      <c r="GY19" s="117">
        <v>166.81194600000001</v>
      </c>
      <c r="GZ19" s="117">
        <v>0</v>
      </c>
      <c r="HA19" s="117">
        <v>144.421639</v>
      </c>
      <c r="HB19" s="117">
        <v>0.35026600000000002</v>
      </c>
      <c r="HC19" s="117">
        <v>154.862942</v>
      </c>
      <c r="HD19" s="117">
        <v>14.253342</v>
      </c>
      <c r="HE19" s="117">
        <v>7.1145E-2</v>
      </c>
      <c r="HF19" s="117">
        <v>167.235806</v>
      </c>
    </row>
    <row r="20" spans="6:214" x14ac:dyDescent="0.25">
      <c r="F20" s="116" t="str">
        <f xml:space="preserve"> _xll.EPMOlapMemberO("[PRDDESCR].[].[HELGAS GFREE TRAD WHITE 470G]","","HELGAS GFREE TRAD WHITE 470G","","000")</f>
        <v>HELGAS GFREE TRAD WHITE 470G</v>
      </c>
      <c r="G20" s="116" t="str">
        <f xml:space="preserve"> _xll.EPMOlapMemberO("[PRDID].[].[168846]","","168846","","000")</f>
        <v>168846</v>
      </c>
      <c r="H20" s="116" t="str">
        <f xml:space="preserve"> _xll.EPMOlapMemberO("[LOCID].[].[6123]","","6123","","000")</f>
        <v>6123</v>
      </c>
      <c r="I20" s="116" t="str">
        <f xml:space="preserve"> _xll.EPMOlapMemberO("[LOCDESCR].[].[QBA-Clayton - Fairbank]","","QBA-Clayton - Fairbank","","000")</f>
        <v>QBA-Clayton - Fairbank</v>
      </c>
      <c r="J20" s="116" t="str">
        <f xml:space="preserve"> _xll.EPMOlapMemberO("[KEY_FIGURES].[].[ZGFAPPROVEDFCSTQTY]","","Approved Forecast","","000")</f>
        <v>Approved Forecast</v>
      </c>
      <c r="K20" s="117">
        <v>0</v>
      </c>
      <c r="L20" s="117">
        <v>0</v>
      </c>
      <c r="M20" s="117">
        <v>780.92840899999999</v>
      </c>
      <c r="N20" s="117">
        <v>225.03720799999999</v>
      </c>
      <c r="O20" s="117">
        <v>419.19060400000001</v>
      </c>
      <c r="P20" s="117">
        <v>315.84207300000003</v>
      </c>
      <c r="Q20" s="117">
        <v>670.64640199999997</v>
      </c>
      <c r="R20" s="117">
        <v>2.7962000000000001E-2</v>
      </c>
      <c r="S20" s="117">
        <v>2.7962000000000001E-2</v>
      </c>
      <c r="T20" s="117">
        <v>777.01932199999999</v>
      </c>
      <c r="U20" s="117">
        <v>225.39420899999999</v>
      </c>
      <c r="V20" s="117">
        <v>414.03517499999998</v>
      </c>
      <c r="W20" s="117">
        <v>315.19454999999999</v>
      </c>
      <c r="X20" s="117">
        <v>674.08286999999996</v>
      </c>
      <c r="Y20" s="117">
        <v>1.1844E-2</v>
      </c>
      <c r="Z20" s="117">
        <v>1.1844E-2</v>
      </c>
      <c r="AA20" s="117">
        <v>806.68752099999995</v>
      </c>
      <c r="AB20" s="117">
        <v>235.712614</v>
      </c>
      <c r="AC20" s="117">
        <v>436.785505</v>
      </c>
      <c r="AD20" s="117">
        <v>327.30569600000001</v>
      </c>
      <c r="AE20" s="117">
        <v>689.47079099999996</v>
      </c>
      <c r="AF20" s="117">
        <v>0.26972099999999999</v>
      </c>
      <c r="AG20" s="117">
        <v>2.9114999999999999E-2</v>
      </c>
      <c r="AH20" s="117">
        <v>721.973479</v>
      </c>
      <c r="AI20" s="117">
        <v>231.119147</v>
      </c>
      <c r="AJ20" s="117">
        <v>395.16499599999997</v>
      </c>
      <c r="AK20" s="117">
        <v>298.36659500000002</v>
      </c>
      <c r="AL20" s="117">
        <v>585.35439699999995</v>
      </c>
      <c r="AM20" s="117">
        <v>0.24256</v>
      </c>
      <c r="AN20" s="117">
        <v>3.0138999999999999E-2</v>
      </c>
      <c r="AO20" s="117">
        <v>673.89893700000005</v>
      </c>
      <c r="AP20" s="117">
        <v>214.83333099999999</v>
      </c>
      <c r="AQ20" s="117">
        <v>367.30344200000002</v>
      </c>
      <c r="AR20" s="117">
        <v>276.75989800000002</v>
      </c>
      <c r="AS20" s="117">
        <v>535.11700599999995</v>
      </c>
      <c r="AT20" s="117">
        <v>0.24879100000000001</v>
      </c>
      <c r="AU20" s="117">
        <v>3.5671000000000001E-2</v>
      </c>
      <c r="AV20" s="117">
        <v>746.29365499999994</v>
      </c>
      <c r="AW20" s="117">
        <v>232.29109099999999</v>
      </c>
      <c r="AX20" s="117">
        <v>408.54036300000001</v>
      </c>
      <c r="AY20" s="117">
        <v>307.72439800000001</v>
      </c>
      <c r="AZ20" s="117">
        <v>609.74318000000005</v>
      </c>
      <c r="BA20" s="117">
        <v>0.25632500000000003</v>
      </c>
      <c r="BB20" s="117">
        <v>3.2816999999999999E-2</v>
      </c>
      <c r="BC20" s="117">
        <v>745.10037399999999</v>
      </c>
      <c r="BD20" s="117">
        <v>232.70340300000001</v>
      </c>
      <c r="BE20" s="117">
        <v>408.95902699999999</v>
      </c>
      <c r="BF20" s="117">
        <v>309.012518</v>
      </c>
      <c r="BG20" s="117">
        <v>618.74960599999997</v>
      </c>
      <c r="BH20" s="117">
        <v>0.25359799999999999</v>
      </c>
      <c r="BI20" s="117">
        <v>2.9985999999999999E-2</v>
      </c>
      <c r="BJ20" s="117">
        <v>683.71999200000005</v>
      </c>
      <c r="BK20" s="117">
        <v>218.55514400000001</v>
      </c>
      <c r="BL20" s="117">
        <v>373.65581600000002</v>
      </c>
      <c r="BM20" s="117">
        <v>281.00714299999999</v>
      </c>
      <c r="BN20" s="117">
        <v>546.35830599999997</v>
      </c>
      <c r="BO20" s="117">
        <v>0.26076899999999997</v>
      </c>
      <c r="BP20" s="117">
        <v>3.0575999999999999E-2</v>
      </c>
      <c r="BQ20" s="117">
        <v>691.32722699999999</v>
      </c>
      <c r="BR20" s="117">
        <v>221.38824600000001</v>
      </c>
      <c r="BS20" s="117">
        <v>378.22461900000002</v>
      </c>
      <c r="BT20" s="117">
        <v>284.025801</v>
      </c>
      <c r="BU20" s="117">
        <v>553.12161500000002</v>
      </c>
      <c r="BV20" s="117">
        <v>0.27530300000000002</v>
      </c>
      <c r="BW20" s="117">
        <v>2.9364000000000001E-2</v>
      </c>
      <c r="BX20" s="117">
        <v>742.370541</v>
      </c>
      <c r="BY20" s="117">
        <v>234.272266</v>
      </c>
      <c r="BZ20" s="117">
        <v>411.94163800000001</v>
      </c>
      <c r="CA20" s="117">
        <v>309.86137400000001</v>
      </c>
      <c r="CB20" s="117">
        <v>638.54261899999995</v>
      </c>
      <c r="CC20" s="117">
        <v>0.265017</v>
      </c>
      <c r="CD20" s="117">
        <v>3.5367000000000003E-2</v>
      </c>
      <c r="CE20" s="117">
        <v>748.94926499999997</v>
      </c>
      <c r="CF20" s="117">
        <v>234.96632</v>
      </c>
      <c r="CG20" s="117">
        <v>413.71337799999998</v>
      </c>
      <c r="CH20" s="117">
        <v>308.75294600000001</v>
      </c>
      <c r="CI20" s="117">
        <v>623.41895799999998</v>
      </c>
      <c r="CJ20" s="117">
        <v>0.25109500000000001</v>
      </c>
      <c r="CK20" s="117">
        <v>3.3901000000000001E-2</v>
      </c>
      <c r="CL20" s="117">
        <v>680.45343300000002</v>
      </c>
      <c r="CM20" s="117">
        <v>217.74126699999999</v>
      </c>
      <c r="CN20" s="117">
        <v>373.28335800000002</v>
      </c>
      <c r="CO20" s="117">
        <v>276.76035000000002</v>
      </c>
      <c r="CP20" s="117">
        <v>537.59602199999995</v>
      </c>
      <c r="CQ20" s="117">
        <v>0.28462900000000002</v>
      </c>
      <c r="CR20" s="117">
        <v>2.8892999999999999E-2</v>
      </c>
      <c r="CS20" s="117">
        <v>695.75474099999997</v>
      </c>
      <c r="CT20" s="117">
        <v>225.417089</v>
      </c>
      <c r="CU20" s="117">
        <v>385.07208700000001</v>
      </c>
      <c r="CV20" s="117">
        <v>286.899654</v>
      </c>
      <c r="CW20" s="117">
        <v>574.64444300000002</v>
      </c>
      <c r="CX20" s="117">
        <v>0.28846300000000002</v>
      </c>
      <c r="CY20" s="117">
        <v>2.9366E-2</v>
      </c>
      <c r="CZ20" s="117">
        <v>715.72576700000002</v>
      </c>
      <c r="DA20" s="117">
        <v>231.591579</v>
      </c>
      <c r="DB20" s="117">
        <v>395.993875</v>
      </c>
      <c r="DC20" s="117">
        <v>295.30078200000003</v>
      </c>
      <c r="DD20" s="117">
        <v>591.74277900000004</v>
      </c>
      <c r="DE20" s="117">
        <v>0.25397399999999998</v>
      </c>
      <c r="DF20" s="117">
        <v>3.4735000000000002E-2</v>
      </c>
      <c r="DG20" s="117">
        <v>754.294442</v>
      </c>
      <c r="DH20" s="117">
        <v>235.517529</v>
      </c>
      <c r="DI20" s="117">
        <v>415.35713600000003</v>
      </c>
      <c r="DJ20" s="117">
        <v>311.75260300000002</v>
      </c>
      <c r="DK20" s="117">
        <v>627.91804300000001</v>
      </c>
      <c r="DL20" s="117">
        <v>0.30009999999999998</v>
      </c>
      <c r="DM20" s="117">
        <v>3.3475999999999999E-2</v>
      </c>
      <c r="DN20" s="117">
        <v>790.07530399999996</v>
      </c>
      <c r="DO20" s="117">
        <v>249.93378000000001</v>
      </c>
      <c r="DP20" s="117">
        <v>438.99680699999999</v>
      </c>
      <c r="DQ20" s="117">
        <v>328.122998</v>
      </c>
      <c r="DR20" s="117">
        <v>674.18064600000002</v>
      </c>
      <c r="DS20" s="117">
        <v>0.27149699999999999</v>
      </c>
      <c r="DT20" s="117">
        <v>3.4806999999999998E-2</v>
      </c>
      <c r="DU20" s="117">
        <v>715.53854200000001</v>
      </c>
      <c r="DV20" s="117">
        <v>229.84546</v>
      </c>
      <c r="DW20" s="117">
        <v>393.386143</v>
      </c>
      <c r="DX20" s="117">
        <v>291.81751700000001</v>
      </c>
      <c r="DY20" s="117">
        <v>571.06801099999996</v>
      </c>
      <c r="DZ20" s="117">
        <v>0.26157399999999997</v>
      </c>
      <c r="EA20" s="117">
        <v>3.2806000000000002E-2</v>
      </c>
      <c r="EB20" s="117">
        <v>712.22806300000002</v>
      </c>
      <c r="EC20" s="117">
        <v>227.62805399999999</v>
      </c>
      <c r="ED20" s="117">
        <v>389.28108900000001</v>
      </c>
      <c r="EE20" s="117">
        <v>291.794667</v>
      </c>
      <c r="EF20" s="117">
        <v>566.158998</v>
      </c>
      <c r="EG20" s="117">
        <v>0.27948699999999999</v>
      </c>
      <c r="EH20" s="117">
        <v>3.7557E-2</v>
      </c>
      <c r="EI20" s="117">
        <v>740.02102500000001</v>
      </c>
      <c r="EJ20" s="117">
        <v>236.998299</v>
      </c>
      <c r="EK20" s="117">
        <v>405.23436900000002</v>
      </c>
      <c r="EL20" s="117">
        <v>300.78663499999999</v>
      </c>
      <c r="EM20" s="117">
        <v>580.62575600000002</v>
      </c>
      <c r="EN20" s="117">
        <v>0.29456399999999999</v>
      </c>
      <c r="EO20" s="117">
        <v>4.3202999999999998E-2</v>
      </c>
      <c r="EP20" s="117">
        <v>819.61771699999997</v>
      </c>
      <c r="EQ20" s="117">
        <v>257.15680300000002</v>
      </c>
      <c r="ER20" s="117">
        <v>451.01896900000003</v>
      </c>
      <c r="ES20" s="117">
        <v>334.99635999999998</v>
      </c>
      <c r="ET20" s="117">
        <v>663.86155900000006</v>
      </c>
      <c r="EU20" s="117">
        <v>0.28022799999999998</v>
      </c>
      <c r="EV20" s="117">
        <v>3.4458000000000003E-2</v>
      </c>
      <c r="EW20" s="117">
        <v>784.85722099999998</v>
      </c>
      <c r="EX20" s="117">
        <v>246.141504</v>
      </c>
      <c r="EY20" s="117">
        <v>432.29080199999999</v>
      </c>
      <c r="EZ20" s="117">
        <v>325.344178</v>
      </c>
      <c r="FA20" s="117">
        <v>655.30335400000001</v>
      </c>
      <c r="FB20" s="117">
        <v>0.284634</v>
      </c>
      <c r="FC20" s="117">
        <v>2.8747000000000002E-2</v>
      </c>
      <c r="FD20" s="117">
        <v>721.999413</v>
      </c>
      <c r="FE20" s="117">
        <v>232.62673599999999</v>
      </c>
      <c r="FF20" s="117">
        <v>397.08127500000001</v>
      </c>
      <c r="FG20" s="117">
        <v>298.71786500000002</v>
      </c>
      <c r="FH20" s="117">
        <v>592.23020899999995</v>
      </c>
      <c r="FI20" s="117">
        <v>0.29943500000000001</v>
      </c>
      <c r="FJ20" s="117">
        <v>3.0821000000000001E-2</v>
      </c>
      <c r="FK20" s="117">
        <v>738.30378399999995</v>
      </c>
      <c r="FL20" s="117">
        <v>237.97930199999999</v>
      </c>
      <c r="FM20" s="117">
        <v>405.462153</v>
      </c>
      <c r="FN20" s="117">
        <v>304.50458200000003</v>
      </c>
      <c r="FO20" s="117">
        <v>598.48388299999999</v>
      </c>
      <c r="FP20" s="117">
        <v>0.28511399999999998</v>
      </c>
      <c r="FQ20" s="117">
        <v>4.0980000000000003E-2</v>
      </c>
      <c r="FR20" s="117">
        <v>752.40767400000004</v>
      </c>
      <c r="FS20" s="117">
        <v>240.37241299999999</v>
      </c>
      <c r="FT20" s="117">
        <v>410.26272599999999</v>
      </c>
      <c r="FU20" s="117">
        <v>304.10730699999999</v>
      </c>
      <c r="FV20" s="117">
        <v>576.95504500000004</v>
      </c>
      <c r="FW20" s="117">
        <v>0.28495900000000002</v>
      </c>
      <c r="FX20" s="117">
        <v>3.3138000000000001E-2</v>
      </c>
      <c r="FY20" s="117">
        <v>731.98083499999996</v>
      </c>
      <c r="FZ20" s="117">
        <v>234.827226</v>
      </c>
      <c r="GA20" s="117">
        <v>400.233926</v>
      </c>
      <c r="GB20" s="117">
        <v>300.382496</v>
      </c>
      <c r="GC20" s="117">
        <v>582.49206000000004</v>
      </c>
      <c r="GD20" s="117">
        <v>0.29567199999999999</v>
      </c>
      <c r="GE20" s="117">
        <v>2.9451999999999999E-2</v>
      </c>
      <c r="GF20" s="117">
        <v>788.1191</v>
      </c>
      <c r="GG20" s="117">
        <v>248.28956500000001</v>
      </c>
      <c r="GH20" s="117">
        <v>434.69431400000002</v>
      </c>
      <c r="GI20" s="117">
        <v>330.21835800000002</v>
      </c>
      <c r="GJ20" s="117">
        <v>672.54681900000003</v>
      </c>
      <c r="GK20" s="117">
        <v>0.29804599999999998</v>
      </c>
      <c r="GL20" s="117">
        <v>2.9125999999999999E-2</v>
      </c>
      <c r="GM20" s="117">
        <v>840.42648199999996</v>
      </c>
      <c r="GN20" s="117">
        <v>263.37203699999998</v>
      </c>
      <c r="GO20" s="117">
        <v>461.68448899999999</v>
      </c>
      <c r="GP20" s="117">
        <v>353.87513000000001</v>
      </c>
      <c r="GQ20" s="117">
        <v>719.39800700000001</v>
      </c>
      <c r="GR20" s="117">
        <v>0.29871500000000001</v>
      </c>
      <c r="GS20" s="117">
        <v>3.4529999999999998E-2</v>
      </c>
      <c r="GT20" s="117">
        <v>806.44909399999995</v>
      </c>
      <c r="GU20" s="117">
        <v>257.75086900000002</v>
      </c>
      <c r="GV20" s="117">
        <v>440.69435900000002</v>
      </c>
      <c r="GW20" s="117">
        <v>331.97776399999998</v>
      </c>
      <c r="GX20" s="117">
        <v>646.39571899999999</v>
      </c>
      <c r="GY20" s="117">
        <v>0.26356400000000002</v>
      </c>
      <c r="GZ20" s="117">
        <v>3.3146000000000002E-2</v>
      </c>
      <c r="HA20" s="117">
        <v>772.77019499999994</v>
      </c>
      <c r="HB20" s="117">
        <v>245.04830999999999</v>
      </c>
      <c r="HC20" s="117">
        <v>419.38315699999998</v>
      </c>
      <c r="HD20" s="117">
        <v>318.33544000000001</v>
      </c>
      <c r="HE20" s="117">
        <v>612.42965700000002</v>
      </c>
      <c r="HF20" s="117">
        <v>0.26606200000000002</v>
      </c>
    </row>
    <row r="21" spans="6:214" x14ac:dyDescent="0.25">
      <c r="F21" s="116" t="str">
        <f xml:space="preserve"> _xll.EPMOlapMemberO("[PRDDESCR].[].[HELGAS GFREE TRAD WHITE 470G]","","HELGAS GFREE TRAD WHITE 470G","","000")</f>
        <v>HELGAS GFREE TRAD WHITE 470G</v>
      </c>
      <c r="G21" s="116" t="str">
        <f xml:space="preserve"> _xll.EPMOlapMemberO("[PRDID].[].[168846]","","168846","","000")</f>
        <v>168846</v>
      </c>
      <c r="H21" s="116" t="str">
        <f xml:space="preserve"> _xll.EPMOlapMemberO("[LOCID].[].[6125]","","6125","","000")</f>
        <v>6125</v>
      </c>
      <c r="I21" s="116" t="str">
        <f xml:space="preserve"> _xll.EPMOlapMemberO("[LOCDESCR].[].[QBA -Keilor Park]","","QBA -Keilor Park","","000")</f>
        <v>QBA -Keilor Park</v>
      </c>
      <c r="J21" s="116" t="str">
        <f xml:space="preserve"> _xll.EPMOlapMemberO("[KEY_FIGURES].[].[ZGFAPPROVEDFCSTQTY]","","Approved Forecast","","000")</f>
        <v>Approved Forecast</v>
      </c>
      <c r="K21" s="117">
        <v>6.3729129999999996</v>
      </c>
      <c r="L21" s="117">
        <v>1.0801E-2</v>
      </c>
      <c r="M21" s="117">
        <v>819.01168600000005</v>
      </c>
      <c r="N21" s="117">
        <v>155.69465099999999</v>
      </c>
      <c r="O21" s="117">
        <v>316.02931699999999</v>
      </c>
      <c r="P21" s="117">
        <v>442.174801</v>
      </c>
      <c r="Q21" s="117">
        <v>416.12121100000002</v>
      </c>
      <c r="R21" s="117">
        <v>5.4850110000000001</v>
      </c>
      <c r="S21" s="117">
        <v>0</v>
      </c>
      <c r="T21" s="117">
        <v>823.44680800000003</v>
      </c>
      <c r="U21" s="117">
        <v>162.85076000000001</v>
      </c>
      <c r="V21" s="117">
        <v>323.41388899999998</v>
      </c>
      <c r="W21" s="117">
        <v>457.31628499999999</v>
      </c>
      <c r="X21" s="117">
        <v>438.07288499999999</v>
      </c>
      <c r="Y21" s="117">
        <v>5.8512620000000002</v>
      </c>
      <c r="Z21" s="117">
        <v>8.1809999999999994E-2</v>
      </c>
      <c r="AA21" s="117">
        <v>791.58082999999999</v>
      </c>
      <c r="AB21" s="117">
        <v>159.08116899999999</v>
      </c>
      <c r="AC21" s="117">
        <v>309.94670000000002</v>
      </c>
      <c r="AD21" s="117">
        <v>438.32154300000002</v>
      </c>
      <c r="AE21" s="117">
        <v>418.305093</v>
      </c>
      <c r="AF21" s="117">
        <v>6.3866540000000001</v>
      </c>
      <c r="AG21" s="117">
        <v>0</v>
      </c>
      <c r="AH21" s="117">
        <v>716.14653599999997</v>
      </c>
      <c r="AI21" s="117">
        <v>159.28507300000001</v>
      </c>
      <c r="AJ21" s="117">
        <v>276.31750599999998</v>
      </c>
      <c r="AK21" s="117">
        <v>374.21346199999999</v>
      </c>
      <c r="AL21" s="117">
        <v>343.63980700000002</v>
      </c>
      <c r="AM21" s="117">
        <v>5.4443339999999996</v>
      </c>
      <c r="AN21" s="117">
        <v>0</v>
      </c>
      <c r="AO21" s="117">
        <v>678.71656700000005</v>
      </c>
      <c r="AP21" s="117">
        <v>146.38644600000001</v>
      </c>
      <c r="AQ21" s="117">
        <v>262.79008199999998</v>
      </c>
      <c r="AR21" s="117">
        <v>358.260041</v>
      </c>
      <c r="AS21" s="117">
        <v>335.55334599999998</v>
      </c>
      <c r="AT21" s="117">
        <v>7.9396849999999999</v>
      </c>
      <c r="AU21" s="117">
        <v>0</v>
      </c>
      <c r="AV21" s="117">
        <v>769.63922000000002</v>
      </c>
      <c r="AW21" s="117">
        <v>170.64490699999999</v>
      </c>
      <c r="AX21" s="117">
        <v>288.00753700000001</v>
      </c>
      <c r="AY21" s="117">
        <v>406.20482399999997</v>
      </c>
      <c r="AZ21" s="117">
        <v>372.87159100000002</v>
      </c>
      <c r="BA21" s="117">
        <v>4.1170369999999998</v>
      </c>
      <c r="BB21" s="117">
        <v>0</v>
      </c>
      <c r="BC21" s="117">
        <v>704.55475999999999</v>
      </c>
      <c r="BD21" s="117">
        <v>138.16728599999999</v>
      </c>
      <c r="BE21" s="117">
        <v>271.71989600000001</v>
      </c>
      <c r="BF21" s="117">
        <v>383.61762900000002</v>
      </c>
      <c r="BG21" s="117">
        <v>375.64504399999998</v>
      </c>
      <c r="BH21" s="117">
        <v>6.154147</v>
      </c>
      <c r="BI21" s="117">
        <v>0</v>
      </c>
      <c r="BJ21" s="117">
        <v>650.642248</v>
      </c>
      <c r="BK21" s="117">
        <v>145.42579599999999</v>
      </c>
      <c r="BL21" s="117">
        <v>248.69595899999999</v>
      </c>
      <c r="BM21" s="117">
        <v>340.160864</v>
      </c>
      <c r="BN21" s="117">
        <v>310.58606800000001</v>
      </c>
      <c r="BO21" s="117">
        <v>7.7361469999999999</v>
      </c>
      <c r="BP21" s="117">
        <v>0</v>
      </c>
      <c r="BQ21" s="117">
        <v>707.23798999999997</v>
      </c>
      <c r="BR21" s="117">
        <v>164.044982</v>
      </c>
      <c r="BS21" s="117">
        <v>268.09096299999999</v>
      </c>
      <c r="BT21" s="117">
        <v>365.95703700000001</v>
      </c>
      <c r="BU21" s="117">
        <v>327.46298000000002</v>
      </c>
      <c r="BV21" s="117">
        <v>6.5170659999999998</v>
      </c>
      <c r="BW21" s="117">
        <v>0</v>
      </c>
      <c r="BX21" s="117">
        <v>749.81985399999996</v>
      </c>
      <c r="BY21" s="117">
        <v>159.21488600000001</v>
      </c>
      <c r="BZ21" s="117">
        <v>283.47796799999998</v>
      </c>
      <c r="CA21" s="117">
        <v>400.314257</v>
      </c>
      <c r="CB21" s="117">
        <v>376.26129600000002</v>
      </c>
      <c r="CC21" s="117">
        <v>6.5406899999999997</v>
      </c>
      <c r="CD21" s="117">
        <v>0</v>
      </c>
      <c r="CE21" s="117">
        <v>748.95052799999996</v>
      </c>
      <c r="CF21" s="117">
        <v>159.233634</v>
      </c>
      <c r="CG21" s="117">
        <v>283.07565299999999</v>
      </c>
      <c r="CH21" s="117">
        <v>399.70592399999998</v>
      </c>
      <c r="CI21" s="117">
        <v>375.39745499999998</v>
      </c>
      <c r="CJ21" s="117">
        <v>6.877408</v>
      </c>
      <c r="CK21" s="117">
        <v>0</v>
      </c>
      <c r="CL21" s="117">
        <v>706.28691700000002</v>
      </c>
      <c r="CM21" s="117">
        <v>159.195322</v>
      </c>
      <c r="CN21" s="117">
        <v>270.10708199999999</v>
      </c>
      <c r="CO21" s="117">
        <v>368.34192999999999</v>
      </c>
      <c r="CP21" s="117">
        <v>335.77068700000001</v>
      </c>
      <c r="CQ21" s="117">
        <v>5.8604159999999998</v>
      </c>
      <c r="CR21" s="117">
        <v>0</v>
      </c>
      <c r="CS21" s="117">
        <v>668.45414700000003</v>
      </c>
      <c r="CT21" s="117">
        <v>146.970372</v>
      </c>
      <c r="CU21" s="117">
        <v>257.01623499999999</v>
      </c>
      <c r="CV21" s="117">
        <v>350.95688100000001</v>
      </c>
      <c r="CW21" s="117">
        <v>324.040616</v>
      </c>
      <c r="CX21" s="117">
        <v>6.792967</v>
      </c>
      <c r="CY21" s="117">
        <v>0</v>
      </c>
      <c r="CZ21" s="117">
        <v>727.85960299999999</v>
      </c>
      <c r="DA21" s="117">
        <v>162.02607599999999</v>
      </c>
      <c r="DB21" s="117">
        <v>279.05142899999998</v>
      </c>
      <c r="DC21" s="117">
        <v>381.094831</v>
      </c>
      <c r="DD21" s="117">
        <v>350.590979</v>
      </c>
      <c r="DE21" s="117">
        <v>7.2010610000000002</v>
      </c>
      <c r="DF21" s="117">
        <v>0</v>
      </c>
      <c r="DG21" s="117">
        <v>775.57043799999997</v>
      </c>
      <c r="DH21" s="117">
        <v>166.977867</v>
      </c>
      <c r="DI21" s="117">
        <v>291.82963799999999</v>
      </c>
      <c r="DJ21" s="117">
        <v>412.73360700000001</v>
      </c>
      <c r="DK21" s="117">
        <v>385.179824</v>
      </c>
      <c r="DL21" s="117">
        <v>8.3226999999999993</v>
      </c>
      <c r="DM21" s="117">
        <v>0</v>
      </c>
      <c r="DN21" s="117">
        <v>820.41938500000003</v>
      </c>
      <c r="DO21" s="117">
        <v>181.04284999999999</v>
      </c>
      <c r="DP21" s="117">
        <v>307.63569200000001</v>
      </c>
      <c r="DQ21" s="117">
        <v>433.60010799999998</v>
      </c>
      <c r="DR21" s="117">
        <v>399.94462600000003</v>
      </c>
      <c r="DS21" s="117">
        <v>6.2810180000000004</v>
      </c>
      <c r="DT21" s="117">
        <v>0</v>
      </c>
      <c r="DU21" s="117">
        <v>696.63734199999999</v>
      </c>
      <c r="DV21" s="117">
        <v>153.746971</v>
      </c>
      <c r="DW21" s="117">
        <v>267.26417900000001</v>
      </c>
      <c r="DX21" s="117">
        <v>365.58854100000002</v>
      </c>
      <c r="DY21" s="117">
        <v>337.27735899999999</v>
      </c>
      <c r="DZ21" s="117">
        <v>9.4064010000000007</v>
      </c>
      <c r="EA21" s="117">
        <v>0</v>
      </c>
      <c r="EB21" s="117">
        <v>777.08614699999998</v>
      </c>
      <c r="EC21" s="117">
        <v>184.820269</v>
      </c>
      <c r="ED21" s="117">
        <v>291.875247</v>
      </c>
      <c r="EE21" s="117">
        <v>399.38800099999997</v>
      </c>
      <c r="EF21" s="117">
        <v>351.791676</v>
      </c>
      <c r="EG21" s="117">
        <v>8.9522879999999994</v>
      </c>
      <c r="EH21" s="117">
        <v>0</v>
      </c>
      <c r="EI21" s="117">
        <v>752.833259</v>
      </c>
      <c r="EJ21" s="117">
        <v>178.07903899999999</v>
      </c>
      <c r="EK21" s="117">
        <v>282.89130399999999</v>
      </c>
      <c r="EL21" s="117">
        <v>387.54103600000002</v>
      </c>
      <c r="EM21" s="117">
        <v>342.0752</v>
      </c>
      <c r="EN21" s="117">
        <v>6.451695</v>
      </c>
      <c r="EO21" s="117">
        <v>0</v>
      </c>
      <c r="EP21" s="117">
        <v>781.07545300000004</v>
      </c>
      <c r="EQ21" s="117">
        <v>163.52196799999999</v>
      </c>
      <c r="ER21" s="117">
        <v>296.04005100000001</v>
      </c>
      <c r="ES21" s="117">
        <v>418.72361599999999</v>
      </c>
      <c r="ET21" s="117">
        <v>397.122322</v>
      </c>
      <c r="EU21" s="117">
        <v>11.444464999999999</v>
      </c>
      <c r="EV21" s="117">
        <v>0</v>
      </c>
      <c r="EW21" s="117">
        <v>873.991039</v>
      </c>
      <c r="EX21" s="117">
        <v>207.408794</v>
      </c>
      <c r="EY21" s="117">
        <v>320.77389099999999</v>
      </c>
      <c r="EZ21" s="117">
        <v>452.51788199999999</v>
      </c>
      <c r="FA21" s="117">
        <v>398.146095</v>
      </c>
      <c r="FB21" s="117">
        <v>10.383290000000001</v>
      </c>
      <c r="FC21" s="117">
        <v>0</v>
      </c>
      <c r="FD21" s="117">
        <v>804.10653100000002</v>
      </c>
      <c r="FE21" s="117">
        <v>194.93087600000001</v>
      </c>
      <c r="FF21" s="117">
        <v>300.46300400000001</v>
      </c>
      <c r="FG21" s="117">
        <v>410.92287399999998</v>
      </c>
      <c r="FH21" s="117">
        <v>357.39189499999998</v>
      </c>
      <c r="FI21" s="117">
        <v>9.1311119999999999</v>
      </c>
      <c r="FJ21" s="117">
        <v>0</v>
      </c>
      <c r="FK21" s="117">
        <v>781.51344600000004</v>
      </c>
      <c r="FL21" s="117">
        <v>186.56914900000001</v>
      </c>
      <c r="FM21" s="117">
        <v>296.49467299999998</v>
      </c>
      <c r="FN21" s="117">
        <v>399.98165499999999</v>
      </c>
      <c r="FO21" s="117">
        <v>351.45538099999999</v>
      </c>
      <c r="FP21" s="117">
        <v>5.852932</v>
      </c>
      <c r="FQ21" s="117">
        <v>0</v>
      </c>
      <c r="FR21" s="117">
        <v>676.35137799999995</v>
      </c>
      <c r="FS21" s="117">
        <v>150.090442</v>
      </c>
      <c r="FT21" s="117">
        <v>261.45940400000001</v>
      </c>
      <c r="FU21" s="117">
        <v>353.25735800000001</v>
      </c>
      <c r="FV21" s="117">
        <v>323.86038200000002</v>
      </c>
      <c r="FW21" s="117">
        <v>6.3880949999999999</v>
      </c>
      <c r="FX21" s="117">
        <v>0</v>
      </c>
      <c r="FY21" s="117">
        <v>726.11203899999998</v>
      </c>
      <c r="FZ21" s="117">
        <v>161.718628</v>
      </c>
      <c r="GA21" s="117">
        <v>281.06721800000003</v>
      </c>
      <c r="GB21" s="117">
        <v>378.97823599999998</v>
      </c>
      <c r="GC21" s="117">
        <v>348.20368000000002</v>
      </c>
      <c r="GD21" s="117">
        <v>6.9662810000000004</v>
      </c>
      <c r="GE21" s="117">
        <v>0</v>
      </c>
      <c r="GF21" s="117">
        <v>778.81501500000002</v>
      </c>
      <c r="GG21" s="117">
        <v>168.477034</v>
      </c>
      <c r="GH21" s="117">
        <v>295.49426799999998</v>
      </c>
      <c r="GI21" s="117">
        <v>412.75507800000003</v>
      </c>
      <c r="GJ21" s="117">
        <v>383.94886000000002</v>
      </c>
      <c r="GK21" s="117">
        <v>6.726966</v>
      </c>
      <c r="GL21" s="117">
        <v>0</v>
      </c>
      <c r="GM21" s="117">
        <v>816.77757599999995</v>
      </c>
      <c r="GN21" s="117">
        <v>172.19415900000001</v>
      </c>
      <c r="GO21" s="117">
        <v>310.99866100000003</v>
      </c>
      <c r="GP21" s="117">
        <v>436.484061</v>
      </c>
      <c r="GQ21" s="117">
        <v>413.24188700000002</v>
      </c>
      <c r="GR21" s="117">
        <v>6.23855</v>
      </c>
      <c r="GS21" s="117">
        <v>0</v>
      </c>
      <c r="GT21" s="117">
        <v>731.93967499999997</v>
      </c>
      <c r="GU21" s="117">
        <v>159.79992300000001</v>
      </c>
      <c r="GV21" s="117">
        <v>282.12106699999998</v>
      </c>
      <c r="GW21" s="117">
        <v>385.06113800000003</v>
      </c>
      <c r="GX21" s="117">
        <v>357.89441099999999</v>
      </c>
      <c r="GY21" s="117">
        <v>8.2027999999999999</v>
      </c>
      <c r="GZ21" s="117">
        <v>0</v>
      </c>
      <c r="HA21" s="117">
        <v>798.34326099999998</v>
      </c>
      <c r="HB21" s="117">
        <v>182.245093</v>
      </c>
      <c r="HC21" s="117">
        <v>304.554823</v>
      </c>
      <c r="HD21" s="117">
        <v>414.943353</v>
      </c>
      <c r="HE21" s="117">
        <v>376.49520100000001</v>
      </c>
      <c r="HF21" s="117">
        <v>4.7981670000000003</v>
      </c>
    </row>
    <row r="22" spans="6:214" x14ac:dyDescent="0.25">
      <c r="F22" s="116" t="str">
        <f xml:space="preserve"> _xll.EPMOlapMemberO("[PRDDESCR].[].[HELGAS GFREE TRAD WHITE 470G]","","HELGAS GFREE TRAD WHITE 470G","","000")</f>
        <v>HELGAS GFREE TRAD WHITE 470G</v>
      </c>
      <c r="G22" s="116" t="str">
        <f xml:space="preserve"> _xll.EPMOlapMemberO("[PRDID].[].[168846]","","168846","","000")</f>
        <v>168846</v>
      </c>
      <c r="H22" s="116" t="str">
        <f xml:space="preserve"> _xll.EPMOlapMemberO("[LOCID].[].[6130]","","6130","","000")</f>
        <v>6130</v>
      </c>
      <c r="I22" s="116" t="str">
        <f xml:space="preserve"> _xll.EPMOlapMemberO("[LOCDESCR].[].[QBA-Canning Vale]","","QBA-Canning Vale","","000")</f>
        <v>QBA-Canning Vale</v>
      </c>
      <c r="J22" s="116" t="str">
        <f xml:space="preserve"> _xll.EPMOlapMemberO("[KEY_FIGURES].[].[ZGFAPPROVEDFCSTQTY]","","Approved Forecast","","000")</f>
        <v>Approved Forecast</v>
      </c>
      <c r="K22" s="117">
        <v>184.42165399999999</v>
      </c>
      <c r="L22" s="117">
        <v>184.42162300000001</v>
      </c>
      <c r="M22" s="117">
        <v>166.905506</v>
      </c>
      <c r="N22" s="117">
        <v>166.90537699999999</v>
      </c>
      <c r="O22" s="117">
        <v>166.90528900000001</v>
      </c>
      <c r="P22" s="117">
        <v>176.88926799999999</v>
      </c>
      <c r="Q22" s="117">
        <v>176.88926699999999</v>
      </c>
      <c r="R22" s="117">
        <v>167.482902</v>
      </c>
      <c r="S22" s="117">
        <v>167.48281</v>
      </c>
      <c r="T22" s="117">
        <v>167.67022900000001</v>
      </c>
      <c r="U22" s="117">
        <v>167.67007100000001</v>
      </c>
      <c r="V22" s="117">
        <v>167.669949</v>
      </c>
      <c r="W22" s="117">
        <v>180.18319099999999</v>
      </c>
      <c r="X22" s="117">
        <v>180.18319099999999</v>
      </c>
      <c r="Y22" s="117">
        <v>168.647897</v>
      </c>
      <c r="Z22" s="117">
        <v>168.64764</v>
      </c>
      <c r="AA22" s="117">
        <v>168.72808800000001</v>
      </c>
      <c r="AB22" s="117">
        <v>168.727937</v>
      </c>
      <c r="AC22" s="117">
        <v>168.72797299999999</v>
      </c>
      <c r="AD22" s="117">
        <v>180.15604300000001</v>
      </c>
      <c r="AE22" s="117">
        <v>180.15581499999999</v>
      </c>
      <c r="AF22" s="117">
        <v>136.50727000000001</v>
      </c>
      <c r="AG22" s="117">
        <v>136.50719000000001</v>
      </c>
      <c r="AH22" s="117">
        <v>125.79960699999999</v>
      </c>
      <c r="AI22" s="117">
        <v>125.799453</v>
      </c>
      <c r="AJ22" s="117">
        <v>125.799344</v>
      </c>
      <c r="AK22" s="117">
        <v>139.88609299999999</v>
      </c>
      <c r="AL22" s="117">
        <v>139.886234</v>
      </c>
      <c r="AM22" s="117">
        <v>116.04404099999999</v>
      </c>
      <c r="AN22" s="117">
        <v>116.043941</v>
      </c>
      <c r="AO22" s="117">
        <v>116.043977</v>
      </c>
      <c r="AP22" s="117">
        <v>116.043756</v>
      </c>
      <c r="AQ22" s="117">
        <v>116.043609</v>
      </c>
      <c r="AR22" s="117">
        <v>128.93164899999999</v>
      </c>
      <c r="AS22" s="117">
        <v>128.931769</v>
      </c>
      <c r="AT22" s="117">
        <v>115.898336</v>
      </c>
      <c r="AU22" s="117">
        <v>115.898228</v>
      </c>
      <c r="AV22" s="117">
        <v>124.61131399999999</v>
      </c>
      <c r="AW22" s="117">
        <v>124.611028</v>
      </c>
      <c r="AX22" s="117">
        <v>124.61084099999999</v>
      </c>
      <c r="AY22" s="117">
        <v>133.563255</v>
      </c>
      <c r="AZ22" s="117">
        <v>133.56335799999999</v>
      </c>
      <c r="BA22" s="117">
        <v>124.393923</v>
      </c>
      <c r="BB22" s="117">
        <v>124.393793</v>
      </c>
      <c r="BC22" s="117">
        <v>124.27316500000001</v>
      </c>
      <c r="BD22" s="117">
        <v>124.272879</v>
      </c>
      <c r="BE22" s="117">
        <v>124.272662</v>
      </c>
      <c r="BF22" s="117">
        <v>133.25182000000001</v>
      </c>
      <c r="BG22" s="117">
        <v>133.25198599999999</v>
      </c>
      <c r="BH22" s="117">
        <v>124.056651</v>
      </c>
      <c r="BI22" s="117">
        <v>124.056551</v>
      </c>
      <c r="BJ22" s="117">
        <v>115.607007</v>
      </c>
      <c r="BK22" s="117">
        <v>115.60685100000001</v>
      </c>
      <c r="BL22" s="117">
        <v>115.606745</v>
      </c>
      <c r="BM22" s="117">
        <v>128.47800799999999</v>
      </c>
      <c r="BN22" s="117">
        <v>128.47815700000001</v>
      </c>
      <c r="BO22" s="117">
        <v>115.461485</v>
      </c>
      <c r="BP22" s="117">
        <v>115.461422</v>
      </c>
      <c r="BQ22" s="117">
        <v>115.461429</v>
      </c>
      <c r="BR22" s="117">
        <v>115.461275</v>
      </c>
      <c r="BS22" s="117">
        <v>115.46116600000001</v>
      </c>
      <c r="BT22" s="117">
        <v>128.326987</v>
      </c>
      <c r="BU22" s="117">
        <v>128.32705899999999</v>
      </c>
      <c r="BV22" s="117">
        <v>120.62386100000001</v>
      </c>
      <c r="BW22" s="117">
        <v>120.62375299999999</v>
      </c>
      <c r="BX22" s="117">
        <v>129.922932</v>
      </c>
      <c r="BY22" s="117">
        <v>129.92271199999999</v>
      </c>
      <c r="BZ22" s="117">
        <v>129.92255299999999</v>
      </c>
      <c r="CA22" s="117">
        <v>139.22052500000001</v>
      </c>
      <c r="CB22" s="117">
        <v>139.22066000000001</v>
      </c>
      <c r="CC22" s="117">
        <v>129.703866</v>
      </c>
      <c r="CD22" s="117">
        <v>129.70367100000001</v>
      </c>
      <c r="CE22" s="117">
        <v>129.576639</v>
      </c>
      <c r="CF22" s="117">
        <v>129.57636400000001</v>
      </c>
      <c r="CG22" s="117">
        <v>129.57616999999999</v>
      </c>
      <c r="CH22" s="117">
        <v>138.901321</v>
      </c>
      <c r="CI22" s="117">
        <v>138.9014</v>
      </c>
      <c r="CJ22" s="117">
        <v>129.35855100000001</v>
      </c>
      <c r="CK22" s="117">
        <v>129.35848899999999</v>
      </c>
      <c r="CL22" s="117">
        <v>120.33238900000001</v>
      </c>
      <c r="CM22" s="117">
        <v>120.33221</v>
      </c>
      <c r="CN22" s="117">
        <v>120.332103</v>
      </c>
      <c r="CO22" s="117">
        <v>133.72339400000001</v>
      </c>
      <c r="CP22" s="117">
        <v>133.723445</v>
      </c>
      <c r="CQ22" s="117">
        <v>120.186875</v>
      </c>
      <c r="CR22" s="117">
        <v>120.18682099999999</v>
      </c>
      <c r="CS22" s="117">
        <v>120.186875</v>
      </c>
      <c r="CT22" s="117">
        <v>120.186655</v>
      </c>
      <c r="CU22" s="117">
        <v>120.186559</v>
      </c>
      <c r="CV22" s="117">
        <v>133.57216600000001</v>
      </c>
      <c r="CW22" s="117">
        <v>133.572306</v>
      </c>
      <c r="CX22" s="117">
        <v>134.79684399999999</v>
      </c>
      <c r="CY22" s="117">
        <v>134.796763</v>
      </c>
      <c r="CZ22" s="117">
        <v>134.79677000000001</v>
      </c>
      <c r="DA22" s="117">
        <v>134.79659799999999</v>
      </c>
      <c r="DB22" s="117">
        <v>134.79644099999999</v>
      </c>
      <c r="DC22" s="117">
        <v>149.463526</v>
      </c>
      <c r="DD22" s="117">
        <v>149.46373600000001</v>
      </c>
      <c r="DE22" s="117">
        <v>134.651218</v>
      </c>
      <c r="DF22" s="117">
        <v>134.65112500000001</v>
      </c>
      <c r="DG22" s="117">
        <v>146.31939499999999</v>
      </c>
      <c r="DH22" s="117">
        <v>146.31923699999999</v>
      </c>
      <c r="DI22" s="117">
        <v>146.31911700000001</v>
      </c>
      <c r="DJ22" s="117">
        <v>155.630167</v>
      </c>
      <c r="DK22" s="117">
        <v>155.63026300000001</v>
      </c>
      <c r="DL22" s="117">
        <v>146.10324900000001</v>
      </c>
      <c r="DM22" s="117">
        <v>146.10311899999999</v>
      </c>
      <c r="DN22" s="117">
        <v>145.93924100000001</v>
      </c>
      <c r="DO22" s="117">
        <v>145.938951</v>
      </c>
      <c r="DP22" s="117">
        <v>145.93874099999999</v>
      </c>
      <c r="DQ22" s="117">
        <v>155.276771</v>
      </c>
      <c r="DR22" s="117">
        <v>155.27684400000001</v>
      </c>
      <c r="DS22" s="117">
        <v>145.72389899999999</v>
      </c>
      <c r="DT22" s="117">
        <v>145.72382200000001</v>
      </c>
      <c r="DU22" s="117">
        <v>134.35986399999999</v>
      </c>
      <c r="DV22" s="117">
        <v>134.35970699999999</v>
      </c>
      <c r="DW22" s="117">
        <v>134.359601</v>
      </c>
      <c r="DX22" s="117">
        <v>149.010131</v>
      </c>
      <c r="DY22" s="117">
        <v>149.01020600000001</v>
      </c>
      <c r="DZ22" s="117">
        <v>142.575277</v>
      </c>
      <c r="EA22" s="117">
        <v>142.57506699999999</v>
      </c>
      <c r="EB22" s="117">
        <v>142.575185</v>
      </c>
      <c r="EC22" s="117">
        <v>142.57475199999999</v>
      </c>
      <c r="ED22" s="117">
        <v>142.57444000000001</v>
      </c>
      <c r="EE22" s="117">
        <v>158.124628</v>
      </c>
      <c r="EF22" s="117">
        <v>158.124787</v>
      </c>
      <c r="EG22" s="117">
        <v>142.45018300000001</v>
      </c>
      <c r="EH22" s="117">
        <v>142.45008799999999</v>
      </c>
      <c r="EI22" s="117">
        <v>142.450085</v>
      </c>
      <c r="EJ22" s="117">
        <v>142.449916</v>
      </c>
      <c r="EK22" s="117">
        <v>142.44980899999999</v>
      </c>
      <c r="EL22" s="117">
        <v>157.99463299999999</v>
      </c>
      <c r="EM22" s="117">
        <v>157.99470500000001</v>
      </c>
      <c r="EN22" s="117">
        <v>142.283714</v>
      </c>
      <c r="EO22" s="117">
        <v>142.28358</v>
      </c>
      <c r="EP22" s="117">
        <v>153.98340300000001</v>
      </c>
      <c r="EQ22" s="117">
        <v>153.983114</v>
      </c>
      <c r="ER22" s="117">
        <v>153.982688</v>
      </c>
      <c r="ES22" s="117">
        <v>163.98801</v>
      </c>
      <c r="ET22" s="117">
        <v>163.988058</v>
      </c>
      <c r="EU22" s="117">
        <v>153.769181</v>
      </c>
      <c r="EV22" s="117">
        <v>153.769026</v>
      </c>
      <c r="EW22" s="117">
        <v>153.601169</v>
      </c>
      <c r="EX22" s="117">
        <v>153.60088999999999</v>
      </c>
      <c r="EY22" s="117">
        <v>153.60069200000001</v>
      </c>
      <c r="EZ22" s="117">
        <v>163.63290900000001</v>
      </c>
      <c r="FA22" s="117">
        <v>163.633049</v>
      </c>
      <c r="FB22" s="117">
        <v>153.38809000000001</v>
      </c>
      <c r="FC22" s="117">
        <v>153.387912</v>
      </c>
      <c r="FD22" s="117">
        <v>141.99211399999999</v>
      </c>
      <c r="FE22" s="117">
        <v>141.99188599999999</v>
      </c>
      <c r="FF22" s="117">
        <v>141.99212600000001</v>
      </c>
      <c r="FG22" s="117">
        <v>157.520386</v>
      </c>
      <c r="FH22" s="117">
        <v>157.52052699999999</v>
      </c>
      <c r="FI22" s="117">
        <v>131.970033</v>
      </c>
      <c r="FJ22" s="117">
        <v>131.96991399999999</v>
      </c>
      <c r="FK22" s="117">
        <v>131.970033</v>
      </c>
      <c r="FL22" s="117">
        <v>131.96966800000001</v>
      </c>
      <c r="FM22" s="117">
        <v>131.969348</v>
      </c>
      <c r="FN22" s="117">
        <v>146.49716799999999</v>
      </c>
      <c r="FO22" s="117">
        <v>146.497379</v>
      </c>
      <c r="FP22" s="117">
        <v>131.82435799999999</v>
      </c>
      <c r="FQ22" s="117">
        <v>131.82422399999999</v>
      </c>
      <c r="FR22" s="117">
        <v>131.824287</v>
      </c>
      <c r="FS22" s="117">
        <v>131.823994</v>
      </c>
      <c r="FT22" s="117">
        <v>131.82383899999999</v>
      </c>
      <c r="FU22" s="117">
        <v>146.34587099999999</v>
      </c>
      <c r="FV22" s="117">
        <v>146.34608800000001</v>
      </c>
      <c r="FW22" s="117">
        <v>131.678529</v>
      </c>
      <c r="FX22" s="117">
        <v>131.67842099999999</v>
      </c>
      <c r="FY22" s="117">
        <v>131.67842400000001</v>
      </c>
      <c r="FZ22" s="117">
        <v>131.678268</v>
      </c>
      <c r="GA22" s="117">
        <v>131.678494</v>
      </c>
      <c r="GB22" s="117">
        <v>146.195098</v>
      </c>
      <c r="GC22" s="117">
        <v>146.195168</v>
      </c>
      <c r="GD22" s="117">
        <v>131.53299200000001</v>
      </c>
      <c r="GE22" s="117">
        <v>131.53274300000001</v>
      </c>
      <c r="GF22" s="117">
        <v>142.55912799999999</v>
      </c>
      <c r="GG22" s="117">
        <v>142.55883900000001</v>
      </c>
      <c r="GH22" s="117">
        <v>142.558875</v>
      </c>
      <c r="GI22" s="117">
        <v>152.32944699999999</v>
      </c>
      <c r="GJ22" s="117">
        <v>152.32952</v>
      </c>
      <c r="GK22" s="117">
        <v>130.70392100000001</v>
      </c>
      <c r="GL22" s="117">
        <v>130.703844</v>
      </c>
      <c r="GM22" s="117">
        <v>128.109104</v>
      </c>
      <c r="GN22" s="117">
        <v>128.10895300000001</v>
      </c>
      <c r="GO22" s="117">
        <v>128.108833</v>
      </c>
      <c r="GP22" s="117">
        <v>136.71911499999999</v>
      </c>
      <c r="GQ22" s="117">
        <v>136.719211</v>
      </c>
      <c r="GR22" s="117">
        <v>127.90663000000001</v>
      </c>
      <c r="GS22" s="117">
        <v>127.90652300000001</v>
      </c>
      <c r="GT22" s="117">
        <v>119.967067</v>
      </c>
      <c r="GU22" s="117">
        <v>119.966914</v>
      </c>
      <c r="GV22" s="117">
        <v>119.96680499999999</v>
      </c>
      <c r="GW22" s="117">
        <v>133.12502499999999</v>
      </c>
      <c r="GX22" s="117">
        <v>133.12509700000001</v>
      </c>
      <c r="GY22" s="117">
        <v>119.821639</v>
      </c>
      <c r="GZ22" s="117">
        <v>119.821495</v>
      </c>
      <c r="HA22" s="117">
        <v>119.82153099999999</v>
      </c>
      <c r="HB22" s="117">
        <v>119.82122699999999</v>
      </c>
      <c r="HC22" s="117">
        <v>119.821017</v>
      </c>
      <c r="HD22" s="117">
        <v>132.97387000000001</v>
      </c>
      <c r="HE22" s="117">
        <v>132.97401300000001</v>
      </c>
      <c r="HF22" s="117">
        <v>119.675831</v>
      </c>
    </row>
    <row r="23" spans="6:214" x14ac:dyDescent="0.25">
      <c r="F23" s="116" t="str">
        <f xml:space="preserve"> _xll.EPMOlapMemberO("[PRDDESCR].[].[HELGAS GFREE TRAD WHITE 470G]","","HELGAS GFREE TRAD WHITE 470G","","000")</f>
        <v>HELGAS GFREE TRAD WHITE 470G</v>
      </c>
      <c r="G23" s="116" t="str">
        <f xml:space="preserve"> _xll.EPMOlapMemberO("[PRDID].[].[168846]","","168846","","000")</f>
        <v>168846</v>
      </c>
      <c r="H23" s="116" t="str">
        <f xml:space="preserve"> _xll.EPMOlapMemberO("[LOCID].[].[6134]","","6134","","000")</f>
        <v>6134</v>
      </c>
      <c r="I23" s="116" t="str">
        <f xml:space="preserve"> _xll.EPMOlapMemberO("[LOCDESCR].[].[QBA-West Richmond SA]","","QBA-West Richmond SA","","000")</f>
        <v>QBA-West Richmond SA</v>
      </c>
      <c r="J23" s="116" t="str">
        <f xml:space="preserve"> _xll.EPMOlapMemberO("[KEY_FIGURES].[].[ZGFAPPROVEDFCSTQTY]","","Approved Forecast","","000")</f>
        <v>Approved Forecast</v>
      </c>
      <c r="K23" s="117">
        <v>452.09412800000001</v>
      </c>
      <c r="L23" s="117">
        <v>167.141458</v>
      </c>
      <c r="M23" s="117">
        <v>427.88737600000002</v>
      </c>
      <c r="N23" s="117">
        <v>238.24841699999999</v>
      </c>
      <c r="O23" s="117">
        <v>344.47798</v>
      </c>
      <c r="P23" s="117">
        <v>214.46126000000001</v>
      </c>
      <c r="Q23" s="117">
        <v>120.122996</v>
      </c>
      <c r="R23" s="117">
        <v>416.05933900000002</v>
      </c>
      <c r="S23" s="117">
        <v>154.29499100000001</v>
      </c>
      <c r="T23" s="117">
        <v>415.80105300000002</v>
      </c>
      <c r="U23" s="117">
        <v>234.22978900000001</v>
      </c>
      <c r="V23" s="117">
        <v>336.06544700000001</v>
      </c>
      <c r="W23" s="117">
        <v>209.01736500000001</v>
      </c>
      <c r="X23" s="117">
        <v>118.96843</v>
      </c>
      <c r="Y23" s="117">
        <v>421.40378900000002</v>
      </c>
      <c r="Z23" s="117">
        <v>157.57218599999999</v>
      </c>
      <c r="AA23" s="117">
        <v>431.06746900000002</v>
      </c>
      <c r="AB23" s="117">
        <v>235.141437</v>
      </c>
      <c r="AC23" s="117">
        <v>340.88079900000002</v>
      </c>
      <c r="AD23" s="117">
        <v>216.064134</v>
      </c>
      <c r="AE23" s="117">
        <v>122.05626599999999</v>
      </c>
      <c r="AF23" s="117">
        <v>419.64591000000001</v>
      </c>
      <c r="AG23" s="117">
        <v>162.576752</v>
      </c>
      <c r="AH23" s="117">
        <v>432.29147599999999</v>
      </c>
      <c r="AI23" s="117">
        <v>230.11103600000001</v>
      </c>
      <c r="AJ23" s="117">
        <v>341.62166500000001</v>
      </c>
      <c r="AK23" s="117">
        <v>215.97252499999999</v>
      </c>
      <c r="AL23" s="117">
        <v>121.687245</v>
      </c>
      <c r="AM23" s="117">
        <v>394.77383200000003</v>
      </c>
      <c r="AN23" s="117">
        <v>148.08814699999999</v>
      </c>
      <c r="AO23" s="117">
        <v>393.682005</v>
      </c>
      <c r="AP23" s="117">
        <v>208.23400599999999</v>
      </c>
      <c r="AQ23" s="117">
        <v>320.93507699999998</v>
      </c>
      <c r="AR23" s="117">
        <v>208.62380200000001</v>
      </c>
      <c r="AS23" s="117">
        <v>114.24104</v>
      </c>
      <c r="AT23" s="117">
        <v>367.48942199999999</v>
      </c>
      <c r="AU23" s="117">
        <v>137.50925000000001</v>
      </c>
      <c r="AV23" s="117">
        <v>379.56358499999999</v>
      </c>
      <c r="AW23" s="117">
        <v>204.35978</v>
      </c>
      <c r="AX23" s="117">
        <v>308.78807499999999</v>
      </c>
      <c r="AY23" s="117">
        <v>203.06678099999999</v>
      </c>
      <c r="AZ23" s="117">
        <v>110.405794</v>
      </c>
      <c r="BA23" s="117">
        <v>423.07491800000003</v>
      </c>
      <c r="BB23" s="117">
        <v>163.89883499999999</v>
      </c>
      <c r="BC23" s="117">
        <v>428.53853900000001</v>
      </c>
      <c r="BD23" s="117">
        <v>228.07628299999999</v>
      </c>
      <c r="BE23" s="117">
        <v>345.70400699999999</v>
      </c>
      <c r="BF23" s="117">
        <v>225.648978</v>
      </c>
      <c r="BG23" s="117">
        <v>125.025025</v>
      </c>
      <c r="BH23" s="117">
        <v>397.37525599999998</v>
      </c>
      <c r="BI23" s="117">
        <v>150.663141</v>
      </c>
      <c r="BJ23" s="117">
        <v>382.32403799999997</v>
      </c>
      <c r="BK23" s="117">
        <v>203.15335300000001</v>
      </c>
      <c r="BL23" s="117">
        <v>307.84298799999999</v>
      </c>
      <c r="BM23" s="117">
        <v>198.569581</v>
      </c>
      <c r="BN23" s="117">
        <v>108.74987900000001</v>
      </c>
      <c r="BO23" s="117">
        <v>411.23887400000001</v>
      </c>
      <c r="BP23" s="117">
        <v>162.06295299999999</v>
      </c>
      <c r="BQ23" s="117">
        <v>433.08892500000002</v>
      </c>
      <c r="BR23" s="117">
        <v>228.23443900000001</v>
      </c>
      <c r="BS23" s="117">
        <v>338.15800200000001</v>
      </c>
      <c r="BT23" s="117">
        <v>214.87019599999999</v>
      </c>
      <c r="BU23" s="117">
        <v>121.740638</v>
      </c>
      <c r="BV23" s="117">
        <v>421.27677999999997</v>
      </c>
      <c r="BW23" s="117">
        <v>161.91128800000001</v>
      </c>
      <c r="BX23" s="117">
        <v>447.94375200000002</v>
      </c>
      <c r="BY23" s="117">
        <v>240.190755</v>
      </c>
      <c r="BZ23" s="117">
        <v>354.98960199999999</v>
      </c>
      <c r="CA23" s="117">
        <v>228.42376300000001</v>
      </c>
      <c r="CB23" s="117">
        <v>127.39755599999999</v>
      </c>
      <c r="CC23" s="117">
        <v>429.69011499999999</v>
      </c>
      <c r="CD23" s="117">
        <v>161.203146</v>
      </c>
      <c r="CE23" s="117">
        <v>423.58073400000001</v>
      </c>
      <c r="CF23" s="117">
        <v>227.43624800000001</v>
      </c>
      <c r="CG23" s="117">
        <v>343.812727</v>
      </c>
      <c r="CH23" s="117">
        <v>225.09369799999999</v>
      </c>
      <c r="CI23" s="117">
        <v>122.822034</v>
      </c>
      <c r="CJ23" s="117">
        <v>438.06229400000001</v>
      </c>
      <c r="CK23" s="117">
        <v>170.056265</v>
      </c>
      <c r="CL23" s="117">
        <v>433.53113300000001</v>
      </c>
      <c r="CM23" s="117">
        <v>230.81692899999999</v>
      </c>
      <c r="CN23" s="117">
        <v>342.38406600000002</v>
      </c>
      <c r="CO23" s="117">
        <v>218.122028</v>
      </c>
      <c r="CP23" s="117">
        <v>121.475864</v>
      </c>
      <c r="CQ23" s="117">
        <v>417.20500500000003</v>
      </c>
      <c r="CR23" s="117">
        <v>158.20576700000001</v>
      </c>
      <c r="CS23" s="117">
        <v>421.63654300000002</v>
      </c>
      <c r="CT23" s="117">
        <v>225.44352900000001</v>
      </c>
      <c r="CU23" s="117">
        <v>338.78825399999999</v>
      </c>
      <c r="CV23" s="117">
        <v>216.04775699999999</v>
      </c>
      <c r="CW23" s="117">
        <v>119.778847</v>
      </c>
      <c r="CX23" s="117">
        <v>437.51986199999999</v>
      </c>
      <c r="CY23" s="117">
        <v>171.856593</v>
      </c>
      <c r="CZ23" s="117">
        <v>461.14949100000001</v>
      </c>
      <c r="DA23" s="117">
        <v>242.23994200000001</v>
      </c>
      <c r="DB23" s="117">
        <v>357.62938400000002</v>
      </c>
      <c r="DC23" s="117">
        <v>226.699308</v>
      </c>
      <c r="DD23" s="117">
        <v>128.495543</v>
      </c>
      <c r="DE23" s="117">
        <v>411.04858999999999</v>
      </c>
      <c r="DF23" s="117">
        <v>156.57469399999999</v>
      </c>
      <c r="DG23" s="117">
        <v>431.56394699999998</v>
      </c>
      <c r="DH23" s="117">
        <v>230.82721900000001</v>
      </c>
      <c r="DI23" s="117">
        <v>347.09944999999999</v>
      </c>
      <c r="DJ23" s="117">
        <v>227.51241099999999</v>
      </c>
      <c r="DK23" s="117">
        <v>124.975927</v>
      </c>
      <c r="DL23" s="117">
        <v>425.40869500000002</v>
      </c>
      <c r="DM23" s="117">
        <v>162.563941</v>
      </c>
      <c r="DN23" s="117">
        <v>424.079882</v>
      </c>
      <c r="DO23" s="117">
        <v>227.66826499999999</v>
      </c>
      <c r="DP23" s="117">
        <v>344.57976100000002</v>
      </c>
      <c r="DQ23" s="117">
        <v>225.11889400000001</v>
      </c>
      <c r="DR23" s="117">
        <v>123.685902</v>
      </c>
      <c r="DS23" s="117">
        <v>453.47252900000001</v>
      </c>
      <c r="DT23" s="117">
        <v>181.12561400000001</v>
      </c>
      <c r="DU23" s="117">
        <v>465.58430299999998</v>
      </c>
      <c r="DV23" s="117">
        <v>244.761867</v>
      </c>
      <c r="DW23" s="117">
        <v>356.11724299999997</v>
      </c>
      <c r="DX23" s="117">
        <v>223.588246</v>
      </c>
      <c r="DY23" s="117">
        <v>128.01955799999999</v>
      </c>
      <c r="DZ23" s="117">
        <v>437.56658199999998</v>
      </c>
      <c r="EA23" s="117">
        <v>170.49770899999999</v>
      </c>
      <c r="EB23" s="117">
        <v>454.943352</v>
      </c>
      <c r="EC23" s="117">
        <v>240.50031100000001</v>
      </c>
      <c r="ED23" s="117">
        <v>358.47415599999999</v>
      </c>
      <c r="EE23" s="117">
        <v>228.87648200000001</v>
      </c>
      <c r="EF23" s="117">
        <v>128.41184100000001</v>
      </c>
      <c r="EG23" s="117">
        <v>413.64592399999998</v>
      </c>
      <c r="EH23" s="117">
        <v>155.299667</v>
      </c>
      <c r="EI23" s="117">
        <v>410.98215599999997</v>
      </c>
      <c r="EJ23" s="117">
        <v>219.75044399999999</v>
      </c>
      <c r="EK23" s="117">
        <v>336.58016700000002</v>
      </c>
      <c r="EL23" s="117">
        <v>216.674713</v>
      </c>
      <c r="EM23" s="117">
        <v>119.309173</v>
      </c>
      <c r="EN23" s="117">
        <v>433.13479599999999</v>
      </c>
      <c r="EO23" s="117">
        <v>162.69896700000001</v>
      </c>
      <c r="EP23" s="117">
        <v>448.31803500000001</v>
      </c>
      <c r="EQ23" s="117">
        <v>238.92136099999999</v>
      </c>
      <c r="ER23" s="117">
        <v>363.130585</v>
      </c>
      <c r="ES23" s="117">
        <v>238.805272</v>
      </c>
      <c r="ET23" s="117">
        <v>130.59194400000001</v>
      </c>
      <c r="EU23" s="117">
        <v>445.90071699999999</v>
      </c>
      <c r="EV23" s="117">
        <v>174.83389399999999</v>
      </c>
      <c r="EW23" s="117">
        <v>460.89730600000001</v>
      </c>
      <c r="EX23" s="117">
        <v>245.995845</v>
      </c>
      <c r="EY23" s="117">
        <v>361.38914799999998</v>
      </c>
      <c r="EZ23" s="117">
        <v>233.85906600000001</v>
      </c>
      <c r="FA23" s="117">
        <v>130.13176200000001</v>
      </c>
      <c r="FB23" s="117">
        <v>442.92377699999997</v>
      </c>
      <c r="FC23" s="117">
        <v>169.73441399999999</v>
      </c>
      <c r="FD23" s="117">
        <v>428.92859099999998</v>
      </c>
      <c r="FE23" s="117">
        <v>228.50815600000001</v>
      </c>
      <c r="FF23" s="117">
        <v>347.65866499999998</v>
      </c>
      <c r="FG23" s="117">
        <v>223.35581300000001</v>
      </c>
      <c r="FH23" s="117">
        <v>123.41098700000001</v>
      </c>
      <c r="FI23" s="117">
        <v>422.22146199999997</v>
      </c>
      <c r="FJ23" s="117">
        <v>162.95520300000001</v>
      </c>
      <c r="FK23" s="117">
        <v>437.10968600000001</v>
      </c>
      <c r="FL23" s="117">
        <v>231.49905799999999</v>
      </c>
      <c r="FM23" s="117">
        <v>342.30196999999998</v>
      </c>
      <c r="FN23" s="117">
        <v>216.899438</v>
      </c>
      <c r="FO23" s="117">
        <v>122.050979</v>
      </c>
      <c r="FP23" s="117">
        <v>433.261259</v>
      </c>
      <c r="FQ23" s="117">
        <v>170.39023</v>
      </c>
      <c r="FR23" s="117">
        <v>456.13295799999997</v>
      </c>
      <c r="FS23" s="117">
        <v>241.20595900000001</v>
      </c>
      <c r="FT23" s="117">
        <v>354.70815099999999</v>
      </c>
      <c r="FU23" s="117">
        <v>224.524473</v>
      </c>
      <c r="FV23" s="117">
        <v>127.14049900000001</v>
      </c>
      <c r="FW23" s="117">
        <v>433.35596900000002</v>
      </c>
      <c r="FX23" s="117">
        <v>169.70375300000001</v>
      </c>
      <c r="FY23" s="117">
        <v>453.485006</v>
      </c>
      <c r="FZ23" s="117">
        <v>240.313714</v>
      </c>
      <c r="GA23" s="117">
        <v>354.94585599999999</v>
      </c>
      <c r="GB23" s="117">
        <v>223.93994799999999</v>
      </c>
      <c r="GC23" s="117">
        <v>126.934994</v>
      </c>
      <c r="GD23" s="117">
        <v>423.059639</v>
      </c>
      <c r="GE23" s="117">
        <v>160.50206299999999</v>
      </c>
      <c r="GF23" s="117">
        <v>446.08290399999998</v>
      </c>
      <c r="GG23" s="117">
        <v>238.01600400000001</v>
      </c>
      <c r="GH23" s="117">
        <v>355.46711299999998</v>
      </c>
      <c r="GI23" s="117">
        <v>231.45006000000001</v>
      </c>
      <c r="GJ23" s="117">
        <v>127.802391</v>
      </c>
      <c r="GK23" s="117">
        <v>454.93494900000002</v>
      </c>
      <c r="GL23" s="117">
        <v>173.299936</v>
      </c>
      <c r="GM23" s="117">
        <v>447.65163100000001</v>
      </c>
      <c r="GN23" s="117">
        <v>240.21399</v>
      </c>
      <c r="GO23" s="117">
        <v>363.572022</v>
      </c>
      <c r="GP23" s="117">
        <v>239.430252</v>
      </c>
      <c r="GQ23" s="117">
        <v>130.14725899999999</v>
      </c>
      <c r="GR23" s="117">
        <v>449.79679800000002</v>
      </c>
      <c r="GS23" s="117">
        <v>172.234557</v>
      </c>
      <c r="GT23" s="117">
        <v>437.93416500000001</v>
      </c>
      <c r="GU23" s="117">
        <v>233.69611399999999</v>
      </c>
      <c r="GV23" s="117">
        <v>354.612032</v>
      </c>
      <c r="GW23" s="117">
        <v>227.130382</v>
      </c>
      <c r="GX23" s="117">
        <v>125.94176899999999</v>
      </c>
      <c r="GY23" s="117">
        <v>460.80818099999999</v>
      </c>
      <c r="GZ23" s="117">
        <v>176.84269699999999</v>
      </c>
      <c r="HA23" s="117">
        <v>472.19073100000003</v>
      </c>
      <c r="HB23" s="117">
        <v>249.19473199999999</v>
      </c>
      <c r="HC23" s="117">
        <v>375.28035</v>
      </c>
      <c r="HD23" s="117">
        <v>240.463932</v>
      </c>
      <c r="HE23" s="117">
        <v>134.25084899999999</v>
      </c>
      <c r="HF23" s="117">
        <v>422.22736900000001</v>
      </c>
    </row>
    <row r="24" spans="6:214" x14ac:dyDescent="0.25">
      <c r="F24" s="116" t="str">
        <f xml:space="preserve"> _xll.EPMOlapMemberO("[PRDDESCR].[].[HELGAS GFREE WHOLEM 500G]","","HELGAS GFREE WHOLEM 500G","","000")</f>
        <v>HELGAS GFREE WHOLEM 500G</v>
      </c>
      <c r="G24" s="116" t="str">
        <f xml:space="preserve"> _xll.EPMOlapMemberO("[PRDID].[].[168848]","","168848","","000")</f>
        <v>168848</v>
      </c>
      <c r="H24" s="116" t="str">
        <f xml:space="preserve"> _xll.EPMOlapMemberO("[LOCID].[].[6103]","","6103","","000")</f>
        <v>6103</v>
      </c>
      <c r="I24" s="116" t="str">
        <f xml:space="preserve"> _xll.EPMOlapMemberO("[LOCDESCR].[].[QBA-Canberra]","","QBA-Canberra","","000")</f>
        <v>QBA-Canberra</v>
      </c>
      <c r="J24" s="116" t="str">
        <f xml:space="preserve"> _xll.EPMOlapMemberO("[KEY_FIGURES].[].[ZGFAPPROVEDFCSTQTY]","","Approved Forecast","","000")</f>
        <v>Approved Forecast</v>
      </c>
      <c r="K24" s="117">
        <v>201.87230400000001</v>
      </c>
      <c r="L24" s="117">
        <v>138.189898</v>
      </c>
      <c r="M24" s="117">
        <v>120.54707500000001</v>
      </c>
      <c r="N24" s="117">
        <v>142.75687500000001</v>
      </c>
      <c r="O24" s="117">
        <v>103.16624400000001</v>
      </c>
      <c r="P24" s="117">
        <v>186.09373199999999</v>
      </c>
      <c r="Q24" s="117">
        <v>105.421013</v>
      </c>
      <c r="R24" s="117">
        <v>205.667441</v>
      </c>
      <c r="S24" s="117">
        <v>131.01226600000001</v>
      </c>
      <c r="T24" s="117">
        <v>124.489581</v>
      </c>
      <c r="U24" s="117">
        <v>154.034493</v>
      </c>
      <c r="V24" s="117">
        <v>110.325211</v>
      </c>
      <c r="W24" s="117">
        <v>192.92457200000001</v>
      </c>
      <c r="X24" s="117">
        <v>108.910676</v>
      </c>
      <c r="Y24" s="117">
        <v>200.30026599999999</v>
      </c>
      <c r="Z24" s="117">
        <v>124.26855999999999</v>
      </c>
      <c r="AA24" s="117">
        <v>119.799814</v>
      </c>
      <c r="AB24" s="117">
        <v>146.235038</v>
      </c>
      <c r="AC24" s="117">
        <v>108.454784</v>
      </c>
      <c r="AD24" s="117">
        <v>185.73050000000001</v>
      </c>
      <c r="AE24" s="117">
        <v>103.783118</v>
      </c>
      <c r="AF24" s="117">
        <v>205.39542599999999</v>
      </c>
      <c r="AG24" s="117">
        <v>129.35859300000001</v>
      </c>
      <c r="AH24" s="117">
        <v>127.11639</v>
      </c>
      <c r="AI24" s="117">
        <v>153.09406200000001</v>
      </c>
      <c r="AJ24" s="117">
        <v>117.91351400000001</v>
      </c>
      <c r="AK24" s="117">
        <v>196.36360999999999</v>
      </c>
      <c r="AL24" s="117">
        <v>110.97224199999999</v>
      </c>
      <c r="AM24" s="117">
        <v>212.957697</v>
      </c>
      <c r="AN24" s="117">
        <v>133.679203</v>
      </c>
      <c r="AO24" s="117">
        <v>127.775183</v>
      </c>
      <c r="AP24" s="117">
        <v>153.895792</v>
      </c>
      <c r="AQ24" s="117">
        <v>118.67166400000001</v>
      </c>
      <c r="AR24" s="117">
        <v>197.402648</v>
      </c>
      <c r="AS24" s="117">
        <v>111.293271</v>
      </c>
      <c r="AT24" s="117">
        <v>206.79477399999999</v>
      </c>
      <c r="AU24" s="117">
        <v>129.50157200000001</v>
      </c>
      <c r="AV24" s="117">
        <v>128.426984</v>
      </c>
      <c r="AW24" s="117">
        <v>156.92689300000001</v>
      </c>
      <c r="AX24" s="117">
        <v>116.769369</v>
      </c>
      <c r="AY24" s="117">
        <v>197.79251600000001</v>
      </c>
      <c r="AZ24" s="117">
        <v>112.35291599999999</v>
      </c>
      <c r="BA24" s="117">
        <v>214.865489</v>
      </c>
      <c r="BB24" s="117">
        <v>135.36273</v>
      </c>
      <c r="BC24" s="117">
        <v>128.732361</v>
      </c>
      <c r="BD24" s="117">
        <v>157.31714299999999</v>
      </c>
      <c r="BE24" s="117">
        <v>117.004254</v>
      </c>
      <c r="BF24" s="117">
        <v>198.357135</v>
      </c>
      <c r="BG24" s="117">
        <v>112.67264</v>
      </c>
      <c r="BH24" s="117">
        <v>222.64324400000001</v>
      </c>
      <c r="BI24" s="117">
        <v>140.541766</v>
      </c>
      <c r="BJ24" s="117">
        <v>129.21052299999999</v>
      </c>
      <c r="BK24" s="117">
        <v>155.592207</v>
      </c>
      <c r="BL24" s="117">
        <v>119.96473899999999</v>
      </c>
      <c r="BM24" s="117">
        <v>199.64456000000001</v>
      </c>
      <c r="BN24" s="117">
        <v>112.614769</v>
      </c>
      <c r="BO24" s="117">
        <v>209.71484599999999</v>
      </c>
      <c r="BP24" s="117">
        <v>131.38263799999999</v>
      </c>
      <c r="BQ24" s="117">
        <v>125.668961</v>
      </c>
      <c r="BR24" s="117">
        <v>151.881349</v>
      </c>
      <c r="BS24" s="117">
        <v>116.826809</v>
      </c>
      <c r="BT24" s="117">
        <v>193.646894</v>
      </c>
      <c r="BU24" s="117">
        <v>109.22838400000001</v>
      </c>
      <c r="BV24" s="117">
        <v>212.24444800000001</v>
      </c>
      <c r="BW24" s="117">
        <v>132.71860599999999</v>
      </c>
      <c r="BX24" s="117">
        <v>131.6825</v>
      </c>
      <c r="BY24" s="117">
        <v>161.180679</v>
      </c>
      <c r="BZ24" s="117">
        <v>119.94314300000001</v>
      </c>
      <c r="CA24" s="117">
        <v>202.58724100000001</v>
      </c>
      <c r="CB24" s="117">
        <v>114.819766</v>
      </c>
      <c r="CC24" s="117">
        <v>230.59415899999999</v>
      </c>
      <c r="CD24" s="117">
        <v>145.54094499999999</v>
      </c>
      <c r="CE24" s="117">
        <v>138.27923899999999</v>
      </c>
      <c r="CF24" s="117">
        <v>168.271726</v>
      </c>
      <c r="CG24" s="117">
        <v>125.74263999999999</v>
      </c>
      <c r="CH24" s="117">
        <v>213.75396699999999</v>
      </c>
      <c r="CI24" s="117">
        <v>121.154382</v>
      </c>
      <c r="CJ24" s="117">
        <v>222.10960800000001</v>
      </c>
      <c r="CK24" s="117">
        <v>139.84402299999999</v>
      </c>
      <c r="CL24" s="117">
        <v>128.25502</v>
      </c>
      <c r="CM24" s="117">
        <v>155.34768700000001</v>
      </c>
      <c r="CN24" s="117">
        <v>119.33364</v>
      </c>
      <c r="CO24" s="117">
        <v>197.697835</v>
      </c>
      <c r="CP24" s="117">
        <v>111.20877299999999</v>
      </c>
      <c r="CQ24" s="117">
        <v>222.40649300000001</v>
      </c>
      <c r="CR24" s="117">
        <v>139.526623</v>
      </c>
      <c r="CS24" s="117">
        <v>133.29638600000001</v>
      </c>
      <c r="CT24" s="117">
        <v>160.730715</v>
      </c>
      <c r="CU24" s="117">
        <v>123.904518</v>
      </c>
      <c r="CV24" s="117">
        <v>205.90893600000001</v>
      </c>
      <c r="CW24" s="117">
        <v>115.883979</v>
      </c>
      <c r="CX24" s="117">
        <v>208.577449</v>
      </c>
      <c r="CY24" s="117">
        <v>130.69800799999999</v>
      </c>
      <c r="CZ24" s="117">
        <v>124.859675</v>
      </c>
      <c r="DA24" s="117">
        <v>150.93655999999999</v>
      </c>
      <c r="DB24" s="117">
        <v>116.145107</v>
      </c>
      <c r="DC24" s="117">
        <v>192.66515999999999</v>
      </c>
      <c r="DD24" s="117">
        <v>108.352953</v>
      </c>
      <c r="DE24" s="117">
        <v>208.62821700000001</v>
      </c>
      <c r="DF24" s="117">
        <v>130.644263</v>
      </c>
      <c r="DG24" s="117">
        <v>129.25015400000001</v>
      </c>
      <c r="DH24" s="117">
        <v>157.861636</v>
      </c>
      <c r="DI24" s="117">
        <v>117.684174</v>
      </c>
      <c r="DJ24" s="117">
        <v>199.19338500000001</v>
      </c>
      <c r="DK24" s="117">
        <v>112.860596</v>
      </c>
      <c r="DL24" s="117">
        <v>219.989373</v>
      </c>
      <c r="DM24" s="117">
        <v>138.60693599999999</v>
      </c>
      <c r="DN24" s="117">
        <v>131.76183</v>
      </c>
      <c r="DO24" s="117">
        <v>160.547258</v>
      </c>
      <c r="DP24" s="117">
        <v>120.00460099999999</v>
      </c>
      <c r="DQ24" s="117">
        <v>203.18530699999999</v>
      </c>
      <c r="DR24" s="117">
        <v>115.125139</v>
      </c>
      <c r="DS24" s="117">
        <v>221.50451799999999</v>
      </c>
      <c r="DT24" s="117">
        <v>139.682345</v>
      </c>
      <c r="DU24" s="117">
        <v>128.49059</v>
      </c>
      <c r="DV24" s="117">
        <v>154.94021699999999</v>
      </c>
      <c r="DW24" s="117">
        <v>119.456695</v>
      </c>
      <c r="DX24" s="117">
        <v>198.44127499999999</v>
      </c>
      <c r="DY24" s="117">
        <v>111.679641</v>
      </c>
      <c r="DZ24" s="117">
        <v>211.56907699999999</v>
      </c>
      <c r="EA24" s="117">
        <v>132.877444</v>
      </c>
      <c r="EB24" s="117">
        <v>127.127818</v>
      </c>
      <c r="EC24" s="117">
        <v>152.988079</v>
      </c>
      <c r="ED24" s="117">
        <v>117.925359</v>
      </c>
      <c r="EE24" s="117">
        <v>196.336871</v>
      </c>
      <c r="EF24" s="117">
        <v>111.016813</v>
      </c>
      <c r="EG24" s="117">
        <v>202.15651</v>
      </c>
      <c r="EH24" s="117">
        <v>126.615273</v>
      </c>
      <c r="EI24" s="117">
        <v>121.197305</v>
      </c>
      <c r="EJ24" s="117">
        <v>146.78824499999999</v>
      </c>
      <c r="EK24" s="117">
        <v>112.538505</v>
      </c>
      <c r="EL24" s="117">
        <v>186.60749100000001</v>
      </c>
      <c r="EM24" s="117">
        <v>105.513158</v>
      </c>
      <c r="EN24" s="117">
        <v>207.13571899999999</v>
      </c>
      <c r="EO24" s="117">
        <v>129.94528700000001</v>
      </c>
      <c r="EP24" s="117">
        <v>128.64411799999999</v>
      </c>
      <c r="EQ24" s="117">
        <v>157.01544799999999</v>
      </c>
      <c r="ER24" s="117">
        <v>116.678974</v>
      </c>
      <c r="ES24" s="117">
        <v>198.42164199999999</v>
      </c>
      <c r="ET24" s="117">
        <v>112.994719</v>
      </c>
      <c r="EU24" s="117">
        <v>219.047415</v>
      </c>
      <c r="EV24" s="117">
        <v>138.35999899999999</v>
      </c>
      <c r="EW24" s="117">
        <v>131.60663199999999</v>
      </c>
      <c r="EX24" s="117">
        <v>160.20704699999999</v>
      </c>
      <c r="EY24" s="117">
        <v>119.33401499999999</v>
      </c>
      <c r="EZ24" s="117">
        <v>203.313481</v>
      </c>
      <c r="FA24" s="117">
        <v>115.769178</v>
      </c>
      <c r="FB24" s="117">
        <v>214.547527</v>
      </c>
      <c r="FC24" s="117">
        <v>135.315316</v>
      </c>
      <c r="FD24" s="117">
        <v>124.59470899999999</v>
      </c>
      <c r="FE24" s="117">
        <v>150.56921199999999</v>
      </c>
      <c r="FF24" s="117">
        <v>115.57991199999999</v>
      </c>
      <c r="FG24" s="117">
        <v>192.12758299999999</v>
      </c>
      <c r="FH24" s="117">
        <v>108.694591</v>
      </c>
      <c r="FI24" s="117">
        <v>206.80853300000001</v>
      </c>
      <c r="FJ24" s="117">
        <v>130.09342899999999</v>
      </c>
      <c r="FK24" s="117">
        <v>124.70712899999999</v>
      </c>
      <c r="FL24" s="117">
        <v>150.170331</v>
      </c>
      <c r="FM24" s="117">
        <v>115.174836</v>
      </c>
      <c r="FN24" s="117">
        <v>192.59766200000001</v>
      </c>
      <c r="FO24" s="117">
        <v>109.733177</v>
      </c>
      <c r="FP24" s="117">
        <v>214.873739</v>
      </c>
      <c r="FQ24" s="117">
        <v>135.43331900000001</v>
      </c>
      <c r="FR24" s="117">
        <v>129.775936</v>
      </c>
      <c r="FS24" s="117">
        <v>155.584677</v>
      </c>
      <c r="FT24" s="117">
        <v>119.764793</v>
      </c>
      <c r="FU24" s="117">
        <v>200.86613500000001</v>
      </c>
      <c r="FV24" s="117">
        <v>114.440961</v>
      </c>
      <c r="FW24" s="117">
        <v>214.97763699999999</v>
      </c>
      <c r="FX24" s="117">
        <v>135.432829</v>
      </c>
      <c r="FY24" s="117">
        <v>129.810531</v>
      </c>
      <c r="FZ24" s="117">
        <v>155.658682</v>
      </c>
      <c r="GA24" s="117">
        <v>119.84912300000001</v>
      </c>
      <c r="GB24" s="117">
        <v>200.76665700000001</v>
      </c>
      <c r="GC24" s="117">
        <v>114.401021</v>
      </c>
      <c r="GD24" s="117">
        <v>218.88205600000001</v>
      </c>
      <c r="GE24" s="117">
        <v>138.069153</v>
      </c>
      <c r="GF24" s="117">
        <v>137.68261899999999</v>
      </c>
      <c r="GG24" s="117">
        <v>166.63795200000001</v>
      </c>
      <c r="GH24" s="117">
        <v>124.102671</v>
      </c>
      <c r="GI24" s="117">
        <v>213.16948400000001</v>
      </c>
      <c r="GJ24" s="117">
        <v>122.443223</v>
      </c>
      <c r="GK24" s="117">
        <v>211.89701199999999</v>
      </c>
      <c r="GL24" s="117">
        <v>133.60892000000001</v>
      </c>
      <c r="GM24" s="117">
        <v>125.543408</v>
      </c>
      <c r="GN24" s="117">
        <v>153.85778199999999</v>
      </c>
      <c r="GO24" s="117">
        <v>113.5902</v>
      </c>
      <c r="GP24" s="117">
        <v>193.02543900000001</v>
      </c>
      <c r="GQ24" s="117">
        <v>110.471294</v>
      </c>
      <c r="GR24" s="117">
        <v>212.73866899999999</v>
      </c>
      <c r="GS24" s="117">
        <v>134.20969299999999</v>
      </c>
      <c r="GT24" s="117">
        <v>124.593462</v>
      </c>
      <c r="GU24" s="117">
        <v>150.74060299999999</v>
      </c>
      <c r="GV24" s="117">
        <v>115.2597</v>
      </c>
      <c r="GW24" s="117">
        <v>191.79647</v>
      </c>
      <c r="GX24" s="117">
        <v>109.246059</v>
      </c>
      <c r="GY24" s="117">
        <v>219.10989000000001</v>
      </c>
      <c r="GZ24" s="117">
        <v>137.94997499999999</v>
      </c>
      <c r="HA24" s="117">
        <v>132.20031900000001</v>
      </c>
      <c r="HB24" s="117">
        <v>158.86668599999999</v>
      </c>
      <c r="HC24" s="117">
        <v>122.074023</v>
      </c>
      <c r="HD24" s="117">
        <v>204.38611</v>
      </c>
      <c r="HE24" s="117">
        <v>116.405525</v>
      </c>
      <c r="HF24" s="117">
        <v>210.086634</v>
      </c>
    </row>
    <row r="25" spans="6:214" x14ac:dyDescent="0.25">
      <c r="F25" s="116" t="str">
        <f xml:space="preserve"> _xll.EPMOlapMemberO("[PRDDESCR].[].[HELGAS GFREE WHOLEM 500G]","","HELGAS GFREE WHOLEM 500G","","000")</f>
        <v>HELGAS GFREE WHOLEM 500G</v>
      </c>
      <c r="G25" s="116" t="str">
        <f xml:space="preserve"> _xll.EPMOlapMemberO("[PRDID].[].[168848]","","168848","","000")</f>
        <v>168848</v>
      </c>
      <c r="H25" s="116" t="str">
        <f xml:space="preserve"> _xll.EPMOlapMemberO("[LOCID].[].[6104]","","6104","","000")</f>
        <v>6104</v>
      </c>
      <c r="I25" s="116" t="str">
        <f xml:space="preserve"> _xll.EPMOlapMemberO("[LOCDESCR].[].[QBA-Moorebank]","","QBA-Moorebank","","000")</f>
        <v>QBA-Moorebank</v>
      </c>
      <c r="J25" s="116" t="str">
        <f xml:space="preserve"> _xll.EPMOlapMemberO("[KEY_FIGURES].[].[ZGFAPPROVEDFCSTQTY]","","Approved Forecast","","000")</f>
        <v>Approved Forecast</v>
      </c>
      <c r="K25" s="117">
        <v>880.235005</v>
      </c>
      <c r="L25" s="117">
        <v>465.31658199999998</v>
      </c>
      <c r="M25" s="117">
        <v>538.03329900000006</v>
      </c>
      <c r="N25" s="117">
        <v>451.64912099999998</v>
      </c>
      <c r="O25" s="117">
        <v>501.37794400000001</v>
      </c>
      <c r="P25" s="117">
        <v>448.50786299999999</v>
      </c>
      <c r="Q25" s="117">
        <v>322.20476200000002</v>
      </c>
      <c r="R25" s="117">
        <v>838.37379099999998</v>
      </c>
      <c r="S25" s="117">
        <v>432.63543800000002</v>
      </c>
      <c r="T25" s="117">
        <v>555.407961</v>
      </c>
      <c r="U25" s="117">
        <v>468.75304899999998</v>
      </c>
      <c r="V25" s="117">
        <v>517.70409299999994</v>
      </c>
      <c r="W25" s="117">
        <v>480.14786600000002</v>
      </c>
      <c r="X25" s="117">
        <v>332.48479400000002</v>
      </c>
      <c r="Y25" s="117">
        <v>803.77463</v>
      </c>
      <c r="Z25" s="117">
        <v>421.46322700000002</v>
      </c>
      <c r="AA25" s="117">
        <v>537.66290800000002</v>
      </c>
      <c r="AB25" s="117">
        <v>452.595957</v>
      </c>
      <c r="AC25" s="117">
        <v>495.85504500000002</v>
      </c>
      <c r="AD25" s="117">
        <v>439.23459000000003</v>
      </c>
      <c r="AE25" s="117">
        <v>311.90065099999998</v>
      </c>
      <c r="AF25" s="117">
        <v>825.34920499999998</v>
      </c>
      <c r="AG25" s="117">
        <v>434.35730899999999</v>
      </c>
      <c r="AH25" s="117">
        <v>610.66743699999995</v>
      </c>
      <c r="AI25" s="117">
        <v>491.10796499999998</v>
      </c>
      <c r="AJ25" s="117">
        <v>531.41510800000003</v>
      </c>
      <c r="AK25" s="117">
        <v>481.501758</v>
      </c>
      <c r="AL25" s="117">
        <v>345.00063299999999</v>
      </c>
      <c r="AM25" s="117">
        <v>915.44787399999996</v>
      </c>
      <c r="AN25" s="117">
        <v>484.96738699999997</v>
      </c>
      <c r="AO25" s="117">
        <v>607.88764200000003</v>
      </c>
      <c r="AP25" s="117">
        <v>514.36267599999996</v>
      </c>
      <c r="AQ25" s="117">
        <v>562.82125199999996</v>
      </c>
      <c r="AR25" s="117">
        <v>510.493675</v>
      </c>
      <c r="AS25" s="117">
        <v>374.66540300000003</v>
      </c>
      <c r="AT25" s="117">
        <v>944.92478400000005</v>
      </c>
      <c r="AU25" s="117">
        <v>499.58207199999998</v>
      </c>
      <c r="AV25" s="117">
        <v>665.10162700000001</v>
      </c>
      <c r="AW25" s="117">
        <v>571.35527500000001</v>
      </c>
      <c r="AX25" s="117">
        <v>614.30197599999997</v>
      </c>
      <c r="AY25" s="117">
        <v>562.03505199999995</v>
      </c>
      <c r="AZ25" s="117">
        <v>390.10198500000001</v>
      </c>
      <c r="BA25" s="117">
        <v>942.59562000000005</v>
      </c>
      <c r="BB25" s="117">
        <v>500.151163</v>
      </c>
      <c r="BC25" s="117">
        <v>626.80013699999995</v>
      </c>
      <c r="BD25" s="117">
        <v>563.31114600000001</v>
      </c>
      <c r="BE25" s="117">
        <v>575.98773200000005</v>
      </c>
      <c r="BF25" s="117">
        <v>530.13851</v>
      </c>
      <c r="BG25" s="117">
        <v>368.37950000000001</v>
      </c>
      <c r="BH25" s="117">
        <v>995.29528700000003</v>
      </c>
      <c r="BI25" s="117">
        <v>531.51069199999995</v>
      </c>
      <c r="BJ25" s="117">
        <v>638.75564199999997</v>
      </c>
      <c r="BK25" s="117">
        <v>532.583212</v>
      </c>
      <c r="BL25" s="117">
        <v>575.16393100000005</v>
      </c>
      <c r="BM25" s="117">
        <v>531.09052699999995</v>
      </c>
      <c r="BN25" s="117">
        <v>372.28154799999999</v>
      </c>
      <c r="BO25" s="117">
        <v>955.97345499999994</v>
      </c>
      <c r="BP25" s="117">
        <v>489.268192</v>
      </c>
      <c r="BQ25" s="117">
        <v>621.087265</v>
      </c>
      <c r="BR25" s="117">
        <v>525.39485200000001</v>
      </c>
      <c r="BS25" s="117">
        <v>569.79537900000003</v>
      </c>
      <c r="BT25" s="117">
        <v>520.72969000000001</v>
      </c>
      <c r="BU25" s="117">
        <v>364.488587</v>
      </c>
      <c r="BV25" s="117">
        <v>835.21362699999997</v>
      </c>
      <c r="BW25" s="117">
        <v>445.467693</v>
      </c>
      <c r="BX25" s="117">
        <v>609.93942100000004</v>
      </c>
      <c r="BY25" s="117">
        <v>504.40378500000003</v>
      </c>
      <c r="BZ25" s="117">
        <v>578.65580799999998</v>
      </c>
      <c r="CA25" s="117">
        <v>504.81876599999998</v>
      </c>
      <c r="CB25" s="117">
        <v>360.12979100000001</v>
      </c>
      <c r="CC25" s="117">
        <v>871.08758999999998</v>
      </c>
      <c r="CD25" s="117">
        <v>467.62507099999999</v>
      </c>
      <c r="CE25" s="117">
        <v>599.15249700000004</v>
      </c>
      <c r="CF25" s="117">
        <v>496.42074300000002</v>
      </c>
      <c r="CG25" s="117">
        <v>538.20206099999996</v>
      </c>
      <c r="CH25" s="117">
        <v>489.59421400000002</v>
      </c>
      <c r="CI25" s="117">
        <v>352.124753</v>
      </c>
      <c r="CJ25" s="117">
        <v>895.24729200000002</v>
      </c>
      <c r="CK25" s="117">
        <v>499.88428699999997</v>
      </c>
      <c r="CL25" s="117">
        <v>585.67290200000002</v>
      </c>
      <c r="CM25" s="117">
        <v>486.98352899999998</v>
      </c>
      <c r="CN25" s="117">
        <v>531.52789800000005</v>
      </c>
      <c r="CO25" s="117">
        <v>483.15533799999997</v>
      </c>
      <c r="CP25" s="117">
        <v>346.06442299999998</v>
      </c>
      <c r="CQ25" s="117">
        <v>838.20291899999995</v>
      </c>
      <c r="CR25" s="117">
        <v>432.32570299999998</v>
      </c>
      <c r="CS25" s="117">
        <v>555.99836100000005</v>
      </c>
      <c r="CT25" s="117">
        <v>489.20543300000003</v>
      </c>
      <c r="CU25" s="117">
        <v>510.73094300000002</v>
      </c>
      <c r="CV25" s="117">
        <v>481.43599699999999</v>
      </c>
      <c r="CW25" s="117">
        <v>327.48011300000002</v>
      </c>
      <c r="CX25" s="117">
        <v>813.02400499999999</v>
      </c>
      <c r="CY25" s="117">
        <v>431.252071</v>
      </c>
      <c r="CZ25" s="117">
        <v>558.23911299999997</v>
      </c>
      <c r="DA25" s="117">
        <v>467.12215200000003</v>
      </c>
      <c r="DB25" s="117">
        <v>508.12189799999999</v>
      </c>
      <c r="DC25" s="117">
        <v>452.78410100000002</v>
      </c>
      <c r="DD25" s="117">
        <v>320.51243399999998</v>
      </c>
      <c r="DE25" s="117">
        <v>819.33414900000002</v>
      </c>
      <c r="DF25" s="117">
        <v>434.47011500000002</v>
      </c>
      <c r="DG25" s="117">
        <v>611.03525100000002</v>
      </c>
      <c r="DH25" s="117">
        <v>487.54152299999998</v>
      </c>
      <c r="DI25" s="117">
        <v>535.16895399999999</v>
      </c>
      <c r="DJ25" s="117">
        <v>486.30677100000003</v>
      </c>
      <c r="DK25" s="117">
        <v>347.308131</v>
      </c>
      <c r="DL25" s="117">
        <v>865.34524199999998</v>
      </c>
      <c r="DM25" s="117">
        <v>459.03203500000001</v>
      </c>
      <c r="DN25" s="117">
        <v>580.261484</v>
      </c>
      <c r="DO25" s="117">
        <v>481.35787399999998</v>
      </c>
      <c r="DP25" s="117">
        <v>537.124821</v>
      </c>
      <c r="DQ25" s="117">
        <v>484.95675999999997</v>
      </c>
      <c r="DR25" s="117">
        <v>359.990362</v>
      </c>
      <c r="DS25" s="117">
        <v>855.68811300000004</v>
      </c>
      <c r="DT25" s="117">
        <v>456.15938899999998</v>
      </c>
      <c r="DU25" s="117">
        <v>555.61415799999997</v>
      </c>
      <c r="DV25" s="117">
        <v>466.02666299999999</v>
      </c>
      <c r="DW25" s="117">
        <v>510.47801299999998</v>
      </c>
      <c r="DX25" s="117">
        <v>459.62401999999997</v>
      </c>
      <c r="DY25" s="117">
        <v>320.99910399999999</v>
      </c>
      <c r="DZ25" s="117">
        <v>811.35493499999995</v>
      </c>
      <c r="EA25" s="117">
        <v>438.75868600000001</v>
      </c>
      <c r="EB25" s="117">
        <v>559.96515199999999</v>
      </c>
      <c r="EC25" s="117">
        <v>489.08766800000001</v>
      </c>
      <c r="ED25" s="117">
        <v>510.45615700000002</v>
      </c>
      <c r="EE25" s="117">
        <v>462.73407300000002</v>
      </c>
      <c r="EF25" s="117">
        <v>328.69585999999998</v>
      </c>
      <c r="EG25" s="117">
        <v>824.94671900000003</v>
      </c>
      <c r="EH25" s="117">
        <v>438.61373200000003</v>
      </c>
      <c r="EI25" s="117">
        <v>561.73511499999995</v>
      </c>
      <c r="EJ25" s="117">
        <v>467.713728</v>
      </c>
      <c r="EK25" s="117">
        <v>503.904359</v>
      </c>
      <c r="EL25" s="117">
        <v>462.22739799999999</v>
      </c>
      <c r="EM25" s="117">
        <v>327.31279599999999</v>
      </c>
      <c r="EN25" s="117">
        <v>849.69541100000004</v>
      </c>
      <c r="EO25" s="117">
        <v>429.78869900000001</v>
      </c>
      <c r="EP25" s="117">
        <v>576.68761300000006</v>
      </c>
      <c r="EQ25" s="117">
        <v>491.78734900000001</v>
      </c>
      <c r="ER25" s="117">
        <v>529.12370699999997</v>
      </c>
      <c r="ES25" s="117">
        <v>483.20673399999998</v>
      </c>
      <c r="ET25" s="117">
        <v>341.91351200000003</v>
      </c>
      <c r="EU25" s="117">
        <v>854.58183299999996</v>
      </c>
      <c r="EV25" s="117">
        <v>455.56021299999998</v>
      </c>
      <c r="EW25" s="117">
        <v>588.26600499999995</v>
      </c>
      <c r="EX25" s="117">
        <v>488.09817099999998</v>
      </c>
      <c r="EY25" s="117">
        <v>558.98154599999998</v>
      </c>
      <c r="EZ25" s="117">
        <v>488.14165300000002</v>
      </c>
      <c r="FA25" s="117">
        <v>347.19271600000002</v>
      </c>
      <c r="FB25" s="117">
        <v>855.92412400000001</v>
      </c>
      <c r="FC25" s="117">
        <v>459.43654099999998</v>
      </c>
      <c r="FD25" s="117">
        <v>562.10788000000002</v>
      </c>
      <c r="FE25" s="117">
        <v>469.628376</v>
      </c>
      <c r="FF25" s="117">
        <v>503.28622300000001</v>
      </c>
      <c r="FG25" s="117">
        <v>455.80524800000001</v>
      </c>
      <c r="FH25" s="117">
        <v>328.50566600000002</v>
      </c>
      <c r="FI25" s="117">
        <v>827.24865499999999</v>
      </c>
      <c r="FJ25" s="117">
        <v>463.496757</v>
      </c>
      <c r="FK25" s="117">
        <v>569.09733900000003</v>
      </c>
      <c r="FL25" s="117">
        <v>475.05931900000002</v>
      </c>
      <c r="FM25" s="117">
        <v>516.33828600000004</v>
      </c>
      <c r="FN25" s="117">
        <v>471.20891</v>
      </c>
      <c r="FO25" s="117">
        <v>337.625652</v>
      </c>
      <c r="FP25" s="117">
        <v>825.24644799999999</v>
      </c>
      <c r="FQ25" s="117">
        <v>436.41110099999997</v>
      </c>
      <c r="FR25" s="117">
        <v>559.09196099999997</v>
      </c>
      <c r="FS25" s="117">
        <v>471.72633100000002</v>
      </c>
      <c r="FT25" s="117">
        <v>513.17385999999999</v>
      </c>
      <c r="FU25" s="117">
        <v>486.71332699999999</v>
      </c>
      <c r="FV25" s="117">
        <v>332.48537900000002</v>
      </c>
      <c r="FW25" s="117">
        <v>815.60581500000001</v>
      </c>
      <c r="FX25" s="117">
        <v>435.030124</v>
      </c>
      <c r="FY25" s="117">
        <v>561.86881700000004</v>
      </c>
      <c r="FZ25" s="117">
        <v>469.97822100000002</v>
      </c>
      <c r="GA25" s="117">
        <v>510.474332</v>
      </c>
      <c r="GB25" s="117">
        <v>456.68350900000002</v>
      </c>
      <c r="GC25" s="117">
        <v>324.32163000000003</v>
      </c>
      <c r="GD25" s="117">
        <v>801.95476299999996</v>
      </c>
      <c r="GE25" s="117">
        <v>422.32768499999997</v>
      </c>
      <c r="GF25" s="117">
        <v>597.56705199999999</v>
      </c>
      <c r="GG25" s="117">
        <v>483.70444400000002</v>
      </c>
      <c r="GH25" s="117">
        <v>523.97117300000002</v>
      </c>
      <c r="GI25" s="117">
        <v>476.41621400000002</v>
      </c>
      <c r="GJ25" s="117">
        <v>338.93436800000001</v>
      </c>
      <c r="GK25" s="117">
        <v>878.68855699999995</v>
      </c>
      <c r="GL25" s="117">
        <v>461.07070599999997</v>
      </c>
      <c r="GM25" s="117">
        <v>570.11783000000003</v>
      </c>
      <c r="GN25" s="117">
        <v>494.15094299999998</v>
      </c>
      <c r="GO25" s="117">
        <v>526.69986500000005</v>
      </c>
      <c r="GP25" s="117">
        <v>478.62466999999998</v>
      </c>
      <c r="GQ25" s="117">
        <v>355.11824999999999</v>
      </c>
      <c r="GR25" s="117">
        <v>847.793859</v>
      </c>
      <c r="GS25" s="117">
        <v>453.71265499999998</v>
      </c>
      <c r="GT25" s="117">
        <v>559.413591</v>
      </c>
      <c r="GU25" s="117">
        <v>467.917259</v>
      </c>
      <c r="GV25" s="117">
        <v>512.35889999999995</v>
      </c>
      <c r="GW25" s="117">
        <v>462.79981400000003</v>
      </c>
      <c r="GX25" s="117">
        <v>323.62012199999998</v>
      </c>
      <c r="GY25" s="117">
        <v>859.49570700000004</v>
      </c>
      <c r="GZ25" s="117">
        <v>467.320042</v>
      </c>
      <c r="HA25" s="117">
        <v>598.46149800000001</v>
      </c>
      <c r="HB25" s="117">
        <v>521.72043900000006</v>
      </c>
      <c r="HC25" s="117">
        <v>543.26282200000003</v>
      </c>
      <c r="HD25" s="117">
        <v>493.074725</v>
      </c>
      <c r="HE25" s="117">
        <v>352.531249</v>
      </c>
      <c r="HF25" s="117">
        <v>820.16876999999999</v>
      </c>
    </row>
    <row r="26" spans="6:214" x14ac:dyDescent="0.25">
      <c r="F26" s="116" t="str">
        <f xml:space="preserve"> _xll.EPMOlapMemberO("[PRDDESCR].[].[HELGAS GFREE WHOLEM 500G]","","HELGAS GFREE WHOLEM 500G","","000")</f>
        <v>HELGAS GFREE WHOLEM 500G</v>
      </c>
      <c r="G26" s="116" t="str">
        <f xml:space="preserve"> _xll.EPMOlapMemberO("[PRDID].[].[168848]","","168848","","000")</f>
        <v>168848</v>
      </c>
      <c r="H26" s="116" t="str">
        <f xml:space="preserve"> _xll.EPMOlapMemberO("[LOCID].[].[6105]","","6105","","000")</f>
        <v>6105</v>
      </c>
      <c r="I26" s="116" t="str">
        <f xml:space="preserve"> _xll.EPMOlapMemberO("[LOCDESCR].[].[QBA-Rydalmere]","","QBA-Rydalmere","","000")</f>
        <v>QBA-Rydalmere</v>
      </c>
      <c r="J26" s="116" t="str">
        <f xml:space="preserve"> _xll.EPMOlapMemberO("[KEY_FIGURES].[].[ZGFAPPROVEDFCSTQTY]","","Approved Forecast","","000")</f>
        <v>Approved Forecast</v>
      </c>
      <c r="K26" s="117">
        <v>568.34580600000004</v>
      </c>
      <c r="L26" s="117">
        <v>555.45737899999995</v>
      </c>
      <c r="M26" s="117">
        <v>289.01489700000002</v>
      </c>
      <c r="N26" s="117">
        <v>431.612123</v>
      </c>
      <c r="O26" s="117">
        <v>276.63892399999997</v>
      </c>
      <c r="P26" s="117">
        <v>420.29204199999998</v>
      </c>
      <c r="Q26" s="117">
        <v>256.11647799999997</v>
      </c>
      <c r="R26" s="117">
        <v>550.85440500000004</v>
      </c>
      <c r="S26" s="117">
        <v>551.85353899999996</v>
      </c>
      <c r="T26" s="117">
        <v>312.89933300000001</v>
      </c>
      <c r="U26" s="117">
        <v>482.134029</v>
      </c>
      <c r="V26" s="117">
        <v>305.686216</v>
      </c>
      <c r="W26" s="117">
        <v>456.83572099999998</v>
      </c>
      <c r="X26" s="117">
        <v>278.21416299999999</v>
      </c>
      <c r="Y26" s="117">
        <v>530.94823599999995</v>
      </c>
      <c r="Z26" s="117">
        <v>530.44529699999998</v>
      </c>
      <c r="AA26" s="117">
        <v>297.89270299999998</v>
      </c>
      <c r="AB26" s="117">
        <v>460.56654300000002</v>
      </c>
      <c r="AC26" s="117">
        <v>290.18679300000002</v>
      </c>
      <c r="AD26" s="117">
        <v>437.35602399999999</v>
      </c>
      <c r="AE26" s="117">
        <v>259.54532599999999</v>
      </c>
      <c r="AF26" s="117">
        <v>559.18037600000002</v>
      </c>
      <c r="AG26" s="117">
        <v>540.23758599999996</v>
      </c>
      <c r="AH26" s="117">
        <v>349.22419100000002</v>
      </c>
      <c r="AI26" s="117">
        <v>501.222376</v>
      </c>
      <c r="AJ26" s="117">
        <v>332.544939</v>
      </c>
      <c r="AK26" s="117">
        <v>484.44885900000003</v>
      </c>
      <c r="AL26" s="117">
        <v>304.00114400000001</v>
      </c>
      <c r="AM26" s="117">
        <v>575.87398399999995</v>
      </c>
      <c r="AN26" s="117">
        <v>533.03184599999997</v>
      </c>
      <c r="AO26" s="117">
        <v>331.48722199999997</v>
      </c>
      <c r="AP26" s="117">
        <v>465.063447</v>
      </c>
      <c r="AQ26" s="117">
        <v>313.11081200000001</v>
      </c>
      <c r="AR26" s="117">
        <v>455.44628999999998</v>
      </c>
      <c r="AS26" s="117">
        <v>285.97038300000003</v>
      </c>
      <c r="AT26" s="117">
        <v>609.72098100000005</v>
      </c>
      <c r="AU26" s="117">
        <v>575.33546699999999</v>
      </c>
      <c r="AV26" s="117">
        <v>360.12017900000001</v>
      </c>
      <c r="AW26" s="117">
        <v>522.46771100000001</v>
      </c>
      <c r="AX26" s="117">
        <v>342.75595399999997</v>
      </c>
      <c r="AY26" s="117">
        <v>502.42612700000001</v>
      </c>
      <c r="AZ26" s="117">
        <v>314.88624099999998</v>
      </c>
      <c r="BA26" s="117">
        <v>584.19510300000002</v>
      </c>
      <c r="BB26" s="117">
        <v>544.45873700000004</v>
      </c>
      <c r="BC26" s="117">
        <v>334.67802899999998</v>
      </c>
      <c r="BD26" s="117">
        <v>472.88100800000001</v>
      </c>
      <c r="BE26" s="117">
        <v>314.93023899999997</v>
      </c>
      <c r="BF26" s="117">
        <v>460.90124300000002</v>
      </c>
      <c r="BG26" s="117">
        <v>289.76028000000002</v>
      </c>
      <c r="BH26" s="117">
        <v>642.771478</v>
      </c>
      <c r="BI26" s="117">
        <v>599.85649599999999</v>
      </c>
      <c r="BJ26" s="117">
        <v>354.187817</v>
      </c>
      <c r="BK26" s="117">
        <v>505.65659900000003</v>
      </c>
      <c r="BL26" s="117">
        <v>337.40575699999999</v>
      </c>
      <c r="BM26" s="117">
        <v>491.25820499999998</v>
      </c>
      <c r="BN26" s="117">
        <v>308.30400300000002</v>
      </c>
      <c r="BO26" s="117">
        <v>563.14878499999998</v>
      </c>
      <c r="BP26" s="117">
        <v>516.11249999999995</v>
      </c>
      <c r="BQ26" s="117">
        <v>323.52659399999999</v>
      </c>
      <c r="BR26" s="117">
        <v>450.69161400000002</v>
      </c>
      <c r="BS26" s="117">
        <v>305.80259899999999</v>
      </c>
      <c r="BT26" s="117">
        <v>443.67008700000002</v>
      </c>
      <c r="BU26" s="117">
        <v>279.72729399999997</v>
      </c>
      <c r="BV26" s="117">
        <v>544.63627599999995</v>
      </c>
      <c r="BW26" s="117">
        <v>516.24685799999997</v>
      </c>
      <c r="BX26" s="117">
        <v>323.61706099999998</v>
      </c>
      <c r="BY26" s="117">
        <v>469.89502800000002</v>
      </c>
      <c r="BZ26" s="117">
        <v>306.23818699999998</v>
      </c>
      <c r="CA26" s="117">
        <v>447.71732700000001</v>
      </c>
      <c r="CB26" s="117">
        <v>282.46819699999998</v>
      </c>
      <c r="CC26" s="117">
        <v>543.48880499999996</v>
      </c>
      <c r="CD26" s="117">
        <v>504.56177100000002</v>
      </c>
      <c r="CE26" s="117">
        <v>310.17450300000002</v>
      </c>
      <c r="CF26" s="117">
        <v>439.97341299999999</v>
      </c>
      <c r="CG26" s="117">
        <v>293.800566</v>
      </c>
      <c r="CH26" s="117">
        <v>424.16081300000002</v>
      </c>
      <c r="CI26" s="117">
        <v>272.32832300000001</v>
      </c>
      <c r="CJ26" s="117">
        <v>611.26038400000004</v>
      </c>
      <c r="CK26" s="117">
        <v>582.24814300000003</v>
      </c>
      <c r="CL26" s="117">
        <v>336.29172499999999</v>
      </c>
      <c r="CM26" s="117">
        <v>493.08188999999999</v>
      </c>
      <c r="CN26" s="117">
        <v>321.042439</v>
      </c>
      <c r="CO26" s="117">
        <v>469.03199000000001</v>
      </c>
      <c r="CP26" s="117">
        <v>293.54937999999999</v>
      </c>
      <c r="CQ26" s="117">
        <v>544.79899699999999</v>
      </c>
      <c r="CR26" s="117">
        <v>507.18422500000003</v>
      </c>
      <c r="CS26" s="117">
        <v>310.83614999999998</v>
      </c>
      <c r="CT26" s="117">
        <v>444.625563</v>
      </c>
      <c r="CU26" s="117">
        <v>295.73093799999998</v>
      </c>
      <c r="CV26" s="117">
        <v>428.87827199999998</v>
      </c>
      <c r="CW26" s="117">
        <v>271.19528400000002</v>
      </c>
      <c r="CX26" s="117">
        <v>537.08613200000002</v>
      </c>
      <c r="CY26" s="117">
        <v>497.08670599999999</v>
      </c>
      <c r="CZ26" s="117">
        <v>307.53148299999998</v>
      </c>
      <c r="DA26" s="117">
        <v>436.61821900000001</v>
      </c>
      <c r="DB26" s="117">
        <v>292.72912000000002</v>
      </c>
      <c r="DC26" s="117">
        <v>422.13808699999998</v>
      </c>
      <c r="DD26" s="117">
        <v>269.03557499999999</v>
      </c>
      <c r="DE26" s="117">
        <v>552.62539900000002</v>
      </c>
      <c r="DF26" s="117">
        <v>507.19374499999998</v>
      </c>
      <c r="DG26" s="117">
        <v>329.58721400000002</v>
      </c>
      <c r="DH26" s="117">
        <v>462.62879500000003</v>
      </c>
      <c r="DI26" s="117">
        <v>312.19772599999999</v>
      </c>
      <c r="DJ26" s="117">
        <v>445.65236299999998</v>
      </c>
      <c r="DK26" s="117">
        <v>290.02037100000001</v>
      </c>
      <c r="DL26" s="117">
        <v>577.83305600000006</v>
      </c>
      <c r="DM26" s="117">
        <v>549.06901400000004</v>
      </c>
      <c r="DN26" s="117">
        <v>327.69770999999997</v>
      </c>
      <c r="DO26" s="117">
        <v>479.61265100000003</v>
      </c>
      <c r="DP26" s="117">
        <v>312.674938</v>
      </c>
      <c r="DQ26" s="117">
        <v>456.652152</v>
      </c>
      <c r="DR26" s="117">
        <v>288.13339000000002</v>
      </c>
      <c r="DS26" s="117">
        <v>581.717984</v>
      </c>
      <c r="DT26" s="117">
        <v>556.23940100000004</v>
      </c>
      <c r="DU26" s="117">
        <v>320.02439700000002</v>
      </c>
      <c r="DV26" s="117">
        <v>469.33963699999998</v>
      </c>
      <c r="DW26" s="117">
        <v>304.762495</v>
      </c>
      <c r="DX26" s="117">
        <v>447.821144</v>
      </c>
      <c r="DY26" s="117">
        <v>277.68504799999999</v>
      </c>
      <c r="DZ26" s="117">
        <v>527.53449699999999</v>
      </c>
      <c r="EA26" s="117">
        <v>485.77639299999998</v>
      </c>
      <c r="EB26" s="117">
        <v>302.43024700000001</v>
      </c>
      <c r="EC26" s="117">
        <v>425.45413500000001</v>
      </c>
      <c r="ED26" s="117">
        <v>287.15002399999997</v>
      </c>
      <c r="EE26" s="117">
        <v>414.69599499999998</v>
      </c>
      <c r="EF26" s="117">
        <v>263.78594700000002</v>
      </c>
      <c r="EG26" s="117">
        <v>558.57376599999998</v>
      </c>
      <c r="EH26" s="117">
        <v>530.95511799999997</v>
      </c>
      <c r="EI26" s="117">
        <v>317.02829100000002</v>
      </c>
      <c r="EJ26" s="117">
        <v>465.50735400000002</v>
      </c>
      <c r="EK26" s="117">
        <v>303.03191800000002</v>
      </c>
      <c r="EL26" s="117">
        <v>444.172978</v>
      </c>
      <c r="EM26" s="117">
        <v>276.16067099999998</v>
      </c>
      <c r="EN26" s="117">
        <v>546.87444700000003</v>
      </c>
      <c r="EO26" s="117">
        <v>506.25404099999997</v>
      </c>
      <c r="EP26" s="117">
        <v>325.30001900000002</v>
      </c>
      <c r="EQ26" s="117">
        <v>460.21306399999997</v>
      </c>
      <c r="ER26" s="117">
        <v>307.83729199999999</v>
      </c>
      <c r="ES26" s="117">
        <v>443.62360899999999</v>
      </c>
      <c r="ET26" s="117">
        <v>285.153144</v>
      </c>
      <c r="EU26" s="117">
        <v>578.56582900000001</v>
      </c>
      <c r="EV26" s="117">
        <v>545.50496999999996</v>
      </c>
      <c r="EW26" s="117">
        <v>328.71756499999998</v>
      </c>
      <c r="EX26" s="117">
        <v>476.30461200000002</v>
      </c>
      <c r="EY26" s="117">
        <v>313.43070499999999</v>
      </c>
      <c r="EZ26" s="117">
        <v>455.35334999999998</v>
      </c>
      <c r="FA26" s="117">
        <v>288.98887100000002</v>
      </c>
      <c r="FB26" s="117">
        <v>583.22017900000003</v>
      </c>
      <c r="FC26" s="117">
        <v>552.36298699999998</v>
      </c>
      <c r="FD26" s="117">
        <v>322.61289499999998</v>
      </c>
      <c r="FE26" s="117">
        <v>467.020737</v>
      </c>
      <c r="FF26" s="117">
        <v>306.95700499999998</v>
      </c>
      <c r="FG26" s="117">
        <v>448.57348400000001</v>
      </c>
      <c r="FH26" s="117">
        <v>280.50373999999999</v>
      </c>
      <c r="FI26" s="117">
        <v>573.004279</v>
      </c>
      <c r="FJ26" s="117">
        <v>534.59866199999999</v>
      </c>
      <c r="FK26" s="117">
        <v>326.704229</v>
      </c>
      <c r="FL26" s="117">
        <v>469.78940499999999</v>
      </c>
      <c r="FM26" s="117">
        <v>312.37805900000001</v>
      </c>
      <c r="FN26" s="117">
        <v>451.50575900000001</v>
      </c>
      <c r="FO26" s="117">
        <v>286.30087900000001</v>
      </c>
      <c r="FP26" s="117">
        <v>579.94048299999997</v>
      </c>
      <c r="FQ26" s="117">
        <v>523.41078900000002</v>
      </c>
      <c r="FR26" s="117">
        <v>332.94565299999999</v>
      </c>
      <c r="FS26" s="117">
        <v>461.88778100000002</v>
      </c>
      <c r="FT26" s="117">
        <v>320.25381199999998</v>
      </c>
      <c r="FU26" s="117">
        <v>447.10696999999999</v>
      </c>
      <c r="FV26" s="117">
        <v>290.02507200000002</v>
      </c>
      <c r="FW26" s="117">
        <v>575.703215</v>
      </c>
      <c r="FX26" s="117">
        <v>537.79422399999999</v>
      </c>
      <c r="FY26" s="117">
        <v>329.938107</v>
      </c>
      <c r="FZ26" s="117">
        <v>471.93063100000001</v>
      </c>
      <c r="GA26" s="117">
        <v>314.72448100000003</v>
      </c>
      <c r="GB26" s="117">
        <v>452.93020200000001</v>
      </c>
      <c r="GC26" s="117">
        <v>286.84371199999998</v>
      </c>
      <c r="GD26" s="117">
        <v>568.07784600000002</v>
      </c>
      <c r="GE26" s="117">
        <v>548.71827699999994</v>
      </c>
      <c r="GF26" s="117">
        <v>333.300771</v>
      </c>
      <c r="GG26" s="117">
        <v>498.21346</v>
      </c>
      <c r="GH26" s="117">
        <v>319.48960399999999</v>
      </c>
      <c r="GI26" s="117">
        <v>470.60857399999998</v>
      </c>
      <c r="GJ26" s="117">
        <v>290.325672</v>
      </c>
      <c r="GK26" s="117">
        <v>591.67149099999995</v>
      </c>
      <c r="GL26" s="117">
        <v>564.28464199999996</v>
      </c>
      <c r="GM26" s="117">
        <v>331.04605400000003</v>
      </c>
      <c r="GN26" s="117">
        <v>487.83226100000002</v>
      </c>
      <c r="GO26" s="117">
        <v>316.16390100000001</v>
      </c>
      <c r="GP26" s="117">
        <v>461.89687199999997</v>
      </c>
      <c r="GQ26" s="117">
        <v>289.05931700000002</v>
      </c>
      <c r="GR26" s="117">
        <v>580.95805399999995</v>
      </c>
      <c r="GS26" s="117">
        <v>542.71481700000004</v>
      </c>
      <c r="GT26" s="117">
        <v>324.10670699999997</v>
      </c>
      <c r="GU26" s="117">
        <v>463.83708200000001</v>
      </c>
      <c r="GV26" s="117">
        <v>310.275757</v>
      </c>
      <c r="GW26" s="117">
        <v>446.261822</v>
      </c>
      <c r="GX26" s="117">
        <v>283.84475099999997</v>
      </c>
      <c r="GY26" s="117">
        <v>562.56774499999995</v>
      </c>
      <c r="GZ26" s="117">
        <v>504.74818199999999</v>
      </c>
      <c r="HA26" s="117">
        <v>324.469201</v>
      </c>
      <c r="HB26" s="117">
        <v>445.821685</v>
      </c>
      <c r="HC26" s="117">
        <v>309.66499099999999</v>
      </c>
      <c r="HD26" s="117">
        <v>434.08135700000003</v>
      </c>
      <c r="HE26" s="117">
        <v>286.25871000000001</v>
      </c>
      <c r="HF26" s="117">
        <v>516.23281799999995</v>
      </c>
    </row>
    <row r="27" spans="6:214" x14ac:dyDescent="0.25">
      <c r="F27" s="116" t="str">
        <f xml:space="preserve"> _xll.EPMOlapMemberO("[PRDDESCR].[].[HELGAS GFREE WHOLEM 500G]","","HELGAS GFREE WHOLEM 500G","","000")</f>
        <v>HELGAS GFREE WHOLEM 500G</v>
      </c>
      <c r="G27" s="116" t="str">
        <f xml:space="preserve"> _xll.EPMOlapMemberO("[PRDID].[].[168848]","","168848","","000")</f>
        <v>168848</v>
      </c>
      <c r="H27" s="116" t="str">
        <f xml:space="preserve"> _xll.EPMOlapMemberO("[LOCID].[].[6110]","","6110","","000")</f>
        <v>6110</v>
      </c>
      <c r="I27" s="116" t="str">
        <f xml:space="preserve"> _xll.EPMOlapMemberO("[LOCDESCR].[].[QBA-Burleigh Heads]","","QBA-Burleigh Heads","","000")</f>
        <v>QBA-Burleigh Heads</v>
      </c>
      <c r="J27" s="116" t="str">
        <f xml:space="preserve"> _xll.EPMOlapMemberO("[KEY_FIGURES].[].[ZGFAPPROVEDFCSTQTY]","","Approved Forecast","","000")</f>
        <v>Approved Forecast</v>
      </c>
      <c r="K27" s="117">
        <v>0.47779500000000003</v>
      </c>
      <c r="L27" s="117">
        <v>1091.2713080000001</v>
      </c>
      <c r="M27" s="117">
        <v>450.969357</v>
      </c>
      <c r="N27" s="117">
        <v>817.30384700000002</v>
      </c>
      <c r="O27" s="117">
        <v>419.33709900000002</v>
      </c>
      <c r="P27" s="117">
        <v>867.58568600000001</v>
      </c>
      <c r="Q27" s="117">
        <v>555.91882199999998</v>
      </c>
      <c r="R27" s="117">
        <v>0.56508700000000001</v>
      </c>
      <c r="S27" s="117">
        <v>1134.3369620000001</v>
      </c>
      <c r="T27" s="117">
        <v>470.68247400000001</v>
      </c>
      <c r="U27" s="117">
        <v>865.21081200000003</v>
      </c>
      <c r="V27" s="117">
        <v>443.62233300000003</v>
      </c>
      <c r="W27" s="117">
        <v>921.28870700000004</v>
      </c>
      <c r="X27" s="117">
        <v>590.38588900000002</v>
      </c>
      <c r="Y27" s="117">
        <v>0.456063</v>
      </c>
      <c r="Z27" s="117">
        <v>1056.7923920000001</v>
      </c>
      <c r="AA27" s="117">
        <v>439.043992</v>
      </c>
      <c r="AB27" s="117">
        <v>802.03511500000002</v>
      </c>
      <c r="AC27" s="117">
        <v>419.086072</v>
      </c>
      <c r="AD27" s="117">
        <v>877.05301999999995</v>
      </c>
      <c r="AE27" s="117">
        <v>541.62017100000003</v>
      </c>
      <c r="AF27" s="117">
        <v>0.432508</v>
      </c>
      <c r="AG27" s="117">
        <v>1132.948664</v>
      </c>
      <c r="AH27" s="117">
        <v>461.68227899999999</v>
      </c>
      <c r="AI27" s="117">
        <v>854.69417199999998</v>
      </c>
      <c r="AJ27" s="117">
        <v>441.50356799999997</v>
      </c>
      <c r="AK27" s="117">
        <v>932.79095199999995</v>
      </c>
      <c r="AL27" s="117">
        <v>576.54891799999996</v>
      </c>
      <c r="AM27" s="117">
        <v>0.45081900000000003</v>
      </c>
      <c r="AN27" s="117">
        <v>1140.5034909999999</v>
      </c>
      <c r="AO27" s="117">
        <v>472.76413700000001</v>
      </c>
      <c r="AP27" s="117">
        <v>871.32868900000005</v>
      </c>
      <c r="AQ27" s="117">
        <v>451.84338300000002</v>
      </c>
      <c r="AR27" s="117">
        <v>950.51685499999996</v>
      </c>
      <c r="AS27" s="117">
        <v>586.022334</v>
      </c>
      <c r="AT27" s="117">
        <v>0.45216000000000001</v>
      </c>
      <c r="AU27" s="117">
        <v>1139.0246099999999</v>
      </c>
      <c r="AV27" s="117">
        <v>483.03653200000002</v>
      </c>
      <c r="AW27" s="117">
        <v>897.27108699999997</v>
      </c>
      <c r="AX27" s="117">
        <v>464.05700400000001</v>
      </c>
      <c r="AY27" s="117">
        <v>984.41226500000005</v>
      </c>
      <c r="AZ27" s="117">
        <v>610.82891900000004</v>
      </c>
      <c r="BA27" s="117">
        <v>0.45350000000000001</v>
      </c>
      <c r="BB27" s="117">
        <v>1180.263064</v>
      </c>
      <c r="BC27" s="117">
        <v>482.010805</v>
      </c>
      <c r="BD27" s="117">
        <v>895.33244500000001</v>
      </c>
      <c r="BE27" s="117">
        <v>463.13030400000002</v>
      </c>
      <c r="BF27" s="117">
        <v>982.15392699999995</v>
      </c>
      <c r="BG27" s="117">
        <v>609.20731000000001</v>
      </c>
      <c r="BH27" s="117">
        <v>0.454841</v>
      </c>
      <c r="BI27" s="117">
        <v>1178.6327739999999</v>
      </c>
      <c r="BJ27" s="117">
        <v>472.20597400000003</v>
      </c>
      <c r="BK27" s="117">
        <v>868.27423099999999</v>
      </c>
      <c r="BL27" s="117">
        <v>451.19806999999997</v>
      </c>
      <c r="BM27" s="117">
        <v>946.68637999999999</v>
      </c>
      <c r="BN27" s="117">
        <v>582.97814200000005</v>
      </c>
      <c r="BO27" s="117">
        <v>0.456181</v>
      </c>
      <c r="BP27" s="117">
        <v>1150.6953530000001</v>
      </c>
      <c r="BQ27" s="117">
        <v>476.80240500000002</v>
      </c>
      <c r="BR27" s="117">
        <v>879.12640399999998</v>
      </c>
      <c r="BS27" s="117">
        <v>455.782577</v>
      </c>
      <c r="BT27" s="117">
        <v>958.95050200000003</v>
      </c>
      <c r="BU27" s="117">
        <v>591.135266</v>
      </c>
      <c r="BV27" s="117">
        <v>0.46534199999999998</v>
      </c>
      <c r="BW27" s="117">
        <v>1080.127023</v>
      </c>
      <c r="BX27" s="117">
        <v>463.72965099999999</v>
      </c>
      <c r="BY27" s="117">
        <v>853.33676000000003</v>
      </c>
      <c r="BZ27" s="117">
        <v>445.54989599999999</v>
      </c>
      <c r="CA27" s="117">
        <v>933.25079100000005</v>
      </c>
      <c r="CB27" s="117">
        <v>575.59570099999996</v>
      </c>
      <c r="CC27" s="117">
        <v>0.46668199999999999</v>
      </c>
      <c r="CD27" s="117">
        <v>1214.866786</v>
      </c>
      <c r="CE27" s="117">
        <v>501.19070199999999</v>
      </c>
      <c r="CF27" s="117">
        <v>921.20043199999998</v>
      </c>
      <c r="CG27" s="117">
        <v>480.294039</v>
      </c>
      <c r="CH27" s="117">
        <v>1010.357345</v>
      </c>
      <c r="CI27" s="117">
        <v>625.69117400000005</v>
      </c>
      <c r="CJ27" s="117">
        <v>0.46802300000000002</v>
      </c>
      <c r="CK27" s="117">
        <v>1189.897144</v>
      </c>
      <c r="CL27" s="117">
        <v>479.50623899999999</v>
      </c>
      <c r="CM27" s="117">
        <v>874.415346</v>
      </c>
      <c r="CN27" s="117">
        <v>457.50064200000003</v>
      </c>
      <c r="CO27" s="117">
        <v>952.43800399999998</v>
      </c>
      <c r="CP27" s="117">
        <v>584.91698599999995</v>
      </c>
      <c r="CQ27" s="117">
        <v>0.469364</v>
      </c>
      <c r="CR27" s="117">
        <v>1161.6101389999999</v>
      </c>
      <c r="CS27" s="117">
        <v>482.39084700000001</v>
      </c>
      <c r="CT27" s="117">
        <v>887.28415199999995</v>
      </c>
      <c r="CU27" s="117">
        <v>461.08678900000001</v>
      </c>
      <c r="CV27" s="117">
        <v>967.06697499999996</v>
      </c>
      <c r="CW27" s="117">
        <v>595.17254400000002</v>
      </c>
      <c r="CX27" s="117">
        <v>0.46432299999999999</v>
      </c>
      <c r="CY27" s="117">
        <v>1114.32239</v>
      </c>
      <c r="CZ27" s="117">
        <v>461.90134999999998</v>
      </c>
      <c r="DA27" s="117">
        <v>851.04942800000003</v>
      </c>
      <c r="DB27" s="117">
        <v>441.98993899999999</v>
      </c>
      <c r="DC27" s="117">
        <v>927.84879100000001</v>
      </c>
      <c r="DD27" s="117">
        <v>569.18826799999999</v>
      </c>
      <c r="DE27" s="117">
        <v>0.46566400000000002</v>
      </c>
      <c r="DF27" s="117">
        <v>1103.4906980000001</v>
      </c>
      <c r="DG27" s="117">
        <v>470.80740900000001</v>
      </c>
      <c r="DH27" s="117">
        <v>867.76547000000005</v>
      </c>
      <c r="DI27" s="117">
        <v>452.09026</v>
      </c>
      <c r="DJ27" s="117">
        <v>951.05026699999996</v>
      </c>
      <c r="DK27" s="117">
        <v>586.18027099999995</v>
      </c>
      <c r="DL27" s="117">
        <v>0.467005</v>
      </c>
      <c r="DM27" s="117">
        <v>1177.659956</v>
      </c>
      <c r="DN27" s="117">
        <v>485.37856900000003</v>
      </c>
      <c r="DO27" s="117">
        <v>893.117525</v>
      </c>
      <c r="DP27" s="117">
        <v>465.50540100000001</v>
      </c>
      <c r="DQ27" s="117">
        <v>979.80550000000005</v>
      </c>
      <c r="DR27" s="117">
        <v>604.66172500000005</v>
      </c>
      <c r="DS27" s="117">
        <v>0.46834599999999998</v>
      </c>
      <c r="DT27" s="117">
        <v>1158.1066989999999</v>
      </c>
      <c r="DU27" s="117">
        <v>469.76513399999999</v>
      </c>
      <c r="DV27" s="117">
        <v>853.88786000000005</v>
      </c>
      <c r="DW27" s="117">
        <v>448.07324299999999</v>
      </c>
      <c r="DX27" s="117">
        <v>930.58658700000001</v>
      </c>
      <c r="DY27" s="117">
        <v>569.40334399999995</v>
      </c>
      <c r="DZ27" s="117">
        <v>0.44237100000000001</v>
      </c>
      <c r="EA27" s="117">
        <v>1097.185277</v>
      </c>
      <c r="EB27" s="117">
        <v>455.27008000000001</v>
      </c>
      <c r="EC27" s="117">
        <v>838.04584999999997</v>
      </c>
      <c r="ED27" s="117">
        <v>435.21715399999999</v>
      </c>
      <c r="EE27" s="117">
        <v>913.54509399999995</v>
      </c>
      <c r="EF27" s="117">
        <v>562.32446800000002</v>
      </c>
      <c r="EG27" s="117">
        <v>0.443712</v>
      </c>
      <c r="EH27" s="117">
        <v>1140.071486</v>
      </c>
      <c r="EI27" s="117">
        <v>469.243807</v>
      </c>
      <c r="EJ27" s="117">
        <v>871.35797400000001</v>
      </c>
      <c r="EK27" s="117">
        <v>449.11875400000002</v>
      </c>
      <c r="EL27" s="117">
        <v>951.42183699999998</v>
      </c>
      <c r="EM27" s="117">
        <v>587.76551900000004</v>
      </c>
      <c r="EN27" s="117">
        <v>0.44505299999999998</v>
      </c>
      <c r="EO27" s="117">
        <v>1086.721642</v>
      </c>
      <c r="EP27" s="117">
        <v>457.46967899999999</v>
      </c>
      <c r="EQ27" s="117">
        <v>854.12543400000004</v>
      </c>
      <c r="ER27" s="117">
        <v>440.46944000000002</v>
      </c>
      <c r="ES27" s="117">
        <v>936.24296200000003</v>
      </c>
      <c r="ET27" s="117">
        <v>580.07432300000005</v>
      </c>
      <c r="EU27" s="117">
        <v>0.44639299999999998</v>
      </c>
      <c r="EV27" s="117">
        <v>1153.886409</v>
      </c>
      <c r="EW27" s="117">
        <v>471.61152299999998</v>
      </c>
      <c r="EX27" s="117">
        <v>875.28962000000001</v>
      </c>
      <c r="EY27" s="117">
        <v>453.09535499999998</v>
      </c>
      <c r="EZ27" s="117">
        <v>960.18933800000002</v>
      </c>
      <c r="FA27" s="117">
        <v>595.05057899999997</v>
      </c>
      <c r="FB27" s="117">
        <v>0.44773299999999999</v>
      </c>
      <c r="FC27" s="117">
        <v>1109.2214530000001</v>
      </c>
      <c r="FD27" s="117">
        <v>449.99691200000001</v>
      </c>
      <c r="FE27" s="117">
        <v>817.84454500000004</v>
      </c>
      <c r="FF27" s="117">
        <v>429.24968200000001</v>
      </c>
      <c r="FG27" s="117">
        <v>889.98768600000005</v>
      </c>
      <c r="FH27" s="117">
        <v>545.38129500000002</v>
      </c>
      <c r="FI27" s="117">
        <v>0.41648200000000002</v>
      </c>
      <c r="FJ27" s="117">
        <v>1074.476543</v>
      </c>
      <c r="FK27" s="117">
        <v>442.33714800000001</v>
      </c>
      <c r="FL27" s="117">
        <v>821.17397000000005</v>
      </c>
      <c r="FM27" s="117">
        <v>423.26935500000002</v>
      </c>
      <c r="FN27" s="117">
        <v>897.18397200000004</v>
      </c>
      <c r="FO27" s="117">
        <v>554.10859900000003</v>
      </c>
      <c r="FP27" s="117">
        <v>0.417821</v>
      </c>
      <c r="FQ27" s="117">
        <v>1073.059262</v>
      </c>
      <c r="FR27" s="117">
        <v>444.48368900000003</v>
      </c>
      <c r="FS27" s="117">
        <v>819.84460999999999</v>
      </c>
      <c r="FT27" s="117">
        <v>424.69469199999997</v>
      </c>
      <c r="FU27" s="117">
        <v>895.48948900000005</v>
      </c>
      <c r="FV27" s="117">
        <v>552.32752400000004</v>
      </c>
      <c r="FW27" s="117">
        <v>0.41916300000000001</v>
      </c>
      <c r="FX27" s="117">
        <v>1080.8473919999999</v>
      </c>
      <c r="FY27" s="117">
        <v>445.58697000000001</v>
      </c>
      <c r="FZ27" s="117">
        <v>825.99734999999998</v>
      </c>
      <c r="GA27" s="117">
        <v>426.229895</v>
      </c>
      <c r="GB27" s="117">
        <v>902.43404399999997</v>
      </c>
      <c r="GC27" s="117">
        <v>557.196054</v>
      </c>
      <c r="GD27" s="117">
        <v>0.42050399999999999</v>
      </c>
      <c r="GE27" s="117">
        <v>1075.74191</v>
      </c>
      <c r="GF27" s="117">
        <v>459.724332</v>
      </c>
      <c r="GG27" s="117">
        <v>849.186781</v>
      </c>
      <c r="GH27" s="117">
        <v>440.76458000000002</v>
      </c>
      <c r="GI27" s="117">
        <v>932.48155599999996</v>
      </c>
      <c r="GJ27" s="117">
        <v>578.39126299999998</v>
      </c>
      <c r="GK27" s="117">
        <v>0.43672800000000001</v>
      </c>
      <c r="GL27" s="117">
        <v>1162.258558</v>
      </c>
      <c r="GM27" s="117">
        <v>465.326165</v>
      </c>
      <c r="GN27" s="117">
        <v>869.03311799999994</v>
      </c>
      <c r="GO27" s="117">
        <v>447.480052</v>
      </c>
      <c r="GP27" s="117">
        <v>954.45154500000001</v>
      </c>
      <c r="GQ27" s="117">
        <v>592.125091</v>
      </c>
      <c r="GR27" s="117">
        <v>0.43806899999999999</v>
      </c>
      <c r="GS27" s="117">
        <v>1126.281712</v>
      </c>
      <c r="GT27" s="117">
        <v>459.05079799999999</v>
      </c>
      <c r="GU27" s="117">
        <v>840.10414800000001</v>
      </c>
      <c r="GV27" s="117">
        <v>438.04822799999999</v>
      </c>
      <c r="GW27" s="117">
        <v>916.320967</v>
      </c>
      <c r="GX27" s="117">
        <v>563.86846300000002</v>
      </c>
      <c r="GY27" s="117">
        <v>0.43941000000000002</v>
      </c>
      <c r="GZ27" s="117">
        <v>1099.8535770000001</v>
      </c>
      <c r="HA27" s="117">
        <v>458.45101099999999</v>
      </c>
      <c r="HB27" s="117">
        <v>839.97079399999996</v>
      </c>
      <c r="HC27" s="117">
        <v>437.63746099999997</v>
      </c>
      <c r="HD27" s="117">
        <v>916.07302700000002</v>
      </c>
      <c r="HE27" s="117">
        <v>563.70212100000003</v>
      </c>
      <c r="HF27" s="117">
        <v>0.440749</v>
      </c>
    </row>
    <row r="28" spans="6:214" x14ac:dyDescent="0.25">
      <c r="F28" s="116" t="str">
        <f xml:space="preserve"> _xll.EPMOlapMemberO("[PRDDESCR].[].[HELGAS GFREE WHOLEM 500G]","","HELGAS GFREE WHOLEM 500G","","000")</f>
        <v>HELGAS GFREE WHOLEM 500G</v>
      </c>
      <c r="G28" s="116" t="str">
        <f xml:space="preserve"> _xll.EPMOlapMemberO("[PRDID].[].[168848]","","168848","","000")</f>
        <v>168848</v>
      </c>
      <c r="H28" s="116" t="str">
        <f xml:space="preserve"> _xll.EPMOlapMemberO("[LOCID].[].[6120]","","6120","","000")</f>
        <v>6120</v>
      </c>
      <c r="I28" s="116" t="str">
        <f xml:space="preserve"> _xll.EPMOlapMemberO("[LOCDESCR].[].[QBA-Hobart]","","QBA-Hobart","","000")</f>
        <v>QBA-Hobart</v>
      </c>
      <c r="J28" s="116" t="str">
        <f xml:space="preserve"> _xll.EPMOlapMemberO("[KEY_FIGURES].[].[ZGFAPPROVEDFCSTQTY]","","Approved Forecast","","000")</f>
        <v>Approved Forecast</v>
      </c>
      <c r="K28" s="117">
        <v>204.90781699999999</v>
      </c>
      <c r="L28" s="117">
        <v>0.62389099999999997</v>
      </c>
      <c r="M28" s="117">
        <v>183.46253899999999</v>
      </c>
      <c r="N28" s="117">
        <v>0.20372799999999999</v>
      </c>
      <c r="O28" s="117">
        <v>211.330557</v>
      </c>
      <c r="P28" s="117">
        <v>8.3802310000000002</v>
      </c>
      <c r="Q28" s="117">
        <v>0</v>
      </c>
      <c r="R28" s="117">
        <v>202.857201</v>
      </c>
      <c r="S28" s="117">
        <v>0.46476699999999999</v>
      </c>
      <c r="T28" s="117">
        <v>186.28847300000001</v>
      </c>
      <c r="U28" s="117">
        <v>0.23103599999999999</v>
      </c>
      <c r="V28" s="117">
        <v>209.48199099999999</v>
      </c>
      <c r="W28" s="117">
        <v>8.4087440000000004</v>
      </c>
      <c r="X28" s="117">
        <v>0</v>
      </c>
      <c r="Y28" s="117">
        <v>202.86182400000001</v>
      </c>
      <c r="Z28" s="117">
        <v>0.47159899999999999</v>
      </c>
      <c r="AA28" s="117">
        <v>183.96515600000001</v>
      </c>
      <c r="AB28" s="117">
        <v>0.23328599999999999</v>
      </c>
      <c r="AC28" s="117">
        <v>208.09875400000001</v>
      </c>
      <c r="AD28" s="117">
        <v>19.293786000000001</v>
      </c>
      <c r="AE28" s="117">
        <v>0</v>
      </c>
      <c r="AF28" s="117">
        <v>205.73746700000001</v>
      </c>
      <c r="AG28" s="117">
        <v>0.32883200000000001</v>
      </c>
      <c r="AH28" s="117">
        <v>174.048</v>
      </c>
      <c r="AI28" s="117">
        <v>0.237508</v>
      </c>
      <c r="AJ28" s="117">
        <v>199.692623</v>
      </c>
      <c r="AK28" s="117">
        <v>18.501491000000001</v>
      </c>
      <c r="AL28" s="117">
        <v>0</v>
      </c>
      <c r="AM28" s="117">
        <v>172.821878</v>
      </c>
      <c r="AN28" s="117">
        <v>0.318268</v>
      </c>
      <c r="AO28" s="117">
        <v>152.11369199999999</v>
      </c>
      <c r="AP28" s="117">
        <v>0.229879</v>
      </c>
      <c r="AQ28" s="117">
        <v>171.899405</v>
      </c>
      <c r="AR28" s="117">
        <v>16.209256</v>
      </c>
      <c r="AS28" s="117">
        <v>0</v>
      </c>
      <c r="AT28" s="117">
        <v>177.004988</v>
      </c>
      <c r="AU28" s="117">
        <v>0.32017800000000002</v>
      </c>
      <c r="AV28" s="117">
        <v>158.73552900000001</v>
      </c>
      <c r="AW28" s="117">
        <v>0.23125899999999999</v>
      </c>
      <c r="AX28" s="117">
        <v>182.11550199999999</v>
      </c>
      <c r="AY28" s="117">
        <v>17.12171</v>
      </c>
      <c r="AZ28" s="117">
        <v>0</v>
      </c>
      <c r="BA28" s="117">
        <v>183.97604799999999</v>
      </c>
      <c r="BB28" s="117">
        <v>0.32209199999999999</v>
      </c>
      <c r="BC28" s="117">
        <v>163.78789399999999</v>
      </c>
      <c r="BD28" s="117">
        <v>0.23264099999999999</v>
      </c>
      <c r="BE28" s="117">
        <v>182.89094</v>
      </c>
      <c r="BF28" s="117">
        <v>17.269442999999999</v>
      </c>
      <c r="BG28" s="117">
        <v>0</v>
      </c>
      <c r="BH28" s="117">
        <v>188.728058</v>
      </c>
      <c r="BI28" s="117">
        <v>0.32400600000000002</v>
      </c>
      <c r="BJ28" s="117">
        <v>150.188275</v>
      </c>
      <c r="BK28" s="117">
        <v>0.23402300000000001</v>
      </c>
      <c r="BL28" s="117">
        <v>174.08006399999999</v>
      </c>
      <c r="BM28" s="117">
        <v>16.340892</v>
      </c>
      <c r="BN28" s="117">
        <v>0</v>
      </c>
      <c r="BO28" s="117">
        <v>176.52060599999999</v>
      </c>
      <c r="BP28" s="117">
        <v>0.32591900000000001</v>
      </c>
      <c r="BQ28" s="117">
        <v>155.23754299999999</v>
      </c>
      <c r="BR28" s="117">
        <v>0.235405</v>
      </c>
      <c r="BS28" s="117">
        <v>175.498166</v>
      </c>
      <c r="BT28" s="117">
        <v>16.553784</v>
      </c>
      <c r="BU28" s="117">
        <v>0</v>
      </c>
      <c r="BV28" s="117">
        <v>198.54893300000001</v>
      </c>
      <c r="BW28" s="117">
        <v>0.35493799999999998</v>
      </c>
      <c r="BX28" s="117">
        <v>178.92537799999999</v>
      </c>
      <c r="BY28" s="117">
        <v>0.25636300000000001</v>
      </c>
      <c r="BZ28" s="117">
        <v>204.99594200000001</v>
      </c>
      <c r="CA28" s="117">
        <v>19.245153999999999</v>
      </c>
      <c r="CB28" s="117">
        <v>0</v>
      </c>
      <c r="CC28" s="117">
        <v>206.55634900000001</v>
      </c>
      <c r="CD28" s="117">
        <v>0.35685</v>
      </c>
      <c r="CE28" s="117">
        <v>184.617796</v>
      </c>
      <c r="CF28" s="117">
        <v>0.257743</v>
      </c>
      <c r="CG28" s="117">
        <v>205.74628999999999</v>
      </c>
      <c r="CH28" s="117">
        <v>19.401654000000001</v>
      </c>
      <c r="CI28" s="117">
        <v>0</v>
      </c>
      <c r="CJ28" s="117">
        <v>211.87730400000001</v>
      </c>
      <c r="CK28" s="117">
        <v>0.35876000000000002</v>
      </c>
      <c r="CL28" s="117">
        <v>168.722182</v>
      </c>
      <c r="CM28" s="117">
        <v>0.25912499999999999</v>
      </c>
      <c r="CN28" s="117">
        <v>195.333338</v>
      </c>
      <c r="CO28" s="117">
        <v>18.308641999999999</v>
      </c>
      <c r="CP28" s="117">
        <v>0</v>
      </c>
      <c r="CQ28" s="117">
        <v>197.57825800000001</v>
      </c>
      <c r="CR28" s="117">
        <v>0.36067399999999999</v>
      </c>
      <c r="CS28" s="117">
        <v>174.403538</v>
      </c>
      <c r="CT28" s="117">
        <v>0.26050800000000002</v>
      </c>
      <c r="CU28" s="117">
        <v>196.82823099999999</v>
      </c>
      <c r="CV28" s="117">
        <v>18.540296000000001</v>
      </c>
      <c r="CW28" s="117">
        <v>0</v>
      </c>
      <c r="CX28" s="117">
        <v>235.73020199999999</v>
      </c>
      <c r="CY28" s="117">
        <v>0.36918899999999999</v>
      </c>
      <c r="CZ28" s="117">
        <v>203.953566</v>
      </c>
      <c r="DA28" s="117">
        <v>0.266656</v>
      </c>
      <c r="DB28" s="117">
        <v>233.29750100000001</v>
      </c>
      <c r="DC28" s="117">
        <v>21.529775999999998</v>
      </c>
      <c r="DD28" s="117">
        <v>0</v>
      </c>
      <c r="DE28" s="117">
        <v>231.09794500000001</v>
      </c>
      <c r="DF28" s="117">
        <v>0.37109900000000001</v>
      </c>
      <c r="DG28" s="117">
        <v>228.45485300000001</v>
      </c>
      <c r="DH28" s="117">
        <v>0.268036</v>
      </c>
      <c r="DI28" s="117">
        <v>250.013124</v>
      </c>
      <c r="DJ28" s="117">
        <v>23.280918</v>
      </c>
      <c r="DK28" s="117">
        <v>0</v>
      </c>
      <c r="DL28" s="117">
        <v>253.68161499999999</v>
      </c>
      <c r="DM28" s="117">
        <v>0.37301299999999998</v>
      </c>
      <c r="DN28" s="117">
        <v>221.54405199999999</v>
      </c>
      <c r="DO28" s="117">
        <v>0.26942100000000002</v>
      </c>
      <c r="DP28" s="117">
        <v>250.67164199999999</v>
      </c>
      <c r="DQ28" s="117">
        <v>23.224609999999998</v>
      </c>
      <c r="DR28" s="117">
        <v>0</v>
      </c>
      <c r="DS28" s="117">
        <v>247.75439499999999</v>
      </c>
      <c r="DT28" s="117">
        <v>0.37492599999999998</v>
      </c>
      <c r="DU28" s="117">
        <v>213.51958400000001</v>
      </c>
      <c r="DV28" s="117">
        <v>0.27079999999999999</v>
      </c>
      <c r="DW28" s="117">
        <v>236.87388000000001</v>
      </c>
      <c r="DX28" s="117">
        <v>22.002680999999999</v>
      </c>
      <c r="DY28" s="117">
        <v>0</v>
      </c>
      <c r="DZ28" s="117">
        <v>243.911744</v>
      </c>
      <c r="EA28" s="117">
        <v>0.38075199999999998</v>
      </c>
      <c r="EB28" s="117">
        <v>211.16213999999999</v>
      </c>
      <c r="EC28" s="117">
        <v>0.27500999999999998</v>
      </c>
      <c r="ED28" s="117">
        <v>241.47848999999999</v>
      </c>
      <c r="EE28" s="117">
        <v>22.276949999999999</v>
      </c>
      <c r="EF28" s="117">
        <v>0</v>
      </c>
      <c r="EG28" s="117">
        <v>239.06013400000001</v>
      </c>
      <c r="EH28" s="117">
        <v>0.38266600000000001</v>
      </c>
      <c r="EI28" s="117">
        <v>219.45138900000001</v>
      </c>
      <c r="EJ28" s="117">
        <v>0.27639200000000003</v>
      </c>
      <c r="EK28" s="117">
        <v>243.2901</v>
      </c>
      <c r="EL28" s="117">
        <v>22.586037999999999</v>
      </c>
      <c r="EM28" s="117">
        <v>0</v>
      </c>
      <c r="EN28" s="117">
        <v>245.78642500000001</v>
      </c>
      <c r="EO28" s="117">
        <v>0.38458300000000001</v>
      </c>
      <c r="EP28" s="117">
        <v>228.986841</v>
      </c>
      <c r="EQ28" s="117">
        <v>0.277777</v>
      </c>
      <c r="ER28" s="117">
        <v>259.04732300000001</v>
      </c>
      <c r="ES28" s="117">
        <v>23.996089000000001</v>
      </c>
      <c r="ET28" s="117">
        <v>0</v>
      </c>
      <c r="EU28" s="117">
        <v>255.93206699999999</v>
      </c>
      <c r="EV28" s="117">
        <v>0.38649299999999998</v>
      </c>
      <c r="EW28" s="117">
        <v>237.235184</v>
      </c>
      <c r="EX28" s="117">
        <v>0.27915600000000002</v>
      </c>
      <c r="EY28" s="117">
        <v>259.69572799999997</v>
      </c>
      <c r="EZ28" s="117">
        <v>24.187351</v>
      </c>
      <c r="FA28" s="117">
        <v>0</v>
      </c>
      <c r="FB28" s="117">
        <v>263.52454299999999</v>
      </c>
      <c r="FC28" s="117">
        <v>0.38840799999999998</v>
      </c>
      <c r="FD28" s="117">
        <v>214.220315</v>
      </c>
      <c r="FE28" s="117">
        <v>0.28053600000000001</v>
      </c>
      <c r="FF28" s="117">
        <v>245.069253</v>
      </c>
      <c r="FG28" s="117">
        <v>22.619510999999999</v>
      </c>
      <c r="FH28" s="117">
        <v>0</v>
      </c>
      <c r="FI28" s="117">
        <v>239.55415300000001</v>
      </c>
      <c r="FJ28" s="117">
        <v>0.38270999999999999</v>
      </c>
      <c r="FK28" s="117">
        <v>220.02242200000001</v>
      </c>
      <c r="FL28" s="117">
        <v>0.27642499999999998</v>
      </c>
      <c r="FM28" s="117">
        <v>243.864329</v>
      </c>
      <c r="FN28" s="117">
        <v>22.634761999999998</v>
      </c>
      <c r="FO28" s="117">
        <v>0</v>
      </c>
      <c r="FP28" s="117">
        <v>246.309166</v>
      </c>
      <c r="FQ28" s="117">
        <v>0.38462299999999999</v>
      </c>
      <c r="FR28" s="117">
        <v>213.224771</v>
      </c>
      <c r="FS28" s="117">
        <v>0.27780700000000003</v>
      </c>
      <c r="FT28" s="117">
        <v>243.84354500000001</v>
      </c>
      <c r="FU28" s="117">
        <v>22.495911</v>
      </c>
      <c r="FV28" s="117">
        <v>0</v>
      </c>
      <c r="FW28" s="117">
        <v>241.403447</v>
      </c>
      <c r="FX28" s="117">
        <v>0.38653599999999999</v>
      </c>
      <c r="FY28" s="117">
        <v>221.584283</v>
      </c>
      <c r="FZ28" s="117">
        <v>0.27918599999999999</v>
      </c>
      <c r="GA28" s="117">
        <v>245.66377700000001</v>
      </c>
      <c r="GB28" s="117">
        <v>22.807093999999999</v>
      </c>
      <c r="GC28" s="117">
        <v>0</v>
      </c>
      <c r="GD28" s="117">
        <v>248.18382600000001</v>
      </c>
      <c r="GE28" s="117">
        <v>0.38844699999999999</v>
      </c>
      <c r="GF28" s="117">
        <v>233.226721</v>
      </c>
      <c r="GG28" s="117">
        <v>0.28056599999999998</v>
      </c>
      <c r="GH28" s="117">
        <v>263.689592</v>
      </c>
      <c r="GI28" s="117">
        <v>24.410851000000001</v>
      </c>
      <c r="GJ28" s="117">
        <v>0</v>
      </c>
      <c r="GK28" s="117">
        <v>238.89055500000001</v>
      </c>
      <c r="GL28" s="117">
        <v>0.35293999999999998</v>
      </c>
      <c r="GM28" s="117">
        <v>217.68088900000001</v>
      </c>
      <c r="GN28" s="117">
        <v>0.25491999999999998</v>
      </c>
      <c r="GO28" s="117">
        <v>238.17939699999999</v>
      </c>
      <c r="GP28" s="117">
        <v>22.176110000000001</v>
      </c>
      <c r="GQ28" s="117">
        <v>0</v>
      </c>
      <c r="GR28" s="117">
        <v>241.67805799999999</v>
      </c>
      <c r="GS28" s="117">
        <v>0.35485299999999997</v>
      </c>
      <c r="GT28" s="117">
        <v>198.94913299999999</v>
      </c>
      <c r="GU28" s="117">
        <v>0.25630199999999997</v>
      </c>
      <c r="GV28" s="117">
        <v>227.34186800000001</v>
      </c>
      <c r="GW28" s="117">
        <v>20.952210999999998</v>
      </c>
      <c r="GX28" s="117">
        <v>0</v>
      </c>
      <c r="GY28" s="117">
        <v>224.83259000000001</v>
      </c>
      <c r="GZ28" s="117">
        <v>0.35676400000000003</v>
      </c>
      <c r="HA28" s="117">
        <v>206.88241300000001</v>
      </c>
      <c r="HB28" s="117">
        <v>0.25768200000000002</v>
      </c>
      <c r="HC28" s="117">
        <v>229.110252</v>
      </c>
      <c r="HD28" s="117">
        <v>21.250727000000001</v>
      </c>
      <c r="HE28" s="117">
        <v>0</v>
      </c>
      <c r="HF28" s="117">
        <v>231.28497300000001</v>
      </c>
    </row>
    <row r="29" spans="6:214" x14ac:dyDescent="0.25">
      <c r="F29" s="116" t="str">
        <f xml:space="preserve"> _xll.EPMOlapMemberO("[PRDDESCR].[].[HELGAS GFREE WHOLEM 500G]","","HELGAS GFREE WHOLEM 500G","","000")</f>
        <v>HELGAS GFREE WHOLEM 500G</v>
      </c>
      <c r="G29" s="116" t="str">
        <f xml:space="preserve"> _xll.EPMOlapMemberO("[PRDID].[].[168848]","","168848","","000")</f>
        <v>168848</v>
      </c>
      <c r="H29" s="116" t="str">
        <f xml:space="preserve"> _xll.EPMOlapMemberO("[LOCID].[].[6123]","","6123","","000")</f>
        <v>6123</v>
      </c>
      <c r="I29" s="116" t="str">
        <f xml:space="preserve"> _xll.EPMOlapMemberO("[LOCDESCR].[].[QBA-Clayton - Fairbank]","","QBA-Clayton - Fairbank","","000")</f>
        <v>QBA-Clayton - Fairbank</v>
      </c>
      <c r="J29" s="116" t="str">
        <f xml:space="preserve"> _xll.EPMOlapMemberO("[KEY_FIGURES].[].[ZGFAPPROVEDFCSTQTY]","","Approved Forecast","","000")</f>
        <v>Approved Forecast</v>
      </c>
      <c r="K29" s="117">
        <v>0</v>
      </c>
      <c r="L29" s="117">
        <v>7.0331000000000005E-2</v>
      </c>
      <c r="M29" s="117">
        <v>960.31006600000001</v>
      </c>
      <c r="N29" s="117">
        <v>292.55877500000003</v>
      </c>
      <c r="O29" s="117">
        <v>582.03432699999996</v>
      </c>
      <c r="P29" s="117">
        <v>416.31696799999997</v>
      </c>
      <c r="Q29" s="117">
        <v>994.68559700000003</v>
      </c>
      <c r="R29" s="117">
        <v>0</v>
      </c>
      <c r="S29" s="117">
        <v>0</v>
      </c>
      <c r="T29" s="117">
        <v>944.36186399999997</v>
      </c>
      <c r="U29" s="117">
        <v>285.26405699999998</v>
      </c>
      <c r="V29" s="117">
        <v>567.83908299999996</v>
      </c>
      <c r="W29" s="117">
        <v>409.456299</v>
      </c>
      <c r="X29" s="117">
        <v>974.49304099999995</v>
      </c>
      <c r="Y29" s="117">
        <v>0.28694399999999998</v>
      </c>
      <c r="Z29" s="117">
        <v>0</v>
      </c>
      <c r="AA29" s="117">
        <v>959.67651799999999</v>
      </c>
      <c r="AB29" s="117">
        <v>287.33216199999998</v>
      </c>
      <c r="AC29" s="117">
        <v>577.80619899999999</v>
      </c>
      <c r="AD29" s="117">
        <v>413.12079199999999</v>
      </c>
      <c r="AE29" s="117">
        <v>1001.347469</v>
      </c>
      <c r="AF29" s="117">
        <v>0.25498300000000002</v>
      </c>
      <c r="AG29" s="117">
        <v>0</v>
      </c>
      <c r="AH29" s="117">
        <v>899.93843500000003</v>
      </c>
      <c r="AI29" s="117">
        <v>288.01182499999999</v>
      </c>
      <c r="AJ29" s="117">
        <v>541.69396900000004</v>
      </c>
      <c r="AK29" s="117">
        <v>384.32127300000002</v>
      </c>
      <c r="AL29" s="117">
        <v>899.51790100000005</v>
      </c>
      <c r="AM29" s="117">
        <v>0.267015</v>
      </c>
      <c r="AN29" s="117">
        <v>0</v>
      </c>
      <c r="AO29" s="117">
        <v>900.70198600000003</v>
      </c>
      <c r="AP29" s="117">
        <v>290.28886999999997</v>
      </c>
      <c r="AQ29" s="117">
        <v>545.39995199999998</v>
      </c>
      <c r="AR29" s="117">
        <v>384.532488</v>
      </c>
      <c r="AS29" s="117">
        <v>907.41286600000001</v>
      </c>
      <c r="AT29" s="117">
        <v>0.27748099999999998</v>
      </c>
      <c r="AU29" s="117">
        <v>0</v>
      </c>
      <c r="AV29" s="117">
        <v>952.09107600000004</v>
      </c>
      <c r="AW29" s="117">
        <v>299.49959699999999</v>
      </c>
      <c r="AX29" s="117">
        <v>578.12051299999996</v>
      </c>
      <c r="AY29" s="117">
        <v>408.189457</v>
      </c>
      <c r="AZ29" s="117">
        <v>983.65686400000004</v>
      </c>
      <c r="BA29" s="117">
        <v>0.28392600000000001</v>
      </c>
      <c r="BB29" s="117">
        <v>0</v>
      </c>
      <c r="BC29" s="117">
        <v>966.08043199999997</v>
      </c>
      <c r="BD29" s="117">
        <v>305.91079100000002</v>
      </c>
      <c r="BE29" s="117">
        <v>588.126486</v>
      </c>
      <c r="BF29" s="117">
        <v>415.28713099999999</v>
      </c>
      <c r="BG29" s="117">
        <v>996.25161900000001</v>
      </c>
      <c r="BH29" s="117">
        <v>0.279895</v>
      </c>
      <c r="BI29" s="117">
        <v>0</v>
      </c>
      <c r="BJ29" s="117">
        <v>927.14878999999996</v>
      </c>
      <c r="BK29" s="117">
        <v>300.94678199999998</v>
      </c>
      <c r="BL29" s="117">
        <v>569.55883100000005</v>
      </c>
      <c r="BM29" s="117">
        <v>396.81755199999998</v>
      </c>
      <c r="BN29" s="117">
        <v>934.31889799999999</v>
      </c>
      <c r="BO29" s="117">
        <v>0.27583299999999999</v>
      </c>
      <c r="BP29" s="117">
        <v>0</v>
      </c>
      <c r="BQ29" s="117">
        <v>924.365861</v>
      </c>
      <c r="BR29" s="117">
        <v>301.98001799999997</v>
      </c>
      <c r="BS29" s="117">
        <v>562.68676100000005</v>
      </c>
      <c r="BT29" s="117">
        <v>397.397493</v>
      </c>
      <c r="BU29" s="117">
        <v>928.69964400000003</v>
      </c>
      <c r="BV29" s="117">
        <v>0.24659200000000001</v>
      </c>
      <c r="BW29" s="117">
        <v>0</v>
      </c>
      <c r="BX29" s="117">
        <v>950.16164000000003</v>
      </c>
      <c r="BY29" s="117">
        <v>298.94050399999998</v>
      </c>
      <c r="BZ29" s="117">
        <v>578.35376399999996</v>
      </c>
      <c r="CA29" s="117">
        <v>409.75904000000003</v>
      </c>
      <c r="CB29" s="117">
        <v>973.30455900000004</v>
      </c>
      <c r="CC29" s="117">
        <v>0.29721399999999998</v>
      </c>
      <c r="CD29" s="117">
        <v>0</v>
      </c>
      <c r="CE29" s="117">
        <v>1017.991237</v>
      </c>
      <c r="CF29" s="117">
        <v>320.208438</v>
      </c>
      <c r="CG29" s="117">
        <v>620.52007500000002</v>
      </c>
      <c r="CH29" s="117">
        <v>435.56365199999999</v>
      </c>
      <c r="CI29" s="117">
        <v>1063.468443</v>
      </c>
      <c r="CJ29" s="117">
        <v>0.26112800000000003</v>
      </c>
      <c r="CK29" s="117">
        <v>0</v>
      </c>
      <c r="CL29" s="117">
        <v>930.31854099999998</v>
      </c>
      <c r="CM29" s="117">
        <v>300.99978900000002</v>
      </c>
      <c r="CN29" s="117">
        <v>565.18328799999995</v>
      </c>
      <c r="CO29" s="117">
        <v>398.32742500000001</v>
      </c>
      <c r="CP29" s="117">
        <v>937.59428600000001</v>
      </c>
      <c r="CQ29" s="117">
        <v>0.28142200000000001</v>
      </c>
      <c r="CR29" s="117">
        <v>0</v>
      </c>
      <c r="CS29" s="117">
        <v>953.96528799999999</v>
      </c>
      <c r="CT29" s="117">
        <v>305.94245000000001</v>
      </c>
      <c r="CU29" s="117">
        <v>578.05229499999996</v>
      </c>
      <c r="CV29" s="117">
        <v>405.27413999999999</v>
      </c>
      <c r="CW29" s="117">
        <v>973.58038899999997</v>
      </c>
      <c r="CX29" s="117">
        <v>0.268515</v>
      </c>
      <c r="CY29" s="117">
        <v>0</v>
      </c>
      <c r="CZ29" s="117">
        <v>911.642426</v>
      </c>
      <c r="DA29" s="117">
        <v>294.08674500000001</v>
      </c>
      <c r="DB29" s="117">
        <v>549.92652599999997</v>
      </c>
      <c r="DC29" s="117">
        <v>390.62607000000003</v>
      </c>
      <c r="DD29" s="117">
        <v>909.03369199999997</v>
      </c>
      <c r="DE29" s="117">
        <v>0.25154700000000002</v>
      </c>
      <c r="DF29" s="117">
        <v>0</v>
      </c>
      <c r="DG29" s="117">
        <v>925.22410000000002</v>
      </c>
      <c r="DH29" s="117">
        <v>286.82958600000001</v>
      </c>
      <c r="DI29" s="117">
        <v>555.08816100000001</v>
      </c>
      <c r="DJ29" s="117">
        <v>395.96596599999998</v>
      </c>
      <c r="DK29" s="117">
        <v>933.07206699999995</v>
      </c>
      <c r="DL29" s="117">
        <v>0.26628499999999999</v>
      </c>
      <c r="DM29" s="117">
        <v>0</v>
      </c>
      <c r="DN29" s="117">
        <v>937.40336000000002</v>
      </c>
      <c r="DO29" s="117">
        <v>289.87329799999998</v>
      </c>
      <c r="DP29" s="117">
        <v>562.52164300000004</v>
      </c>
      <c r="DQ29" s="117">
        <v>399.60773899999998</v>
      </c>
      <c r="DR29" s="117">
        <v>958.533277</v>
      </c>
      <c r="DS29" s="117">
        <v>0.290885</v>
      </c>
      <c r="DT29" s="117">
        <v>0</v>
      </c>
      <c r="DU29" s="117">
        <v>942.90829099999996</v>
      </c>
      <c r="DV29" s="117">
        <v>302.64065299999999</v>
      </c>
      <c r="DW29" s="117">
        <v>568.33026299999995</v>
      </c>
      <c r="DX29" s="117">
        <v>401.64012000000002</v>
      </c>
      <c r="DY29" s="117">
        <v>951.15525100000002</v>
      </c>
      <c r="DZ29" s="117">
        <v>0.29424099999999997</v>
      </c>
      <c r="EA29" s="117">
        <v>0</v>
      </c>
      <c r="EB29" s="117">
        <v>947.84252000000004</v>
      </c>
      <c r="EC29" s="117">
        <v>302.67966799999999</v>
      </c>
      <c r="ED29" s="117">
        <v>570.69409199999996</v>
      </c>
      <c r="EE29" s="117">
        <v>402.35346600000003</v>
      </c>
      <c r="EF29" s="117">
        <v>962.61753699999997</v>
      </c>
      <c r="EG29" s="117">
        <v>0.26999899999999999</v>
      </c>
      <c r="EH29" s="117">
        <v>0</v>
      </c>
      <c r="EI29" s="117">
        <v>914.83336799999995</v>
      </c>
      <c r="EJ29" s="117">
        <v>293.97204099999999</v>
      </c>
      <c r="EK29" s="117">
        <v>548.80616399999997</v>
      </c>
      <c r="EL29" s="117">
        <v>388.526634</v>
      </c>
      <c r="EM29" s="117">
        <v>919.77381500000001</v>
      </c>
      <c r="EN29" s="117">
        <v>0.26813599999999999</v>
      </c>
      <c r="EO29" s="117">
        <v>0</v>
      </c>
      <c r="EP29" s="117">
        <v>948.70514400000002</v>
      </c>
      <c r="EQ29" s="117">
        <v>294.943487</v>
      </c>
      <c r="ER29" s="117">
        <v>571.37100699999996</v>
      </c>
      <c r="ES29" s="117">
        <v>405.85988500000002</v>
      </c>
      <c r="ET29" s="117">
        <v>971.40399500000001</v>
      </c>
      <c r="EU29" s="117">
        <v>0.28270400000000001</v>
      </c>
      <c r="EV29" s="117">
        <v>0</v>
      </c>
      <c r="EW29" s="117">
        <v>974.31436399999996</v>
      </c>
      <c r="EX29" s="117">
        <v>303.97060499999998</v>
      </c>
      <c r="EY29" s="117">
        <v>587.55937200000005</v>
      </c>
      <c r="EZ29" s="117">
        <v>416.56129299999998</v>
      </c>
      <c r="FA29" s="117">
        <v>998.31687199999999</v>
      </c>
      <c r="FB29" s="117">
        <v>0.28223599999999999</v>
      </c>
      <c r="FC29" s="117">
        <v>0</v>
      </c>
      <c r="FD29" s="117">
        <v>939.98214299999995</v>
      </c>
      <c r="FE29" s="117">
        <v>301.197273</v>
      </c>
      <c r="FF29" s="117">
        <v>566.18561899999997</v>
      </c>
      <c r="FG29" s="117">
        <v>400.48940599999997</v>
      </c>
      <c r="FH29" s="117">
        <v>945.56554200000005</v>
      </c>
      <c r="FI29" s="117">
        <v>0.27459299999999998</v>
      </c>
      <c r="FJ29" s="117">
        <v>0</v>
      </c>
      <c r="FK29" s="117">
        <v>910.46698700000002</v>
      </c>
      <c r="FL29" s="117">
        <v>292.81447500000002</v>
      </c>
      <c r="FM29" s="117">
        <v>549.50767499999995</v>
      </c>
      <c r="FN29" s="117">
        <v>388.72130700000002</v>
      </c>
      <c r="FO29" s="117">
        <v>917.46342300000003</v>
      </c>
      <c r="FP29" s="117">
        <v>0.27758300000000002</v>
      </c>
      <c r="FQ29" s="117">
        <v>0</v>
      </c>
      <c r="FR29" s="117">
        <v>914.26757299999997</v>
      </c>
      <c r="FS29" s="117">
        <v>291.87849899999998</v>
      </c>
      <c r="FT29" s="117">
        <v>549.98943599999996</v>
      </c>
      <c r="FU29" s="117">
        <v>388.47643299999999</v>
      </c>
      <c r="FV29" s="117">
        <v>923.93707300000005</v>
      </c>
      <c r="FW29" s="117">
        <v>0.28720800000000002</v>
      </c>
      <c r="FX29" s="117">
        <v>0</v>
      </c>
      <c r="FY29" s="117">
        <v>934.79898000000003</v>
      </c>
      <c r="FZ29" s="117">
        <v>299.59335499999997</v>
      </c>
      <c r="GA29" s="117">
        <v>563.20832900000005</v>
      </c>
      <c r="GB29" s="117">
        <v>397.52549099999999</v>
      </c>
      <c r="GC29" s="117">
        <v>941.96768899999995</v>
      </c>
      <c r="GD29" s="117">
        <v>0.274393</v>
      </c>
      <c r="GE29" s="117">
        <v>0</v>
      </c>
      <c r="GF29" s="117">
        <v>955.59323199999994</v>
      </c>
      <c r="GG29" s="117">
        <v>296.87623600000001</v>
      </c>
      <c r="GH29" s="117">
        <v>575.50311199999999</v>
      </c>
      <c r="GI29" s="117">
        <v>407.71837499999998</v>
      </c>
      <c r="GJ29" s="117">
        <v>979.03841399999999</v>
      </c>
      <c r="GK29" s="117">
        <v>0.29532000000000003</v>
      </c>
      <c r="GL29" s="117">
        <v>0</v>
      </c>
      <c r="GM29" s="117">
        <v>1021.247383</v>
      </c>
      <c r="GN29" s="117">
        <v>318.41640100000001</v>
      </c>
      <c r="GO29" s="117">
        <v>615.67877299999998</v>
      </c>
      <c r="GP29" s="117">
        <v>436.509165</v>
      </c>
      <c r="GQ29" s="117">
        <v>1047.0520289999999</v>
      </c>
      <c r="GR29" s="117">
        <v>0.31440800000000002</v>
      </c>
      <c r="GS29" s="117">
        <v>0</v>
      </c>
      <c r="GT29" s="117">
        <v>1022.895085</v>
      </c>
      <c r="GU29" s="117">
        <v>326.03543500000001</v>
      </c>
      <c r="GV29" s="117">
        <v>615.50236700000005</v>
      </c>
      <c r="GW29" s="117">
        <v>433.44006300000001</v>
      </c>
      <c r="GX29" s="117">
        <v>1036.5685060000001</v>
      </c>
      <c r="GY29" s="117">
        <v>0.271733</v>
      </c>
      <c r="GZ29" s="117">
        <v>0</v>
      </c>
      <c r="HA29" s="117">
        <v>963.29335300000002</v>
      </c>
      <c r="HB29" s="117">
        <v>307.78487000000001</v>
      </c>
      <c r="HC29" s="117">
        <v>579.20175900000004</v>
      </c>
      <c r="HD29" s="117">
        <v>411.11376999999999</v>
      </c>
      <c r="HE29" s="117">
        <v>961.34208000000001</v>
      </c>
      <c r="HF29" s="117">
        <v>0.24238399999999999</v>
      </c>
    </row>
    <row r="30" spans="6:214" x14ac:dyDescent="0.25">
      <c r="F30" s="116" t="str">
        <f xml:space="preserve"> _xll.EPMOlapMemberO("[PRDDESCR].[].[HELGAS GFREE WHOLEM 500G]","","HELGAS GFREE WHOLEM 500G","","000")</f>
        <v>HELGAS GFREE WHOLEM 500G</v>
      </c>
      <c r="G30" s="116" t="str">
        <f xml:space="preserve"> _xll.EPMOlapMemberO("[PRDID].[].[168848]","","168848","","000")</f>
        <v>168848</v>
      </c>
      <c r="H30" s="116" t="str">
        <f xml:space="preserve"> _xll.EPMOlapMemberO("[LOCID].[].[6125]","","6125","","000")</f>
        <v>6125</v>
      </c>
      <c r="I30" s="116" t="str">
        <f xml:space="preserve"> _xll.EPMOlapMemberO("[LOCDESCR].[].[QBA -Keilor Park]","","QBA -Keilor Park","","000")</f>
        <v>QBA -Keilor Park</v>
      </c>
      <c r="J30" s="116" t="str">
        <f xml:space="preserve"> _xll.EPMOlapMemberO("[KEY_FIGURES].[].[ZGFAPPROVEDFCSTQTY]","","Approved Forecast","","000")</f>
        <v>Approved Forecast</v>
      </c>
      <c r="K30" s="117">
        <v>0.90507000000000004</v>
      </c>
      <c r="L30" s="117">
        <v>6.9484000000000004E-2</v>
      </c>
      <c r="M30" s="117">
        <v>921.93331599999999</v>
      </c>
      <c r="N30" s="117">
        <v>165.487334</v>
      </c>
      <c r="O30" s="117">
        <v>358.223229</v>
      </c>
      <c r="P30" s="117">
        <v>538.62169100000006</v>
      </c>
      <c r="Q30" s="117">
        <v>582.50924699999996</v>
      </c>
      <c r="R30" s="117">
        <v>0.14444399999999999</v>
      </c>
      <c r="S30" s="117">
        <v>0.14444299999999999</v>
      </c>
      <c r="T30" s="117">
        <v>905.56942400000003</v>
      </c>
      <c r="U30" s="117">
        <v>156.23496599999999</v>
      </c>
      <c r="V30" s="117">
        <v>349.61798800000003</v>
      </c>
      <c r="W30" s="117">
        <v>524.40124300000002</v>
      </c>
      <c r="X30" s="117">
        <v>568.87859600000002</v>
      </c>
      <c r="Y30" s="117">
        <v>2.5954000000000001E-2</v>
      </c>
      <c r="Z30" s="117">
        <v>2.5954000000000001E-2</v>
      </c>
      <c r="AA30" s="117">
        <v>875.50322800000004</v>
      </c>
      <c r="AB30" s="117">
        <v>154.60783699999999</v>
      </c>
      <c r="AC30" s="117">
        <v>338.97265900000002</v>
      </c>
      <c r="AD30" s="117">
        <v>512.66711599999996</v>
      </c>
      <c r="AE30" s="117">
        <v>547.96362999999997</v>
      </c>
      <c r="AF30" s="117">
        <v>1.2859000000000001E-2</v>
      </c>
      <c r="AG30" s="117">
        <v>1.2859000000000001E-2</v>
      </c>
      <c r="AH30" s="117">
        <v>814.21848899999998</v>
      </c>
      <c r="AI30" s="117">
        <v>157.51889800000001</v>
      </c>
      <c r="AJ30" s="117">
        <v>328.15542900000003</v>
      </c>
      <c r="AK30" s="117">
        <v>466.07554299999998</v>
      </c>
      <c r="AL30" s="117">
        <v>489.72454199999999</v>
      </c>
      <c r="AM30" s="117">
        <v>1.0383E-2</v>
      </c>
      <c r="AN30" s="117">
        <v>1.0383E-2</v>
      </c>
      <c r="AO30" s="117">
        <v>819.13130799999999</v>
      </c>
      <c r="AP30" s="117">
        <v>157.408907</v>
      </c>
      <c r="AQ30" s="117">
        <v>330.48538100000002</v>
      </c>
      <c r="AR30" s="117">
        <v>470.97674799999999</v>
      </c>
      <c r="AS30" s="117">
        <v>492.387832</v>
      </c>
      <c r="AT30" s="117">
        <v>1.1155999999999999E-2</v>
      </c>
      <c r="AU30" s="117">
        <v>1.1155999999999999E-2</v>
      </c>
      <c r="AV30" s="117">
        <v>848.31933700000002</v>
      </c>
      <c r="AW30" s="117">
        <v>157.740306</v>
      </c>
      <c r="AX30" s="117">
        <v>339.638867</v>
      </c>
      <c r="AY30" s="117">
        <v>493.16175600000003</v>
      </c>
      <c r="AZ30" s="117">
        <v>522.41601800000001</v>
      </c>
      <c r="BA30" s="117">
        <v>3.349E-3</v>
      </c>
      <c r="BB30" s="117">
        <v>3.349E-3</v>
      </c>
      <c r="BC30" s="117">
        <v>867.74584400000003</v>
      </c>
      <c r="BD30" s="117">
        <v>160.80341999999999</v>
      </c>
      <c r="BE30" s="117">
        <v>347.266007</v>
      </c>
      <c r="BF30" s="117">
        <v>505.25838900000002</v>
      </c>
      <c r="BG30" s="117">
        <v>534.77363600000001</v>
      </c>
      <c r="BH30" s="117">
        <v>5.202E-3</v>
      </c>
      <c r="BI30" s="117">
        <v>5.202E-3</v>
      </c>
      <c r="BJ30" s="117">
        <v>798.80487900000003</v>
      </c>
      <c r="BK30" s="117">
        <v>153.11368100000001</v>
      </c>
      <c r="BL30" s="117">
        <v>320.99121500000001</v>
      </c>
      <c r="BM30" s="117">
        <v>459.07053200000001</v>
      </c>
      <c r="BN30" s="117">
        <v>482.13803000000001</v>
      </c>
      <c r="BO30" s="117">
        <v>5.7499999999999999E-4</v>
      </c>
      <c r="BP30" s="117">
        <v>5.7499999999999999E-4</v>
      </c>
      <c r="BQ30" s="117">
        <v>795.18034</v>
      </c>
      <c r="BR30" s="117">
        <v>153.004266</v>
      </c>
      <c r="BS30" s="117">
        <v>320.16270700000001</v>
      </c>
      <c r="BT30" s="117">
        <v>456.39051899999998</v>
      </c>
      <c r="BU30" s="117">
        <v>478.84274199999999</v>
      </c>
      <c r="BV30" s="117">
        <v>0</v>
      </c>
      <c r="BW30" s="117">
        <v>0</v>
      </c>
      <c r="BX30" s="117">
        <v>856.90061600000001</v>
      </c>
      <c r="BY30" s="117">
        <v>157.41797500000001</v>
      </c>
      <c r="BZ30" s="117">
        <v>341.95683500000001</v>
      </c>
      <c r="CA30" s="117">
        <v>499.23831999999999</v>
      </c>
      <c r="CB30" s="117">
        <v>532.42191400000002</v>
      </c>
      <c r="CC30" s="117">
        <v>0</v>
      </c>
      <c r="CD30" s="117">
        <v>0</v>
      </c>
      <c r="CE30" s="117">
        <v>898.93048399999998</v>
      </c>
      <c r="CF30" s="117">
        <v>166.06090499999999</v>
      </c>
      <c r="CG30" s="117">
        <v>361.14865700000001</v>
      </c>
      <c r="CH30" s="117">
        <v>523.79910400000006</v>
      </c>
      <c r="CI30" s="117">
        <v>554.57631900000001</v>
      </c>
      <c r="CJ30" s="117">
        <v>0</v>
      </c>
      <c r="CK30" s="117">
        <v>0</v>
      </c>
      <c r="CL30" s="117">
        <v>790.106177</v>
      </c>
      <c r="CM30" s="117">
        <v>151.98950300000001</v>
      </c>
      <c r="CN30" s="117">
        <v>318.79358000000002</v>
      </c>
      <c r="CO30" s="117">
        <v>452.79847899999999</v>
      </c>
      <c r="CP30" s="117">
        <v>476.64995599999997</v>
      </c>
      <c r="CQ30" s="117">
        <v>0</v>
      </c>
      <c r="CR30" s="117">
        <v>0</v>
      </c>
      <c r="CS30" s="117">
        <v>810.60936100000004</v>
      </c>
      <c r="CT30" s="117">
        <v>154.278333</v>
      </c>
      <c r="CU30" s="117">
        <v>325.59662500000002</v>
      </c>
      <c r="CV30" s="117">
        <v>466.32106299999998</v>
      </c>
      <c r="CW30" s="117">
        <v>491.88133199999999</v>
      </c>
      <c r="CX30" s="117">
        <v>0</v>
      </c>
      <c r="CY30" s="117">
        <v>0</v>
      </c>
      <c r="CZ30" s="117">
        <v>786.59183700000006</v>
      </c>
      <c r="DA30" s="117">
        <v>150.88499200000001</v>
      </c>
      <c r="DB30" s="117">
        <v>316.13406600000002</v>
      </c>
      <c r="DC30" s="117">
        <v>451.719808</v>
      </c>
      <c r="DD30" s="117">
        <v>474.86122399999999</v>
      </c>
      <c r="DE30" s="117">
        <v>0</v>
      </c>
      <c r="DF30" s="117">
        <v>0</v>
      </c>
      <c r="DG30" s="117">
        <v>817.75729999999999</v>
      </c>
      <c r="DH30" s="117">
        <v>152.59450200000001</v>
      </c>
      <c r="DI30" s="117">
        <v>327.49913700000002</v>
      </c>
      <c r="DJ30" s="117">
        <v>474.30398600000001</v>
      </c>
      <c r="DK30" s="117">
        <v>503.69960300000002</v>
      </c>
      <c r="DL30" s="117">
        <v>0</v>
      </c>
      <c r="DM30" s="117">
        <v>0</v>
      </c>
      <c r="DN30" s="117">
        <v>861.97202500000003</v>
      </c>
      <c r="DO30" s="117">
        <v>160.73915700000001</v>
      </c>
      <c r="DP30" s="117">
        <v>346.43507</v>
      </c>
      <c r="DQ30" s="117">
        <v>500.91398600000002</v>
      </c>
      <c r="DR30" s="117">
        <v>529.15683300000001</v>
      </c>
      <c r="DS30" s="117">
        <v>0</v>
      </c>
      <c r="DT30" s="117">
        <v>0</v>
      </c>
      <c r="DU30" s="117">
        <v>798.85698100000002</v>
      </c>
      <c r="DV30" s="117">
        <v>153.10040000000001</v>
      </c>
      <c r="DW30" s="117">
        <v>321.28546</v>
      </c>
      <c r="DX30" s="117">
        <v>459.029337</v>
      </c>
      <c r="DY30" s="117">
        <v>482.21087999999997</v>
      </c>
      <c r="DZ30" s="117">
        <v>0</v>
      </c>
      <c r="EA30" s="117">
        <v>0</v>
      </c>
      <c r="EB30" s="117">
        <v>832.05986900000005</v>
      </c>
      <c r="EC30" s="117">
        <v>159.62038799999999</v>
      </c>
      <c r="ED30" s="117">
        <v>335.06368900000001</v>
      </c>
      <c r="EE30" s="117">
        <v>477.956231</v>
      </c>
      <c r="EF30" s="117">
        <v>501.98681499999998</v>
      </c>
      <c r="EG30" s="117">
        <v>0</v>
      </c>
      <c r="EH30" s="117">
        <v>0</v>
      </c>
      <c r="EI30" s="117">
        <v>807.07789000000002</v>
      </c>
      <c r="EJ30" s="117">
        <v>155.134332</v>
      </c>
      <c r="EK30" s="117">
        <v>324.48761300000001</v>
      </c>
      <c r="EL30" s="117">
        <v>462.78242799999998</v>
      </c>
      <c r="EM30" s="117">
        <v>487.42676</v>
      </c>
      <c r="EN30" s="117">
        <v>0</v>
      </c>
      <c r="EO30" s="117">
        <v>0</v>
      </c>
      <c r="EP30" s="117">
        <v>885.53930200000002</v>
      </c>
      <c r="EQ30" s="117">
        <v>164.482936</v>
      </c>
      <c r="ER30" s="117">
        <v>354.85408799999999</v>
      </c>
      <c r="ES30" s="117">
        <v>514.81930999999997</v>
      </c>
      <c r="ET30" s="117">
        <v>545.89000999999996</v>
      </c>
      <c r="EU30" s="117">
        <v>0</v>
      </c>
      <c r="EV30" s="117">
        <v>0</v>
      </c>
      <c r="EW30" s="117">
        <v>908.50340500000004</v>
      </c>
      <c r="EX30" s="117">
        <v>169.01506499999999</v>
      </c>
      <c r="EY30" s="117">
        <v>365.07683600000001</v>
      </c>
      <c r="EZ30" s="117">
        <v>528.38896099999999</v>
      </c>
      <c r="FA30" s="117">
        <v>558.44214099999999</v>
      </c>
      <c r="FB30" s="117">
        <v>0</v>
      </c>
      <c r="FC30" s="117">
        <v>0</v>
      </c>
      <c r="FD30" s="117">
        <v>838.09400000000005</v>
      </c>
      <c r="FE30" s="117">
        <v>160.730131</v>
      </c>
      <c r="FF30" s="117">
        <v>337.58194099999997</v>
      </c>
      <c r="FG30" s="117">
        <v>481.44218899999998</v>
      </c>
      <c r="FH30" s="117">
        <v>505.72432800000001</v>
      </c>
      <c r="FI30" s="117">
        <v>0</v>
      </c>
      <c r="FJ30" s="117">
        <v>0</v>
      </c>
      <c r="FK30" s="117">
        <v>833.45360000000005</v>
      </c>
      <c r="FL30" s="117">
        <v>161.484736</v>
      </c>
      <c r="FM30" s="117">
        <v>336.50442900000002</v>
      </c>
      <c r="FN30" s="117">
        <v>477.624211</v>
      </c>
      <c r="FO30" s="117">
        <v>499.48851300000001</v>
      </c>
      <c r="FP30" s="117">
        <v>0</v>
      </c>
      <c r="FQ30" s="117">
        <v>0</v>
      </c>
      <c r="FR30" s="117">
        <v>829.66738499999997</v>
      </c>
      <c r="FS30" s="117">
        <v>160.46925899999999</v>
      </c>
      <c r="FT30" s="117">
        <v>334.442521</v>
      </c>
      <c r="FU30" s="117">
        <v>475.56685399999998</v>
      </c>
      <c r="FV30" s="117">
        <v>498.09949399999999</v>
      </c>
      <c r="FW30" s="117">
        <v>0</v>
      </c>
      <c r="FX30" s="117">
        <v>0</v>
      </c>
      <c r="FY30" s="117">
        <v>843.04535499999997</v>
      </c>
      <c r="FZ30" s="117">
        <v>163.69591299999999</v>
      </c>
      <c r="GA30" s="117">
        <v>341.17345899999998</v>
      </c>
      <c r="GB30" s="117">
        <v>482.96279800000002</v>
      </c>
      <c r="GC30" s="117">
        <v>504.12696499999998</v>
      </c>
      <c r="GD30" s="117">
        <v>0</v>
      </c>
      <c r="GE30" s="117">
        <v>0</v>
      </c>
      <c r="GF30" s="117">
        <v>902.44126300000005</v>
      </c>
      <c r="GG30" s="117">
        <v>168.63215500000001</v>
      </c>
      <c r="GH30" s="117">
        <v>362.20856300000003</v>
      </c>
      <c r="GI30" s="117">
        <v>524.04761499999995</v>
      </c>
      <c r="GJ30" s="117">
        <v>553.905664</v>
      </c>
      <c r="GK30" s="117">
        <v>0</v>
      </c>
      <c r="GL30" s="117">
        <v>0</v>
      </c>
      <c r="GM30" s="117">
        <v>968.42665399999998</v>
      </c>
      <c r="GN30" s="117">
        <v>176.304126</v>
      </c>
      <c r="GO30" s="117">
        <v>387.40141299999999</v>
      </c>
      <c r="GP30" s="117">
        <v>567.599695</v>
      </c>
      <c r="GQ30" s="117">
        <v>600.70902599999999</v>
      </c>
      <c r="GR30" s="117">
        <v>0</v>
      </c>
      <c r="GS30" s="117">
        <v>0</v>
      </c>
      <c r="GT30" s="117">
        <v>873.77326000000005</v>
      </c>
      <c r="GU30" s="117">
        <v>164.465936</v>
      </c>
      <c r="GV30" s="117">
        <v>350.77459800000003</v>
      </c>
      <c r="GW30" s="117">
        <v>504.98553700000002</v>
      </c>
      <c r="GX30" s="117">
        <v>532.34402399999999</v>
      </c>
      <c r="GY30" s="117">
        <v>0</v>
      </c>
      <c r="GZ30" s="117">
        <v>0</v>
      </c>
      <c r="HA30" s="117">
        <v>889.77262199999996</v>
      </c>
      <c r="HB30" s="117">
        <v>167.06706299999999</v>
      </c>
      <c r="HC30" s="117">
        <v>357.16000700000001</v>
      </c>
      <c r="HD30" s="117">
        <v>514.86429299999998</v>
      </c>
      <c r="HE30" s="117">
        <v>542.39424499999996</v>
      </c>
      <c r="HF30" s="117">
        <v>0</v>
      </c>
    </row>
    <row r="31" spans="6:214" x14ac:dyDescent="0.25">
      <c r="F31" s="116" t="str">
        <f xml:space="preserve"> _xll.EPMOlapMemberO("[PRDDESCR].[].[HELGAS GFREE WHOLEM 500G]","","HELGAS GFREE WHOLEM 500G","","000")</f>
        <v>HELGAS GFREE WHOLEM 500G</v>
      </c>
      <c r="G31" s="116" t="str">
        <f xml:space="preserve"> _xll.EPMOlapMemberO("[PRDID].[].[168848]","","168848","","000")</f>
        <v>168848</v>
      </c>
      <c r="H31" s="116" t="str">
        <f xml:space="preserve"> _xll.EPMOlapMemberO("[LOCID].[].[6130]","","6130","","000")</f>
        <v>6130</v>
      </c>
      <c r="I31" s="116" t="str">
        <f xml:space="preserve"> _xll.EPMOlapMemberO("[LOCDESCR].[].[QBA-Canning Vale]","","QBA-Canning Vale","","000")</f>
        <v>QBA-Canning Vale</v>
      </c>
      <c r="J31" s="116" t="str">
        <f xml:space="preserve"> _xll.EPMOlapMemberO("[KEY_FIGURES].[].[ZGFAPPROVEDFCSTQTY]","","Approved Forecast","","000")</f>
        <v>Approved Forecast</v>
      </c>
      <c r="K31" s="117">
        <v>189.807445</v>
      </c>
      <c r="L31" s="117">
        <v>189.80743799999999</v>
      </c>
      <c r="M31" s="117">
        <v>161.486321</v>
      </c>
      <c r="N31" s="117">
        <v>161.48629199999999</v>
      </c>
      <c r="O31" s="117">
        <v>161.48617400000001</v>
      </c>
      <c r="P31" s="117">
        <v>170.52532600000001</v>
      </c>
      <c r="Q31" s="117">
        <v>170.52529799999999</v>
      </c>
      <c r="R31" s="117">
        <v>164.478409</v>
      </c>
      <c r="S31" s="117">
        <v>164.478306</v>
      </c>
      <c r="T31" s="117">
        <v>164.72062199999999</v>
      </c>
      <c r="U31" s="117">
        <v>164.72040200000001</v>
      </c>
      <c r="V31" s="117">
        <v>164.720416</v>
      </c>
      <c r="W31" s="117">
        <v>173.158253</v>
      </c>
      <c r="X31" s="117">
        <v>173.15822900000001</v>
      </c>
      <c r="Y31" s="117">
        <v>164.97284200000001</v>
      </c>
      <c r="Z31" s="117">
        <v>164.972791</v>
      </c>
      <c r="AA31" s="117">
        <v>165.076594</v>
      </c>
      <c r="AB31" s="117">
        <v>165.07653199999999</v>
      </c>
      <c r="AC31" s="117">
        <v>165.07628800000001</v>
      </c>
      <c r="AD31" s="117">
        <v>175.19677100000001</v>
      </c>
      <c r="AE31" s="117">
        <v>175.19667999999999</v>
      </c>
      <c r="AF31" s="117">
        <v>137.61513400000001</v>
      </c>
      <c r="AG31" s="117">
        <v>137.61497700000001</v>
      </c>
      <c r="AH31" s="117">
        <v>152.48871199999999</v>
      </c>
      <c r="AI31" s="117">
        <v>152.48865900000001</v>
      </c>
      <c r="AJ31" s="117">
        <v>152.488541</v>
      </c>
      <c r="AK31" s="117">
        <v>170.20584299999999</v>
      </c>
      <c r="AL31" s="117">
        <v>170.20584600000001</v>
      </c>
      <c r="AM31" s="117">
        <v>140.19271599999999</v>
      </c>
      <c r="AN31" s="117">
        <v>140.19261599999999</v>
      </c>
      <c r="AO31" s="117">
        <v>140.19246899999999</v>
      </c>
      <c r="AP31" s="117">
        <v>140.19241</v>
      </c>
      <c r="AQ31" s="117">
        <v>140.19236699999999</v>
      </c>
      <c r="AR31" s="117">
        <v>156.423214</v>
      </c>
      <c r="AS31" s="117">
        <v>156.42321699999999</v>
      </c>
      <c r="AT31" s="117">
        <v>140.178866</v>
      </c>
      <c r="AU31" s="117">
        <v>140.17876000000001</v>
      </c>
      <c r="AV31" s="117">
        <v>159.291932</v>
      </c>
      <c r="AW31" s="117">
        <v>159.29189500000001</v>
      </c>
      <c r="AX31" s="117">
        <v>159.29188400000001</v>
      </c>
      <c r="AY31" s="117">
        <v>167.05019799999999</v>
      </c>
      <c r="AZ31" s="117">
        <v>167.050195</v>
      </c>
      <c r="BA31" s="117">
        <v>159.30518000000001</v>
      </c>
      <c r="BB31" s="117">
        <v>159.30503200000001</v>
      </c>
      <c r="BC31" s="117">
        <v>159.071866</v>
      </c>
      <c r="BD31" s="117">
        <v>159.07183900000001</v>
      </c>
      <c r="BE31" s="117">
        <v>159.07181399999999</v>
      </c>
      <c r="BF31" s="117">
        <v>166.83262500000001</v>
      </c>
      <c r="BG31" s="117">
        <v>166.83262500000001</v>
      </c>
      <c r="BH31" s="117">
        <v>159.08527699999999</v>
      </c>
      <c r="BI31" s="117">
        <v>159.08512200000001</v>
      </c>
      <c r="BJ31" s="117">
        <v>140.15089900000001</v>
      </c>
      <c r="BK31" s="117">
        <v>140.15083999999999</v>
      </c>
      <c r="BL31" s="117">
        <v>140.15079600000001</v>
      </c>
      <c r="BM31" s="117">
        <v>156.378725</v>
      </c>
      <c r="BN31" s="117">
        <v>156.37873099999999</v>
      </c>
      <c r="BO31" s="117">
        <v>140.137359</v>
      </c>
      <c r="BP31" s="117">
        <v>140.13726600000001</v>
      </c>
      <c r="BQ31" s="117">
        <v>140.13710399999999</v>
      </c>
      <c r="BR31" s="117">
        <v>140.137044</v>
      </c>
      <c r="BS31" s="117">
        <v>140.137002</v>
      </c>
      <c r="BT31" s="117">
        <v>156.36392799999999</v>
      </c>
      <c r="BU31" s="117">
        <v>156.36393100000001</v>
      </c>
      <c r="BV31" s="117">
        <v>153.53492600000001</v>
      </c>
      <c r="BW31" s="117">
        <v>153.53482</v>
      </c>
      <c r="BX31" s="117">
        <v>175.589337</v>
      </c>
      <c r="BY31" s="117">
        <v>175.58930899999999</v>
      </c>
      <c r="BZ31" s="117">
        <v>175.58928700000001</v>
      </c>
      <c r="CA31" s="117">
        <v>183.46366</v>
      </c>
      <c r="CB31" s="117">
        <v>183.463672</v>
      </c>
      <c r="CC31" s="117">
        <v>175.60267200000001</v>
      </c>
      <c r="CD31" s="117">
        <v>175.602441</v>
      </c>
      <c r="CE31" s="117">
        <v>175.33269100000001</v>
      </c>
      <c r="CF31" s="117">
        <v>175.33265800000001</v>
      </c>
      <c r="CG31" s="117">
        <v>175.33260000000001</v>
      </c>
      <c r="CH31" s="117">
        <v>183.20923999999999</v>
      </c>
      <c r="CI31" s="117">
        <v>183.209236</v>
      </c>
      <c r="CJ31" s="117">
        <v>175.34609599999999</v>
      </c>
      <c r="CK31" s="117">
        <v>175.345946</v>
      </c>
      <c r="CL31" s="117">
        <v>153.50708499999999</v>
      </c>
      <c r="CM31" s="117">
        <v>153.507025</v>
      </c>
      <c r="CN31" s="117">
        <v>153.50698299999999</v>
      </c>
      <c r="CO31" s="117">
        <v>171.14747399999999</v>
      </c>
      <c r="CP31" s="117">
        <v>171.14748299999999</v>
      </c>
      <c r="CQ31" s="117">
        <v>153.493436</v>
      </c>
      <c r="CR31" s="117">
        <v>153.49332999999999</v>
      </c>
      <c r="CS31" s="117">
        <v>153.49315000000001</v>
      </c>
      <c r="CT31" s="117">
        <v>153.49297999999999</v>
      </c>
      <c r="CU31" s="117">
        <v>153.492887</v>
      </c>
      <c r="CV31" s="117">
        <v>171.13281000000001</v>
      </c>
      <c r="CW31" s="117">
        <v>171.132813</v>
      </c>
      <c r="CX31" s="117">
        <v>153.74204499999999</v>
      </c>
      <c r="CY31" s="117">
        <v>153.74186800000001</v>
      </c>
      <c r="CZ31" s="117">
        <v>153.741603</v>
      </c>
      <c r="DA31" s="117">
        <v>153.74153000000001</v>
      </c>
      <c r="DB31" s="117">
        <v>153.741477</v>
      </c>
      <c r="DC31" s="117">
        <v>171.376024</v>
      </c>
      <c r="DD31" s="117">
        <v>171.37602699999999</v>
      </c>
      <c r="DE31" s="117">
        <v>153.728185</v>
      </c>
      <c r="DF31" s="117">
        <v>153.72801799999999</v>
      </c>
      <c r="DG31" s="117">
        <v>175.31112899999999</v>
      </c>
      <c r="DH31" s="117">
        <v>175.31108599999999</v>
      </c>
      <c r="DI31" s="117">
        <v>175.31105099999999</v>
      </c>
      <c r="DJ31" s="117">
        <v>183.04845499999999</v>
      </c>
      <c r="DK31" s="117">
        <v>183.04847100000001</v>
      </c>
      <c r="DL31" s="117">
        <v>175.32453000000001</v>
      </c>
      <c r="DM31" s="117">
        <v>175.32445300000001</v>
      </c>
      <c r="DN31" s="117">
        <v>175.05476300000001</v>
      </c>
      <c r="DO31" s="117">
        <v>175.054744</v>
      </c>
      <c r="DP31" s="117">
        <v>175.05472</v>
      </c>
      <c r="DQ31" s="117">
        <v>182.793858</v>
      </c>
      <c r="DR31" s="117">
        <v>182.79385099999999</v>
      </c>
      <c r="DS31" s="117">
        <v>175.06797800000001</v>
      </c>
      <c r="DT31" s="117">
        <v>175.06781799999999</v>
      </c>
      <c r="DU31" s="117">
        <v>153.70035799999999</v>
      </c>
      <c r="DV31" s="117">
        <v>153.700299</v>
      </c>
      <c r="DW31" s="117">
        <v>153.70019099999999</v>
      </c>
      <c r="DX31" s="117">
        <v>171.331457</v>
      </c>
      <c r="DY31" s="117">
        <v>171.331458</v>
      </c>
      <c r="DZ31" s="117">
        <v>148.730198</v>
      </c>
      <c r="EA31" s="117">
        <v>148.73009200000001</v>
      </c>
      <c r="EB31" s="117">
        <v>148.729929</v>
      </c>
      <c r="EC31" s="117">
        <v>148.72987000000001</v>
      </c>
      <c r="ED31" s="117">
        <v>148.72981200000001</v>
      </c>
      <c r="EE31" s="117">
        <v>165.78064000000001</v>
      </c>
      <c r="EF31" s="117">
        <v>165.780643</v>
      </c>
      <c r="EG31" s="117">
        <v>148.71643900000001</v>
      </c>
      <c r="EH31" s="117">
        <v>148.71631500000001</v>
      </c>
      <c r="EI31" s="117">
        <v>148.71608900000001</v>
      </c>
      <c r="EJ31" s="117">
        <v>148.71601000000001</v>
      </c>
      <c r="EK31" s="117">
        <v>148.71594400000001</v>
      </c>
      <c r="EL31" s="117">
        <v>165.76567600000001</v>
      </c>
      <c r="EM31" s="117">
        <v>165.76565199999999</v>
      </c>
      <c r="EN31" s="117">
        <v>148.70238900000001</v>
      </c>
      <c r="EO31" s="117">
        <v>148.70238800000001</v>
      </c>
      <c r="EP31" s="117">
        <v>169.08398</v>
      </c>
      <c r="EQ31" s="117">
        <v>169.08399</v>
      </c>
      <c r="ER31" s="117">
        <v>169.08375799999999</v>
      </c>
      <c r="ES31" s="117">
        <v>176.52990399999999</v>
      </c>
      <c r="ET31" s="117">
        <v>176.529888</v>
      </c>
      <c r="EU31" s="117">
        <v>169.097263</v>
      </c>
      <c r="EV31" s="117">
        <v>169.09698</v>
      </c>
      <c r="EW31" s="117">
        <v>168.83762999999999</v>
      </c>
      <c r="EX31" s="117">
        <v>168.83753899999999</v>
      </c>
      <c r="EY31" s="117">
        <v>168.83768499999999</v>
      </c>
      <c r="EZ31" s="117">
        <v>176.28611699999999</v>
      </c>
      <c r="FA31" s="117">
        <v>176.28612000000001</v>
      </c>
      <c r="FB31" s="117">
        <v>168.85127900000001</v>
      </c>
      <c r="FC31" s="117">
        <v>168.85090299999999</v>
      </c>
      <c r="FD31" s="117">
        <v>148.67468</v>
      </c>
      <c r="FE31" s="117">
        <v>148.67454000000001</v>
      </c>
      <c r="FF31" s="117">
        <v>148.674341</v>
      </c>
      <c r="FG31" s="117">
        <v>165.72099800000001</v>
      </c>
      <c r="FH31" s="117">
        <v>165.721001</v>
      </c>
      <c r="FI31" s="117">
        <v>153.37027399999999</v>
      </c>
      <c r="FJ31" s="117">
        <v>153.37015199999999</v>
      </c>
      <c r="FK31" s="117">
        <v>153.36979600000001</v>
      </c>
      <c r="FL31" s="117">
        <v>153.36964599999999</v>
      </c>
      <c r="FM31" s="117">
        <v>153.36996300000001</v>
      </c>
      <c r="FN31" s="117">
        <v>171.020285</v>
      </c>
      <c r="FO31" s="117">
        <v>171.02028799999999</v>
      </c>
      <c r="FP31" s="117">
        <v>153.35649000000001</v>
      </c>
      <c r="FQ31" s="117">
        <v>153.35638399999999</v>
      </c>
      <c r="FR31" s="117">
        <v>153.35622100000001</v>
      </c>
      <c r="FS31" s="117">
        <v>153.356157</v>
      </c>
      <c r="FT31" s="117">
        <v>153.35583800000001</v>
      </c>
      <c r="FU31" s="117">
        <v>171.00515799999999</v>
      </c>
      <c r="FV31" s="117">
        <v>171.00516099999999</v>
      </c>
      <c r="FW31" s="117">
        <v>153.34255899999999</v>
      </c>
      <c r="FX31" s="117">
        <v>153.34245300000001</v>
      </c>
      <c r="FY31" s="117">
        <v>153.34228999999999</v>
      </c>
      <c r="FZ31" s="117">
        <v>153.342231</v>
      </c>
      <c r="GA31" s="117">
        <v>153.34237300000001</v>
      </c>
      <c r="GB31" s="117">
        <v>170.99024499999999</v>
      </c>
      <c r="GC31" s="117">
        <v>170.990218</v>
      </c>
      <c r="GD31" s="117">
        <v>153.32875200000001</v>
      </c>
      <c r="GE31" s="117">
        <v>153.328564</v>
      </c>
      <c r="GF31" s="117">
        <v>175.85123899999999</v>
      </c>
      <c r="GG31" s="117">
        <v>175.85113899999999</v>
      </c>
      <c r="GH31" s="117">
        <v>175.851339</v>
      </c>
      <c r="GI31" s="117">
        <v>183.84676899999999</v>
      </c>
      <c r="GJ31" s="117">
        <v>183.846779</v>
      </c>
      <c r="GK31" s="117">
        <v>168.30064300000001</v>
      </c>
      <c r="GL31" s="117">
        <v>168.30047200000001</v>
      </c>
      <c r="GM31" s="117">
        <v>163.530597</v>
      </c>
      <c r="GN31" s="117">
        <v>163.53057200000001</v>
      </c>
      <c r="GO31" s="117">
        <v>163.53054599999999</v>
      </c>
      <c r="GP31" s="117">
        <v>170.84794199999999</v>
      </c>
      <c r="GQ31" s="117">
        <v>170.84793199999999</v>
      </c>
      <c r="GR31" s="117">
        <v>163.544104</v>
      </c>
      <c r="GS31" s="117">
        <v>163.54388499999999</v>
      </c>
      <c r="GT31" s="117">
        <v>146.35764800000001</v>
      </c>
      <c r="GU31" s="117">
        <v>146.35758899999999</v>
      </c>
      <c r="GV31" s="117">
        <v>146.35754700000001</v>
      </c>
      <c r="GW31" s="117">
        <v>163.135366</v>
      </c>
      <c r="GX31" s="117">
        <v>163.135369</v>
      </c>
      <c r="GY31" s="117">
        <v>146.34407300000001</v>
      </c>
      <c r="GZ31" s="117">
        <v>146.34396699999999</v>
      </c>
      <c r="HA31" s="117">
        <v>146.34380400000001</v>
      </c>
      <c r="HB31" s="117">
        <v>146.34374399999999</v>
      </c>
      <c r="HC31" s="117">
        <v>146.34370200000001</v>
      </c>
      <c r="HD31" s="117">
        <v>163.12069099999999</v>
      </c>
      <c r="HE31" s="117">
        <v>163.12069399999999</v>
      </c>
      <c r="HF31" s="117">
        <v>146.33033499999999</v>
      </c>
    </row>
    <row r="32" spans="6:214" x14ac:dyDescent="0.25">
      <c r="F32" s="116" t="str">
        <f xml:space="preserve"> _xll.EPMOlapMemberO("[PRDDESCR].[].[HELGAS GFREE WHOLEM 500G]","","HELGAS GFREE WHOLEM 500G","","000")</f>
        <v>HELGAS GFREE WHOLEM 500G</v>
      </c>
      <c r="G32" s="116" t="str">
        <f xml:space="preserve"> _xll.EPMOlapMemberO("[PRDID].[].[168848]","","168848","","000")</f>
        <v>168848</v>
      </c>
      <c r="H32" s="116" t="str">
        <f xml:space="preserve"> _xll.EPMOlapMemberO("[LOCID].[].[6134]","","6134","","000")</f>
        <v>6134</v>
      </c>
      <c r="I32" s="116" t="str">
        <f xml:space="preserve"> _xll.EPMOlapMemberO("[LOCDESCR].[].[QBA-West Richmond SA]","","QBA-West Richmond SA","","000")</f>
        <v>QBA-West Richmond SA</v>
      </c>
      <c r="J32" s="116" t="str">
        <f xml:space="preserve"> _xll.EPMOlapMemberO("[KEY_FIGURES].[].[ZGFAPPROVEDFCSTQTY]","","Approved Forecast","","000")</f>
        <v>Approved Forecast</v>
      </c>
      <c r="K32" s="117">
        <v>423.18929700000001</v>
      </c>
      <c r="L32" s="117">
        <v>167.98569000000001</v>
      </c>
      <c r="M32" s="117">
        <v>358.21362900000003</v>
      </c>
      <c r="N32" s="117">
        <v>191.381258</v>
      </c>
      <c r="O32" s="117">
        <v>319.75718499999999</v>
      </c>
      <c r="P32" s="117">
        <v>195.19825900000001</v>
      </c>
      <c r="Q32" s="117">
        <v>105.20309</v>
      </c>
      <c r="R32" s="117">
        <v>390.64466199999998</v>
      </c>
      <c r="S32" s="117">
        <v>157.753759</v>
      </c>
      <c r="T32" s="117">
        <v>379.31009299999999</v>
      </c>
      <c r="U32" s="117">
        <v>212.73908299999999</v>
      </c>
      <c r="V32" s="117">
        <v>325.87701800000002</v>
      </c>
      <c r="W32" s="117">
        <v>200.80169900000001</v>
      </c>
      <c r="X32" s="117">
        <v>107.174328</v>
      </c>
      <c r="Y32" s="117">
        <v>398.08934499999998</v>
      </c>
      <c r="Z32" s="117">
        <v>159.49439799999999</v>
      </c>
      <c r="AA32" s="117">
        <v>390.66590300000001</v>
      </c>
      <c r="AB32" s="117">
        <v>199.69519700000001</v>
      </c>
      <c r="AC32" s="117">
        <v>331.36679700000002</v>
      </c>
      <c r="AD32" s="117">
        <v>202.19200900000001</v>
      </c>
      <c r="AE32" s="117">
        <v>110.29767200000001</v>
      </c>
      <c r="AF32" s="117">
        <v>384.394994</v>
      </c>
      <c r="AG32" s="117">
        <v>157.06078299999999</v>
      </c>
      <c r="AH32" s="117">
        <v>378.676714</v>
      </c>
      <c r="AI32" s="117">
        <v>196.53943799999999</v>
      </c>
      <c r="AJ32" s="117">
        <v>332.86344100000002</v>
      </c>
      <c r="AK32" s="117">
        <v>208.95379600000001</v>
      </c>
      <c r="AL32" s="117">
        <v>113.753248</v>
      </c>
      <c r="AM32" s="117">
        <v>374.51827800000001</v>
      </c>
      <c r="AN32" s="117">
        <v>154.42456200000001</v>
      </c>
      <c r="AO32" s="117">
        <v>379.09864399999998</v>
      </c>
      <c r="AP32" s="117">
        <v>190.29898</v>
      </c>
      <c r="AQ32" s="117">
        <v>316.46672000000001</v>
      </c>
      <c r="AR32" s="117">
        <v>196.370904</v>
      </c>
      <c r="AS32" s="117">
        <v>108.63021000000001</v>
      </c>
      <c r="AT32" s="117">
        <v>367.11221999999998</v>
      </c>
      <c r="AU32" s="117">
        <v>150.886516</v>
      </c>
      <c r="AV32" s="117">
        <v>380.24309099999999</v>
      </c>
      <c r="AW32" s="117">
        <v>195.47688500000001</v>
      </c>
      <c r="AX32" s="117">
        <v>322.31701600000002</v>
      </c>
      <c r="AY32" s="117">
        <v>202.69041999999999</v>
      </c>
      <c r="AZ32" s="117">
        <v>111.751987</v>
      </c>
      <c r="BA32" s="117">
        <v>387.18933600000003</v>
      </c>
      <c r="BB32" s="117">
        <v>160.85162399999999</v>
      </c>
      <c r="BC32" s="117">
        <v>375.399224</v>
      </c>
      <c r="BD32" s="117">
        <v>193.44154800000001</v>
      </c>
      <c r="BE32" s="117">
        <v>329.81043</v>
      </c>
      <c r="BF32" s="117">
        <v>206.12511499999999</v>
      </c>
      <c r="BG32" s="117">
        <v>113.860135</v>
      </c>
      <c r="BH32" s="117">
        <v>379.18312100000003</v>
      </c>
      <c r="BI32" s="117">
        <v>158.49323899999999</v>
      </c>
      <c r="BJ32" s="117">
        <v>355.15419500000002</v>
      </c>
      <c r="BK32" s="117">
        <v>183.39276599999999</v>
      </c>
      <c r="BL32" s="117">
        <v>309.77112599999998</v>
      </c>
      <c r="BM32" s="117">
        <v>194.52347599999999</v>
      </c>
      <c r="BN32" s="117">
        <v>106.081323</v>
      </c>
      <c r="BO32" s="117">
        <v>387.65949699999999</v>
      </c>
      <c r="BP32" s="117">
        <v>160.989497</v>
      </c>
      <c r="BQ32" s="117">
        <v>407.13368800000001</v>
      </c>
      <c r="BR32" s="117">
        <v>200.11400699999999</v>
      </c>
      <c r="BS32" s="117">
        <v>324.685766</v>
      </c>
      <c r="BT32" s="117">
        <v>200.502691</v>
      </c>
      <c r="BU32" s="117">
        <v>111.103836</v>
      </c>
      <c r="BV32" s="117">
        <v>394.93874499999998</v>
      </c>
      <c r="BW32" s="117">
        <v>160.29062200000001</v>
      </c>
      <c r="BX32" s="117">
        <v>403.93515000000002</v>
      </c>
      <c r="BY32" s="117">
        <v>209.86662000000001</v>
      </c>
      <c r="BZ32" s="117">
        <v>345.12044200000003</v>
      </c>
      <c r="CA32" s="117">
        <v>217.71320900000001</v>
      </c>
      <c r="CB32" s="117">
        <v>119.61324500000001</v>
      </c>
      <c r="CC32" s="117">
        <v>420.54972299999997</v>
      </c>
      <c r="CD32" s="117">
        <v>173.38021699999999</v>
      </c>
      <c r="CE32" s="117">
        <v>415.43210199999999</v>
      </c>
      <c r="CF32" s="117">
        <v>212.36536100000001</v>
      </c>
      <c r="CG32" s="117">
        <v>352.92808300000002</v>
      </c>
      <c r="CH32" s="117">
        <v>220.333823</v>
      </c>
      <c r="CI32" s="117">
        <v>121.35369900000001</v>
      </c>
      <c r="CJ32" s="117">
        <v>407.92551400000002</v>
      </c>
      <c r="CK32" s="117">
        <v>169.055193</v>
      </c>
      <c r="CL32" s="117">
        <v>377.181938</v>
      </c>
      <c r="CM32" s="117">
        <v>196.53077300000001</v>
      </c>
      <c r="CN32" s="117">
        <v>331.34403400000002</v>
      </c>
      <c r="CO32" s="117">
        <v>208.12325000000001</v>
      </c>
      <c r="CP32" s="117">
        <v>112.986887</v>
      </c>
      <c r="CQ32" s="117">
        <v>396.55167899999998</v>
      </c>
      <c r="CR32" s="117">
        <v>160.676041</v>
      </c>
      <c r="CS32" s="117">
        <v>387.79569099999998</v>
      </c>
      <c r="CT32" s="117">
        <v>199.22375299999999</v>
      </c>
      <c r="CU32" s="117">
        <v>334.00250999999997</v>
      </c>
      <c r="CV32" s="117">
        <v>207.82330899999999</v>
      </c>
      <c r="CW32" s="117">
        <v>114.204498</v>
      </c>
      <c r="CX32" s="117">
        <v>396.86653899999999</v>
      </c>
      <c r="CY32" s="117">
        <v>162.626565</v>
      </c>
      <c r="CZ32" s="117">
        <v>400.95996300000002</v>
      </c>
      <c r="DA32" s="117">
        <v>204.114104</v>
      </c>
      <c r="DB32" s="117">
        <v>332.12714799999998</v>
      </c>
      <c r="DC32" s="117">
        <v>206.32734300000001</v>
      </c>
      <c r="DD32" s="117">
        <v>112.99024799999999</v>
      </c>
      <c r="DE32" s="117">
        <v>394.611469</v>
      </c>
      <c r="DF32" s="117">
        <v>159.38139000000001</v>
      </c>
      <c r="DG32" s="117">
        <v>398.753514</v>
      </c>
      <c r="DH32" s="117">
        <v>205.83322899999999</v>
      </c>
      <c r="DI32" s="117">
        <v>345.34186499999998</v>
      </c>
      <c r="DJ32" s="117">
        <v>216.22172900000001</v>
      </c>
      <c r="DK32" s="117">
        <v>119.040643</v>
      </c>
      <c r="DL32" s="117">
        <v>408.53103399999998</v>
      </c>
      <c r="DM32" s="117">
        <v>170.16551799999999</v>
      </c>
      <c r="DN32" s="117">
        <v>397.52947699999999</v>
      </c>
      <c r="DO32" s="117">
        <v>206.296357</v>
      </c>
      <c r="DP32" s="117">
        <v>345.42616299999997</v>
      </c>
      <c r="DQ32" s="117">
        <v>219.14984100000001</v>
      </c>
      <c r="DR32" s="117">
        <v>119.914936</v>
      </c>
      <c r="DS32" s="117">
        <v>411.60576900000001</v>
      </c>
      <c r="DT32" s="117">
        <v>170.80657099999999</v>
      </c>
      <c r="DU32" s="117">
        <v>394.86781300000001</v>
      </c>
      <c r="DV32" s="117">
        <v>200.65758400000001</v>
      </c>
      <c r="DW32" s="117">
        <v>333.43719399999998</v>
      </c>
      <c r="DX32" s="117">
        <v>207.089902</v>
      </c>
      <c r="DY32" s="117">
        <v>114.007419</v>
      </c>
      <c r="DZ32" s="117">
        <v>405.679509</v>
      </c>
      <c r="EA32" s="117">
        <v>167.77374</v>
      </c>
      <c r="EB32" s="117">
        <v>421.95351299999999</v>
      </c>
      <c r="EC32" s="117">
        <v>210.85788099999999</v>
      </c>
      <c r="ED32" s="117">
        <v>338.513013</v>
      </c>
      <c r="EE32" s="117">
        <v>209.43642399999999</v>
      </c>
      <c r="EF32" s="117">
        <v>115.047815</v>
      </c>
      <c r="EG32" s="117">
        <v>396.07753500000001</v>
      </c>
      <c r="EH32" s="117">
        <v>161.061442</v>
      </c>
      <c r="EI32" s="117">
        <v>401.58249699999999</v>
      </c>
      <c r="EJ32" s="117">
        <v>201.627441</v>
      </c>
      <c r="EK32" s="117">
        <v>329.66347100000002</v>
      </c>
      <c r="EL32" s="117">
        <v>202.876172</v>
      </c>
      <c r="EM32" s="117">
        <v>111.200254</v>
      </c>
      <c r="EN32" s="117">
        <v>389.37512900000002</v>
      </c>
      <c r="EO32" s="117">
        <v>159.68097399999999</v>
      </c>
      <c r="EP32" s="117">
        <v>401.93545999999998</v>
      </c>
      <c r="EQ32" s="117">
        <v>206.108271</v>
      </c>
      <c r="ER32" s="117">
        <v>339.12875500000001</v>
      </c>
      <c r="ES32" s="117">
        <v>214.473354</v>
      </c>
      <c r="ET32" s="117">
        <v>117.283717</v>
      </c>
      <c r="EU32" s="117">
        <v>402.55872099999999</v>
      </c>
      <c r="EV32" s="117">
        <v>166.68469099999999</v>
      </c>
      <c r="EW32" s="117">
        <v>400.14920699999999</v>
      </c>
      <c r="EX32" s="117">
        <v>204.50497300000001</v>
      </c>
      <c r="EY32" s="117">
        <v>337.861287</v>
      </c>
      <c r="EZ32" s="117">
        <v>211.990172</v>
      </c>
      <c r="FA32" s="117">
        <v>117.091545</v>
      </c>
      <c r="FB32" s="117">
        <v>400.61110000000002</v>
      </c>
      <c r="FC32" s="117">
        <v>165.612694</v>
      </c>
      <c r="FD32" s="117">
        <v>378.94080300000002</v>
      </c>
      <c r="FE32" s="117">
        <v>196.507226</v>
      </c>
      <c r="FF32" s="117">
        <v>324.22428600000001</v>
      </c>
      <c r="FG32" s="117">
        <v>202.051466</v>
      </c>
      <c r="FH32" s="117">
        <v>110.303442</v>
      </c>
      <c r="FI32" s="117">
        <v>393.80044700000002</v>
      </c>
      <c r="FJ32" s="117">
        <v>158.72559000000001</v>
      </c>
      <c r="FK32" s="117">
        <v>379.51218699999998</v>
      </c>
      <c r="FL32" s="117">
        <v>196.24941799999999</v>
      </c>
      <c r="FM32" s="117">
        <v>331.78786500000001</v>
      </c>
      <c r="FN32" s="117">
        <v>205.37163000000001</v>
      </c>
      <c r="FO32" s="117">
        <v>112.31553099999999</v>
      </c>
      <c r="FP32" s="117">
        <v>394.62068699999998</v>
      </c>
      <c r="FQ32" s="117">
        <v>161.50046800000001</v>
      </c>
      <c r="FR32" s="117">
        <v>386.45306499999998</v>
      </c>
      <c r="FS32" s="117">
        <v>199.226303</v>
      </c>
      <c r="FT32" s="117">
        <v>332.44578899999999</v>
      </c>
      <c r="FU32" s="117">
        <v>208.43150199999999</v>
      </c>
      <c r="FV32" s="117">
        <v>113.313681</v>
      </c>
      <c r="FW32" s="117">
        <v>403.35356100000001</v>
      </c>
      <c r="FX32" s="117">
        <v>164.87633299999999</v>
      </c>
      <c r="FY32" s="117">
        <v>404.19664299999999</v>
      </c>
      <c r="FZ32" s="117">
        <v>204.61444900000001</v>
      </c>
      <c r="GA32" s="117">
        <v>339.02911</v>
      </c>
      <c r="GB32" s="117">
        <v>210.38219000000001</v>
      </c>
      <c r="GC32" s="117">
        <v>115.888897</v>
      </c>
      <c r="GD32" s="117">
        <v>388.43803200000002</v>
      </c>
      <c r="GE32" s="117">
        <v>157.412397</v>
      </c>
      <c r="GF32" s="117">
        <v>396.64272399999999</v>
      </c>
      <c r="GG32" s="117">
        <v>207.06841800000001</v>
      </c>
      <c r="GH32" s="117">
        <v>340.15338100000002</v>
      </c>
      <c r="GI32" s="117">
        <v>214.470934</v>
      </c>
      <c r="GJ32" s="117">
        <v>117.58524</v>
      </c>
      <c r="GK32" s="117">
        <v>415.469582</v>
      </c>
      <c r="GL32" s="117">
        <v>170.55311399999999</v>
      </c>
      <c r="GM32" s="117">
        <v>397.745295</v>
      </c>
      <c r="GN32" s="117">
        <v>206.06190000000001</v>
      </c>
      <c r="GO32" s="117">
        <v>345.51096699999999</v>
      </c>
      <c r="GP32" s="117">
        <v>216.18081699999999</v>
      </c>
      <c r="GQ32" s="117">
        <v>118.762747</v>
      </c>
      <c r="GR32" s="117">
        <v>410.124773</v>
      </c>
      <c r="GS32" s="117">
        <v>170.23261099999999</v>
      </c>
      <c r="GT32" s="117">
        <v>391.77246600000001</v>
      </c>
      <c r="GU32" s="117">
        <v>201.38514499999999</v>
      </c>
      <c r="GV32" s="117">
        <v>334.20359200000001</v>
      </c>
      <c r="GW32" s="117">
        <v>209.41511499999999</v>
      </c>
      <c r="GX32" s="117">
        <v>113.802503</v>
      </c>
      <c r="GY32" s="117">
        <v>418.20079600000003</v>
      </c>
      <c r="GZ32" s="117">
        <v>171.837603</v>
      </c>
      <c r="HA32" s="117">
        <v>419.32174600000002</v>
      </c>
      <c r="HB32" s="117">
        <v>211.705692</v>
      </c>
      <c r="HC32" s="117">
        <v>353.56167099999999</v>
      </c>
      <c r="HD32" s="117">
        <v>219.42399700000001</v>
      </c>
      <c r="HE32" s="117">
        <v>121.202866</v>
      </c>
      <c r="HF32" s="117">
        <v>383.033615</v>
      </c>
    </row>
    <row r="33" spans="6:214" x14ac:dyDescent="0.25">
      <c r="F33" s="116" t="str">
        <f xml:space="preserve"> _xll.EPMOlapMemberO("[PRDDESCR].[].[WONDER GFREE WHITE 470G]","","WONDER GFREE WHITE 470G","","000")</f>
        <v>WONDER GFREE WHITE 470G</v>
      </c>
      <c r="G33" s="116" t="str">
        <f xml:space="preserve"> _xll.EPMOlapMemberO("[PRDID].[].[179649]","","179649","","000")</f>
        <v>179649</v>
      </c>
      <c r="H33" s="116" t="str">
        <f xml:space="preserve"> _xll.EPMOlapMemberO("[LOCID].[].[6103]","","6103","","000")</f>
        <v>6103</v>
      </c>
      <c r="I33" s="116" t="str">
        <f xml:space="preserve"> _xll.EPMOlapMemberO("[LOCDESCR].[].[QBA-Canberra]","","QBA-Canberra","","000")</f>
        <v>QBA-Canberra</v>
      </c>
      <c r="J33" s="116" t="str">
        <f xml:space="preserve"> _xll.EPMOlapMemberO("[KEY_FIGURES].[].[ZGFAPPROVEDFCSTQTY]","","Approved Forecast","","000")</f>
        <v>Approved Forecast</v>
      </c>
      <c r="K33" s="117">
        <v>120.384379</v>
      </c>
      <c r="L33" s="117">
        <v>79.500074999999995</v>
      </c>
      <c r="M33" s="117">
        <v>61.442923</v>
      </c>
      <c r="N33" s="117">
        <v>78.192747999999995</v>
      </c>
      <c r="O33" s="117">
        <v>67.252032</v>
      </c>
      <c r="P33" s="117">
        <v>105.82375</v>
      </c>
      <c r="Q33" s="117">
        <v>61.644432000000002</v>
      </c>
      <c r="R33" s="117">
        <v>92.267403000000002</v>
      </c>
      <c r="S33" s="117">
        <v>60.792273000000002</v>
      </c>
      <c r="T33" s="117">
        <v>49.424819999999997</v>
      </c>
      <c r="U33" s="117">
        <v>60.206484000000003</v>
      </c>
      <c r="V33" s="117">
        <v>51.818874000000001</v>
      </c>
      <c r="W33" s="117">
        <v>87.159822000000005</v>
      </c>
      <c r="X33" s="117">
        <v>49.382714</v>
      </c>
      <c r="Y33" s="117">
        <v>127.2137</v>
      </c>
      <c r="Z33" s="117">
        <v>81.539810000000003</v>
      </c>
      <c r="AA33" s="117">
        <v>60.997560999999997</v>
      </c>
      <c r="AB33" s="117">
        <v>75.435672999999994</v>
      </c>
      <c r="AC33" s="117">
        <v>68.827631999999994</v>
      </c>
      <c r="AD33" s="117">
        <v>103.698351</v>
      </c>
      <c r="AE33" s="117">
        <v>58.122726</v>
      </c>
      <c r="AF33" s="117">
        <v>120.877532</v>
      </c>
      <c r="AG33" s="117">
        <v>81.344125000000005</v>
      </c>
      <c r="AH33" s="117">
        <v>65.236569000000003</v>
      </c>
      <c r="AI33" s="117">
        <v>85.254636000000005</v>
      </c>
      <c r="AJ33" s="117">
        <v>73.587188999999995</v>
      </c>
      <c r="AK33" s="117">
        <v>108.379728</v>
      </c>
      <c r="AL33" s="117">
        <v>65.312071000000003</v>
      </c>
      <c r="AM33" s="117">
        <v>139.70629199999999</v>
      </c>
      <c r="AN33" s="117">
        <v>92.754930000000002</v>
      </c>
      <c r="AO33" s="117">
        <v>68.633566000000002</v>
      </c>
      <c r="AP33" s="117">
        <v>86.609802000000002</v>
      </c>
      <c r="AQ33" s="117">
        <v>78.528604000000001</v>
      </c>
      <c r="AR33" s="117">
        <v>113.71300100000001</v>
      </c>
      <c r="AS33" s="117">
        <v>67.402840999999995</v>
      </c>
      <c r="AT33" s="117">
        <v>126.388544</v>
      </c>
      <c r="AU33" s="117">
        <v>83.968199999999996</v>
      </c>
      <c r="AV33" s="117">
        <v>67.013521999999995</v>
      </c>
      <c r="AW33" s="117">
        <v>88.031794000000005</v>
      </c>
      <c r="AX33" s="117">
        <v>76.430991000000006</v>
      </c>
      <c r="AY33" s="117">
        <v>114.306139</v>
      </c>
      <c r="AZ33" s="117">
        <v>67.432108999999997</v>
      </c>
      <c r="BA33" s="117">
        <v>75.552372000000005</v>
      </c>
      <c r="BB33" s="117">
        <v>51.859549999999999</v>
      </c>
      <c r="BC33" s="117">
        <v>38.143568000000002</v>
      </c>
      <c r="BD33" s="117">
        <v>48.803837999999999</v>
      </c>
      <c r="BE33" s="117">
        <v>42.613706000000001</v>
      </c>
      <c r="BF33" s="117">
        <v>64.890446999999995</v>
      </c>
      <c r="BG33" s="117">
        <v>40.707962999999999</v>
      </c>
      <c r="BH33" s="117">
        <v>125.87091100000001</v>
      </c>
      <c r="BI33" s="117">
        <v>83.047948000000005</v>
      </c>
      <c r="BJ33" s="117">
        <v>65.316951000000003</v>
      </c>
      <c r="BK33" s="117">
        <v>84.526651000000001</v>
      </c>
      <c r="BL33" s="117">
        <v>73.986536000000001</v>
      </c>
      <c r="BM33" s="117">
        <v>110.49281000000001</v>
      </c>
      <c r="BN33" s="117">
        <v>64.047802000000004</v>
      </c>
      <c r="BO33" s="117">
        <v>124.52970999999999</v>
      </c>
      <c r="BP33" s="117">
        <v>83.472344000000007</v>
      </c>
      <c r="BQ33" s="117">
        <v>62.132057000000003</v>
      </c>
      <c r="BR33" s="117">
        <v>78.328552999999999</v>
      </c>
      <c r="BS33" s="117">
        <v>70.989484000000004</v>
      </c>
      <c r="BT33" s="117">
        <v>103.283866</v>
      </c>
      <c r="BU33" s="117">
        <v>63.148591000000003</v>
      </c>
      <c r="BV33" s="117">
        <v>118.01440100000001</v>
      </c>
      <c r="BW33" s="117">
        <v>79.691978000000006</v>
      </c>
      <c r="BX33" s="117">
        <v>61.469811999999997</v>
      </c>
      <c r="BY33" s="117">
        <v>80.189846000000003</v>
      </c>
      <c r="BZ33" s="117">
        <v>70.200630000000004</v>
      </c>
      <c r="CA33" s="117">
        <v>102.071991</v>
      </c>
      <c r="CB33" s="117">
        <v>61.911507999999998</v>
      </c>
      <c r="CC33" s="117">
        <v>141.101349</v>
      </c>
      <c r="CD33" s="117">
        <v>92.409383000000005</v>
      </c>
      <c r="CE33" s="117">
        <v>70.937719999999999</v>
      </c>
      <c r="CF33" s="117">
        <v>90.077731999999997</v>
      </c>
      <c r="CG33" s="117">
        <v>81.307002999999995</v>
      </c>
      <c r="CH33" s="117">
        <v>118.06997</v>
      </c>
      <c r="CI33" s="117">
        <v>69.656007000000002</v>
      </c>
      <c r="CJ33" s="117">
        <v>120.126295</v>
      </c>
      <c r="CK33" s="117">
        <v>79.295429999999996</v>
      </c>
      <c r="CL33" s="117">
        <v>62.726419999999997</v>
      </c>
      <c r="CM33" s="117">
        <v>80.359469000000004</v>
      </c>
      <c r="CN33" s="117">
        <v>71.796622999999997</v>
      </c>
      <c r="CO33" s="117">
        <v>104.297302</v>
      </c>
      <c r="CP33" s="117">
        <v>62.227607999999996</v>
      </c>
      <c r="CQ33" s="117">
        <v>136.71479600000001</v>
      </c>
      <c r="CR33" s="117">
        <v>92.416735000000003</v>
      </c>
      <c r="CS33" s="117">
        <v>69.086805999999996</v>
      </c>
      <c r="CT33" s="117">
        <v>88.994190000000003</v>
      </c>
      <c r="CU33" s="117">
        <v>79.336878999999996</v>
      </c>
      <c r="CV33" s="117">
        <v>111.738304</v>
      </c>
      <c r="CW33" s="117">
        <v>68.067091000000005</v>
      </c>
      <c r="CX33" s="117">
        <v>130.66600700000001</v>
      </c>
      <c r="CY33" s="117">
        <v>85.876067000000006</v>
      </c>
      <c r="CZ33" s="117">
        <v>65.396884</v>
      </c>
      <c r="DA33" s="117">
        <v>83.431505999999999</v>
      </c>
      <c r="DB33" s="117">
        <v>75.196554000000006</v>
      </c>
      <c r="DC33" s="117">
        <v>108.979169</v>
      </c>
      <c r="DD33" s="117">
        <v>63.420425000000002</v>
      </c>
      <c r="DE33" s="117">
        <v>115.873137</v>
      </c>
      <c r="DF33" s="117">
        <v>76.197350999999998</v>
      </c>
      <c r="DG33" s="117">
        <v>59.146403999999997</v>
      </c>
      <c r="DH33" s="117">
        <v>74.460830999999999</v>
      </c>
      <c r="DI33" s="117">
        <v>68.100037</v>
      </c>
      <c r="DJ33" s="117">
        <v>97.378523000000001</v>
      </c>
      <c r="DK33" s="117">
        <v>59.445658999999999</v>
      </c>
      <c r="DL33" s="117">
        <v>115.630776</v>
      </c>
      <c r="DM33" s="117">
        <v>77.829463000000004</v>
      </c>
      <c r="DN33" s="117">
        <v>60.918728000000002</v>
      </c>
      <c r="DO33" s="117">
        <v>80.374284000000003</v>
      </c>
      <c r="DP33" s="117">
        <v>69.130564000000007</v>
      </c>
      <c r="DQ33" s="117">
        <v>101.006451</v>
      </c>
      <c r="DR33" s="117">
        <v>60.191858000000003</v>
      </c>
      <c r="DS33" s="117">
        <v>132.52476799999999</v>
      </c>
      <c r="DT33" s="117">
        <v>88.082199000000003</v>
      </c>
      <c r="DU33" s="117">
        <v>66.526144000000002</v>
      </c>
      <c r="DV33" s="117">
        <v>83.893839999999997</v>
      </c>
      <c r="DW33" s="117">
        <v>75.890749999999997</v>
      </c>
      <c r="DX33" s="117">
        <v>110.516373</v>
      </c>
      <c r="DY33" s="117">
        <v>65.918310000000005</v>
      </c>
      <c r="DZ33" s="117">
        <v>137.61712499999999</v>
      </c>
      <c r="EA33" s="117">
        <v>91.092107999999996</v>
      </c>
      <c r="EB33" s="117">
        <v>70.739459999999994</v>
      </c>
      <c r="EC33" s="117">
        <v>89.035411999999994</v>
      </c>
      <c r="ED33" s="117">
        <v>81.157275999999996</v>
      </c>
      <c r="EE33" s="117">
        <v>116.867068</v>
      </c>
      <c r="EF33" s="117">
        <v>71.324192999999994</v>
      </c>
      <c r="EG33" s="117">
        <v>122.622596</v>
      </c>
      <c r="EH33" s="117">
        <v>81.911294999999996</v>
      </c>
      <c r="EI33" s="117">
        <v>64.556799999999996</v>
      </c>
      <c r="EJ33" s="117">
        <v>84.046785</v>
      </c>
      <c r="EK33" s="117">
        <v>73.173894000000004</v>
      </c>
      <c r="EL33" s="117">
        <v>105.839792</v>
      </c>
      <c r="EM33" s="117">
        <v>63.886778999999997</v>
      </c>
      <c r="EN33" s="117">
        <v>128.306971</v>
      </c>
      <c r="EO33" s="117">
        <v>85.914861999999999</v>
      </c>
      <c r="EP33" s="117">
        <v>64.054948999999993</v>
      </c>
      <c r="EQ33" s="117">
        <v>81.840763999999993</v>
      </c>
      <c r="ER33" s="117">
        <v>73.272616999999997</v>
      </c>
      <c r="ES33" s="117">
        <v>107.534255</v>
      </c>
      <c r="ET33" s="117">
        <v>63.222639000000001</v>
      </c>
      <c r="EU33" s="117">
        <v>129.46118000000001</v>
      </c>
      <c r="EV33" s="117">
        <v>85.294555000000003</v>
      </c>
      <c r="EW33" s="117">
        <v>66.100984999999994</v>
      </c>
      <c r="EX33" s="117">
        <v>83.582318000000001</v>
      </c>
      <c r="EY33" s="117">
        <v>75.998446999999999</v>
      </c>
      <c r="EZ33" s="117">
        <v>109.492204</v>
      </c>
      <c r="FA33" s="117">
        <v>66.861707999999993</v>
      </c>
      <c r="FB33" s="117">
        <v>124.009445</v>
      </c>
      <c r="FC33" s="117">
        <v>83.37894</v>
      </c>
      <c r="FD33" s="117">
        <v>66.865675999999993</v>
      </c>
      <c r="FE33" s="117">
        <v>87.227096000000003</v>
      </c>
      <c r="FF33" s="117">
        <v>75.516648000000004</v>
      </c>
      <c r="FG33" s="117">
        <v>110.664946</v>
      </c>
      <c r="FH33" s="117">
        <v>66.701036999999999</v>
      </c>
      <c r="FI33" s="117">
        <v>130.535177</v>
      </c>
      <c r="FJ33" s="117">
        <v>87.214094000000003</v>
      </c>
      <c r="FK33" s="117">
        <v>64.778394000000006</v>
      </c>
      <c r="FL33" s="117">
        <v>81.740650000000002</v>
      </c>
      <c r="FM33" s="117">
        <v>73.591256999999999</v>
      </c>
      <c r="FN33" s="117">
        <v>108.18534200000001</v>
      </c>
      <c r="FO33" s="117">
        <v>65.061896000000004</v>
      </c>
      <c r="FP33" s="117">
        <v>124.75374600000001</v>
      </c>
      <c r="FQ33" s="117">
        <v>82.595488000000003</v>
      </c>
      <c r="FR33" s="117">
        <v>63.218806000000001</v>
      </c>
      <c r="FS33" s="117">
        <v>80.788747999999998</v>
      </c>
      <c r="FT33" s="117">
        <v>73.070762999999999</v>
      </c>
      <c r="FU33" s="117">
        <v>105.279697</v>
      </c>
      <c r="FV33" s="117">
        <v>63.330824</v>
      </c>
      <c r="FW33" s="117">
        <v>114.32975399999999</v>
      </c>
      <c r="FX33" s="117">
        <v>76.358204000000001</v>
      </c>
      <c r="FY33" s="117">
        <v>61.517716999999998</v>
      </c>
      <c r="FZ33" s="117">
        <v>80.002837</v>
      </c>
      <c r="GA33" s="117">
        <v>69.598946999999995</v>
      </c>
      <c r="GB33" s="117">
        <v>101.096609</v>
      </c>
      <c r="GC33" s="117">
        <v>61.154960000000003</v>
      </c>
      <c r="GD33" s="117">
        <v>131.54727600000001</v>
      </c>
      <c r="GE33" s="117">
        <v>88.259372999999997</v>
      </c>
      <c r="GF33" s="117">
        <v>65.157062999999994</v>
      </c>
      <c r="GG33" s="117">
        <v>82.554349999999999</v>
      </c>
      <c r="GH33" s="117">
        <v>74.159761000000003</v>
      </c>
      <c r="GI33" s="117">
        <v>109.037459</v>
      </c>
      <c r="GJ33" s="117">
        <v>64.895263</v>
      </c>
      <c r="GK33" s="117">
        <v>104.48787799999999</v>
      </c>
      <c r="GL33" s="117">
        <v>68.923720000000003</v>
      </c>
      <c r="GM33" s="117">
        <v>53.57038</v>
      </c>
      <c r="GN33" s="117">
        <v>67.602084000000005</v>
      </c>
      <c r="GO33" s="117">
        <v>61.408302999999997</v>
      </c>
      <c r="GP33" s="117">
        <v>88.841252999999995</v>
      </c>
      <c r="GQ33" s="117">
        <v>54.454224000000004</v>
      </c>
      <c r="GR33" s="117">
        <v>124.46165000000001</v>
      </c>
      <c r="GS33" s="117">
        <v>83.756777999999997</v>
      </c>
      <c r="GT33" s="117">
        <v>64.786674000000005</v>
      </c>
      <c r="GU33" s="117">
        <v>85.210542000000004</v>
      </c>
      <c r="GV33" s="117">
        <v>73.542413999999994</v>
      </c>
      <c r="GW33" s="117">
        <v>107.051327</v>
      </c>
      <c r="GX33" s="117">
        <v>63.913004000000001</v>
      </c>
      <c r="GY33" s="117">
        <v>128.44054600000001</v>
      </c>
      <c r="GZ33" s="117">
        <v>85.052718999999996</v>
      </c>
      <c r="HA33" s="117">
        <v>64.981114000000005</v>
      </c>
      <c r="HB33" s="117">
        <v>81.687773000000007</v>
      </c>
      <c r="HC33" s="117">
        <v>74.257801000000001</v>
      </c>
      <c r="HD33" s="117">
        <v>107.38255100000001</v>
      </c>
      <c r="HE33" s="117">
        <v>63.856005000000003</v>
      </c>
      <c r="HF33" s="117">
        <v>129.31886700000001</v>
      </c>
    </row>
    <row r="34" spans="6:214" x14ac:dyDescent="0.25">
      <c r="F34" s="116" t="str">
        <f xml:space="preserve"> _xll.EPMOlapMemberO("[PRDDESCR].[].[WONDER GFREE WHITE 470G]","","WONDER GFREE WHITE 470G","","000")</f>
        <v>WONDER GFREE WHITE 470G</v>
      </c>
      <c r="G34" s="116" t="str">
        <f xml:space="preserve"> _xll.EPMOlapMemberO("[PRDID].[].[179649]","","179649","","000")</f>
        <v>179649</v>
      </c>
      <c r="H34" s="116" t="str">
        <f xml:space="preserve"> _xll.EPMOlapMemberO("[LOCID].[].[6104]","","6104","","000")</f>
        <v>6104</v>
      </c>
      <c r="I34" s="116" t="str">
        <f xml:space="preserve"> _xll.EPMOlapMemberO("[LOCDESCR].[].[QBA-Moorebank]","","QBA-Moorebank","","000")</f>
        <v>QBA-Moorebank</v>
      </c>
      <c r="J34" s="116" t="str">
        <f xml:space="preserve"> _xll.EPMOlapMemberO("[KEY_FIGURES].[].[ZGFAPPROVEDFCSTQTY]","","Approved Forecast","","000")</f>
        <v>Approved Forecast</v>
      </c>
      <c r="K34" s="117">
        <v>625.867526</v>
      </c>
      <c r="L34" s="117">
        <v>252.43753000000001</v>
      </c>
      <c r="M34" s="117">
        <v>428.67477000000002</v>
      </c>
      <c r="N34" s="117">
        <v>323.95093000000003</v>
      </c>
      <c r="O34" s="117">
        <v>464.18098199999997</v>
      </c>
      <c r="P34" s="117">
        <v>306.64280400000001</v>
      </c>
      <c r="Q34" s="117">
        <v>252.46762899999999</v>
      </c>
      <c r="R34" s="117">
        <v>662.97021900000004</v>
      </c>
      <c r="S34" s="117">
        <v>266.89538900000002</v>
      </c>
      <c r="T34" s="117">
        <v>463.27494000000002</v>
      </c>
      <c r="U34" s="117">
        <v>352.07482800000002</v>
      </c>
      <c r="V34" s="117">
        <v>501.56618600000002</v>
      </c>
      <c r="W34" s="117">
        <v>332.77236900000003</v>
      </c>
      <c r="X34" s="117">
        <v>269.042732</v>
      </c>
      <c r="Y34" s="117">
        <v>647.20061799999996</v>
      </c>
      <c r="Z34" s="117">
        <v>261.55124699999999</v>
      </c>
      <c r="AA34" s="117">
        <v>423.16113899999999</v>
      </c>
      <c r="AB34" s="117">
        <v>325.04452800000001</v>
      </c>
      <c r="AC34" s="117">
        <v>455.99042600000001</v>
      </c>
      <c r="AD34" s="117">
        <v>302.65365700000001</v>
      </c>
      <c r="AE34" s="117">
        <v>239.86565300000001</v>
      </c>
      <c r="AF34" s="117">
        <v>603.36196800000005</v>
      </c>
      <c r="AG34" s="117">
        <v>245.18119899999999</v>
      </c>
      <c r="AH34" s="117">
        <v>441.25589400000001</v>
      </c>
      <c r="AI34" s="117">
        <v>335.24924800000002</v>
      </c>
      <c r="AJ34" s="117">
        <v>468.21928300000002</v>
      </c>
      <c r="AK34" s="117">
        <v>312.95854500000002</v>
      </c>
      <c r="AL34" s="117">
        <v>255.52877100000001</v>
      </c>
      <c r="AM34" s="117">
        <v>641.62036699999999</v>
      </c>
      <c r="AN34" s="117">
        <v>259.374889</v>
      </c>
      <c r="AO34" s="117">
        <v>420.84991500000001</v>
      </c>
      <c r="AP34" s="117">
        <v>324.44811499999997</v>
      </c>
      <c r="AQ34" s="117">
        <v>452.53641099999999</v>
      </c>
      <c r="AR34" s="117">
        <v>302.69559099999998</v>
      </c>
      <c r="AS34" s="117">
        <v>246.75188900000001</v>
      </c>
      <c r="AT34" s="117">
        <v>610.48051899999996</v>
      </c>
      <c r="AU34" s="117">
        <v>246.66994299999999</v>
      </c>
      <c r="AV34" s="117">
        <v>442.04562499999997</v>
      </c>
      <c r="AW34" s="117">
        <v>337.964473</v>
      </c>
      <c r="AX34" s="117">
        <v>472.58908400000001</v>
      </c>
      <c r="AY34" s="117">
        <v>313.83880699999997</v>
      </c>
      <c r="AZ34" s="117">
        <v>255.32522399999999</v>
      </c>
      <c r="BA34" s="117">
        <v>604.03017499999999</v>
      </c>
      <c r="BB34" s="117">
        <v>245.558818</v>
      </c>
      <c r="BC34" s="117">
        <v>395.64724799999999</v>
      </c>
      <c r="BD34" s="117">
        <v>303.90096399999999</v>
      </c>
      <c r="BE34" s="117">
        <v>422.58864199999999</v>
      </c>
      <c r="BF34" s="117">
        <v>284.77965</v>
      </c>
      <c r="BG34" s="117">
        <v>232.757713</v>
      </c>
      <c r="BH34" s="117">
        <v>571.37625300000002</v>
      </c>
      <c r="BI34" s="117">
        <v>230.69736800000001</v>
      </c>
      <c r="BJ34" s="117">
        <v>413.88318199999998</v>
      </c>
      <c r="BK34" s="117">
        <v>312.86410699999999</v>
      </c>
      <c r="BL34" s="117">
        <v>441.64247699999999</v>
      </c>
      <c r="BM34" s="117">
        <v>292.495833</v>
      </c>
      <c r="BN34" s="117">
        <v>239.320401</v>
      </c>
      <c r="BO34" s="117">
        <v>570.52037299999995</v>
      </c>
      <c r="BP34" s="117">
        <v>231.36997600000001</v>
      </c>
      <c r="BQ34" s="117">
        <v>389.82948699999997</v>
      </c>
      <c r="BR34" s="117">
        <v>291.66998999999998</v>
      </c>
      <c r="BS34" s="117">
        <v>413.34093799999999</v>
      </c>
      <c r="BT34" s="117">
        <v>278.05683499999998</v>
      </c>
      <c r="BU34" s="117">
        <v>230.177256</v>
      </c>
      <c r="BV34" s="117">
        <v>593.090687</v>
      </c>
      <c r="BW34" s="117">
        <v>240.722364</v>
      </c>
      <c r="BX34" s="117">
        <v>409.206772</v>
      </c>
      <c r="BY34" s="117">
        <v>312.76434399999999</v>
      </c>
      <c r="BZ34" s="117">
        <v>436.21983599999999</v>
      </c>
      <c r="CA34" s="117">
        <v>294.05373700000001</v>
      </c>
      <c r="CB34" s="117">
        <v>240.96732399999999</v>
      </c>
      <c r="CC34" s="117">
        <v>569.82399999999996</v>
      </c>
      <c r="CD34" s="117">
        <v>232.033083</v>
      </c>
      <c r="CE34" s="117">
        <v>389.236199</v>
      </c>
      <c r="CF34" s="117">
        <v>300.057051</v>
      </c>
      <c r="CG34" s="117">
        <v>415.368876</v>
      </c>
      <c r="CH34" s="117">
        <v>280.74824000000001</v>
      </c>
      <c r="CI34" s="117">
        <v>229.106154</v>
      </c>
      <c r="CJ34" s="117">
        <v>569.31499299999996</v>
      </c>
      <c r="CK34" s="117">
        <v>231.26676599999999</v>
      </c>
      <c r="CL34" s="117">
        <v>412.74570199999999</v>
      </c>
      <c r="CM34" s="117">
        <v>313.533659</v>
      </c>
      <c r="CN34" s="117">
        <v>438.48618199999999</v>
      </c>
      <c r="CO34" s="117">
        <v>292.628625</v>
      </c>
      <c r="CP34" s="117">
        <v>238.92432400000001</v>
      </c>
      <c r="CQ34" s="117">
        <v>623.25579000000005</v>
      </c>
      <c r="CR34" s="117">
        <v>253.500246</v>
      </c>
      <c r="CS34" s="117">
        <v>412.69900699999999</v>
      </c>
      <c r="CT34" s="117">
        <v>317.92655100000002</v>
      </c>
      <c r="CU34" s="117">
        <v>440.43340899999998</v>
      </c>
      <c r="CV34" s="117">
        <v>297.57021800000001</v>
      </c>
      <c r="CW34" s="117">
        <v>242.92747600000001</v>
      </c>
      <c r="CX34" s="117">
        <v>552.39048700000001</v>
      </c>
      <c r="CY34" s="117">
        <v>224.444095</v>
      </c>
      <c r="CZ34" s="117">
        <v>375.500291</v>
      </c>
      <c r="DA34" s="117">
        <v>290.22028799999998</v>
      </c>
      <c r="DB34" s="117">
        <v>402.04848099999998</v>
      </c>
      <c r="DC34" s="117">
        <v>270.84078</v>
      </c>
      <c r="DD34" s="117">
        <v>220.634041</v>
      </c>
      <c r="DE34" s="117">
        <v>563.27275299999997</v>
      </c>
      <c r="DF34" s="117">
        <v>226.856742</v>
      </c>
      <c r="DG34" s="117">
        <v>381.31276700000001</v>
      </c>
      <c r="DH34" s="117">
        <v>294.32088399999998</v>
      </c>
      <c r="DI34" s="117">
        <v>411.85065500000002</v>
      </c>
      <c r="DJ34" s="117">
        <v>273.94927899999999</v>
      </c>
      <c r="DK34" s="117">
        <v>223.01274100000001</v>
      </c>
      <c r="DL34" s="117">
        <v>606.45201499999996</v>
      </c>
      <c r="DM34" s="117">
        <v>246.80481800000001</v>
      </c>
      <c r="DN34" s="117">
        <v>428.81088799999998</v>
      </c>
      <c r="DO34" s="117">
        <v>328.83272099999999</v>
      </c>
      <c r="DP34" s="117">
        <v>456.768081</v>
      </c>
      <c r="DQ34" s="117">
        <v>305.11763200000001</v>
      </c>
      <c r="DR34" s="117">
        <v>247.96625399999999</v>
      </c>
      <c r="DS34" s="117">
        <v>584.44857100000002</v>
      </c>
      <c r="DT34" s="117">
        <v>236.97304399999999</v>
      </c>
      <c r="DU34" s="117">
        <v>394.90393899999998</v>
      </c>
      <c r="DV34" s="117">
        <v>302.41741400000001</v>
      </c>
      <c r="DW34" s="117">
        <v>421.523889</v>
      </c>
      <c r="DX34" s="117">
        <v>283.89947999999998</v>
      </c>
      <c r="DY34" s="117">
        <v>232.382656</v>
      </c>
      <c r="DZ34" s="117">
        <v>547.77973899999995</v>
      </c>
      <c r="EA34" s="117">
        <v>222.22676300000001</v>
      </c>
      <c r="EB34" s="117">
        <v>378.346926</v>
      </c>
      <c r="EC34" s="117">
        <v>288.49632700000001</v>
      </c>
      <c r="ED34" s="117">
        <v>403.79266899999999</v>
      </c>
      <c r="EE34" s="117">
        <v>271.44522000000001</v>
      </c>
      <c r="EF34" s="117">
        <v>222.61991800000001</v>
      </c>
      <c r="EG34" s="117">
        <v>576.09484599999996</v>
      </c>
      <c r="EH34" s="117">
        <v>234.50230099999999</v>
      </c>
      <c r="EI34" s="117">
        <v>407.69009199999999</v>
      </c>
      <c r="EJ34" s="117">
        <v>312.02124600000002</v>
      </c>
      <c r="EK34" s="117">
        <v>433.99711500000001</v>
      </c>
      <c r="EL34" s="117">
        <v>289.87240300000002</v>
      </c>
      <c r="EM34" s="117">
        <v>235.800982</v>
      </c>
      <c r="EN34" s="117">
        <v>560.08332399999995</v>
      </c>
      <c r="EO34" s="117">
        <v>227.95701299999999</v>
      </c>
      <c r="EP34" s="117">
        <v>381.40134399999999</v>
      </c>
      <c r="EQ34" s="117">
        <v>290.98522500000001</v>
      </c>
      <c r="ER34" s="117">
        <v>404.87888299999997</v>
      </c>
      <c r="ES34" s="117">
        <v>274.25992300000001</v>
      </c>
      <c r="ET34" s="117">
        <v>225.05128099999999</v>
      </c>
      <c r="EU34" s="117">
        <v>586.38950699999998</v>
      </c>
      <c r="EV34" s="117">
        <v>237.87022400000001</v>
      </c>
      <c r="EW34" s="117">
        <v>402.61379399999998</v>
      </c>
      <c r="EX34" s="117">
        <v>308.50745999999998</v>
      </c>
      <c r="EY34" s="117">
        <v>430.39891699999998</v>
      </c>
      <c r="EZ34" s="117">
        <v>289.36416800000001</v>
      </c>
      <c r="FA34" s="117">
        <v>236.74341200000001</v>
      </c>
      <c r="FB34" s="117">
        <v>585.32689000000005</v>
      </c>
      <c r="FC34" s="117">
        <v>238.64432300000001</v>
      </c>
      <c r="FD34" s="117">
        <v>427.04214899999999</v>
      </c>
      <c r="FE34" s="117">
        <v>325.557005</v>
      </c>
      <c r="FF34" s="117">
        <v>452.26751300000001</v>
      </c>
      <c r="FG34" s="117">
        <v>303.46848199999999</v>
      </c>
      <c r="FH34" s="117">
        <v>247.39012099999999</v>
      </c>
      <c r="FI34" s="117">
        <v>596.78324099999998</v>
      </c>
      <c r="FJ34" s="117">
        <v>242.27379099999999</v>
      </c>
      <c r="FK34" s="117">
        <v>393.04838999999998</v>
      </c>
      <c r="FL34" s="117">
        <v>302.48570100000001</v>
      </c>
      <c r="FM34" s="117">
        <v>420.45975900000002</v>
      </c>
      <c r="FN34" s="117">
        <v>283.00837300000001</v>
      </c>
      <c r="FO34" s="117">
        <v>231.04940199999999</v>
      </c>
      <c r="FP34" s="117">
        <v>592.02650900000003</v>
      </c>
      <c r="FQ34" s="117">
        <v>240.747522</v>
      </c>
      <c r="FR34" s="117">
        <v>408.39047499999998</v>
      </c>
      <c r="FS34" s="117">
        <v>312.19098500000001</v>
      </c>
      <c r="FT34" s="117">
        <v>435.06979100000001</v>
      </c>
      <c r="FU34" s="117">
        <v>293.561195</v>
      </c>
      <c r="FV34" s="117">
        <v>240.56807599999999</v>
      </c>
      <c r="FW34" s="117">
        <v>559.31897600000002</v>
      </c>
      <c r="FX34" s="117">
        <v>228.124887</v>
      </c>
      <c r="FY34" s="117">
        <v>406.46840500000002</v>
      </c>
      <c r="FZ34" s="117">
        <v>311.38919600000003</v>
      </c>
      <c r="GA34" s="117">
        <v>431.032309</v>
      </c>
      <c r="GB34" s="117">
        <v>289.38238100000001</v>
      </c>
      <c r="GC34" s="117">
        <v>235.301861</v>
      </c>
      <c r="GD34" s="117">
        <v>555.90121399999998</v>
      </c>
      <c r="GE34" s="117">
        <v>226.758636</v>
      </c>
      <c r="GF34" s="117">
        <v>369.512294</v>
      </c>
      <c r="GG34" s="117">
        <v>281.75490300000001</v>
      </c>
      <c r="GH34" s="117">
        <v>392.089629</v>
      </c>
      <c r="GI34" s="117">
        <v>265.67894200000001</v>
      </c>
      <c r="GJ34" s="117">
        <v>218.07039900000001</v>
      </c>
      <c r="GK34" s="117">
        <v>490.118854</v>
      </c>
      <c r="GL34" s="117">
        <v>198.956142</v>
      </c>
      <c r="GM34" s="117">
        <v>339.56427600000001</v>
      </c>
      <c r="GN34" s="117">
        <v>258.27281399999998</v>
      </c>
      <c r="GO34" s="117">
        <v>361.97720099999998</v>
      </c>
      <c r="GP34" s="117">
        <v>243.42596800000001</v>
      </c>
      <c r="GQ34" s="117">
        <v>199.87370799999999</v>
      </c>
      <c r="GR34" s="117">
        <v>605.07454499999994</v>
      </c>
      <c r="GS34" s="117">
        <v>247.749807</v>
      </c>
      <c r="GT34" s="117">
        <v>428.44573500000001</v>
      </c>
      <c r="GU34" s="117">
        <v>326.15497399999998</v>
      </c>
      <c r="GV34" s="117">
        <v>452.924643</v>
      </c>
      <c r="GW34" s="117">
        <v>304.41216200000002</v>
      </c>
      <c r="GX34" s="117">
        <v>248.436025</v>
      </c>
      <c r="GY34" s="117">
        <v>658.02271599999995</v>
      </c>
      <c r="GZ34" s="117">
        <v>266.51690100000002</v>
      </c>
      <c r="HA34" s="117">
        <v>448.96755400000001</v>
      </c>
      <c r="HB34" s="117">
        <v>344.564009</v>
      </c>
      <c r="HC34" s="117">
        <v>479.47209800000002</v>
      </c>
      <c r="HD34" s="117">
        <v>323.05162000000001</v>
      </c>
      <c r="HE34" s="117">
        <v>264.19023600000003</v>
      </c>
      <c r="HF34" s="117">
        <v>575.59453099999996</v>
      </c>
    </row>
    <row r="35" spans="6:214" x14ac:dyDescent="0.25">
      <c r="F35" s="116" t="str">
        <f xml:space="preserve"> _xll.EPMOlapMemberO("[PRDDESCR].[].[WONDER GFREE WHITE 470G]","","WONDER GFREE WHITE 470G","","000")</f>
        <v>WONDER GFREE WHITE 470G</v>
      </c>
      <c r="G35" s="116" t="str">
        <f xml:space="preserve"> _xll.EPMOlapMemberO("[PRDID].[].[179649]","","179649","","000")</f>
        <v>179649</v>
      </c>
      <c r="H35" s="116" t="str">
        <f xml:space="preserve"> _xll.EPMOlapMemberO("[LOCID].[].[6105]","","6105","","000")</f>
        <v>6105</v>
      </c>
      <c r="I35" s="116" t="str">
        <f xml:space="preserve"> _xll.EPMOlapMemberO("[LOCDESCR].[].[QBA-Rydalmere]","","QBA-Rydalmere","","000")</f>
        <v>QBA-Rydalmere</v>
      </c>
      <c r="J35" s="116" t="str">
        <f xml:space="preserve"> _xll.EPMOlapMemberO("[KEY_FIGURES].[].[ZGFAPPROVEDFCSTQTY]","","Approved Forecast","","000")</f>
        <v>Approved Forecast</v>
      </c>
      <c r="K35" s="117">
        <v>331.59173800000002</v>
      </c>
      <c r="L35" s="117">
        <v>265.623718</v>
      </c>
      <c r="M35" s="117">
        <v>203.90989099999999</v>
      </c>
      <c r="N35" s="117">
        <v>238.883331</v>
      </c>
      <c r="O35" s="117">
        <v>176.098343</v>
      </c>
      <c r="P35" s="117">
        <v>261.05268799999999</v>
      </c>
      <c r="Q35" s="117">
        <v>175.650678</v>
      </c>
      <c r="R35" s="117">
        <v>330.64518700000002</v>
      </c>
      <c r="S35" s="117">
        <v>293.26513999999997</v>
      </c>
      <c r="T35" s="117">
        <v>218.75471200000001</v>
      </c>
      <c r="U35" s="117">
        <v>248.802772</v>
      </c>
      <c r="V35" s="117">
        <v>192.22663499999999</v>
      </c>
      <c r="W35" s="117">
        <v>274.87312300000002</v>
      </c>
      <c r="X35" s="117">
        <v>187.06833</v>
      </c>
      <c r="Y35" s="117">
        <v>371.49210599999998</v>
      </c>
      <c r="Z35" s="117">
        <v>278.83408900000001</v>
      </c>
      <c r="AA35" s="117">
        <v>212.64393999999999</v>
      </c>
      <c r="AB35" s="117">
        <v>248.025621</v>
      </c>
      <c r="AC35" s="117">
        <v>194.90276399999999</v>
      </c>
      <c r="AD35" s="117">
        <v>280.217128</v>
      </c>
      <c r="AE35" s="117">
        <v>182.129186</v>
      </c>
      <c r="AF35" s="117">
        <v>334.54281900000001</v>
      </c>
      <c r="AG35" s="117">
        <v>252.38799700000001</v>
      </c>
      <c r="AH35" s="117">
        <v>209.49327600000001</v>
      </c>
      <c r="AI35" s="117">
        <v>238.813729</v>
      </c>
      <c r="AJ35" s="117">
        <v>191.61410000000001</v>
      </c>
      <c r="AK35" s="117">
        <v>271.74104</v>
      </c>
      <c r="AL35" s="117">
        <v>181.925861</v>
      </c>
      <c r="AM35" s="117">
        <v>304.079385</v>
      </c>
      <c r="AN35" s="117">
        <v>233.78377599999999</v>
      </c>
      <c r="AO35" s="117">
        <v>176.011032</v>
      </c>
      <c r="AP35" s="117">
        <v>200.21858</v>
      </c>
      <c r="AQ35" s="117">
        <v>161.51373000000001</v>
      </c>
      <c r="AR35" s="117">
        <v>231.70665199999999</v>
      </c>
      <c r="AS35" s="117">
        <v>150.00361100000001</v>
      </c>
      <c r="AT35" s="117">
        <v>333.36709300000001</v>
      </c>
      <c r="AU35" s="117">
        <v>246.96887699999999</v>
      </c>
      <c r="AV35" s="117">
        <v>213.37280100000001</v>
      </c>
      <c r="AW35" s="117">
        <v>239.96497099999999</v>
      </c>
      <c r="AX35" s="117">
        <v>194.30439899999999</v>
      </c>
      <c r="AY35" s="117">
        <v>273.22911599999998</v>
      </c>
      <c r="AZ35" s="117">
        <v>180.72295800000001</v>
      </c>
      <c r="BA35" s="117">
        <v>281.31202000000002</v>
      </c>
      <c r="BB35" s="117">
        <v>220.22896600000001</v>
      </c>
      <c r="BC35" s="117">
        <v>156.69163599999999</v>
      </c>
      <c r="BD35" s="117">
        <v>182.60760500000001</v>
      </c>
      <c r="BE35" s="117">
        <v>147.09583000000001</v>
      </c>
      <c r="BF35" s="117">
        <v>210.97827899999999</v>
      </c>
      <c r="BG35" s="117">
        <v>136.9932</v>
      </c>
      <c r="BH35" s="117">
        <v>349.62943000000001</v>
      </c>
      <c r="BI35" s="117">
        <v>260.68682100000001</v>
      </c>
      <c r="BJ35" s="117">
        <v>221.82962499999999</v>
      </c>
      <c r="BK35" s="117">
        <v>249.11912000000001</v>
      </c>
      <c r="BL35" s="117">
        <v>200.24472800000001</v>
      </c>
      <c r="BM35" s="117">
        <v>284.96716500000002</v>
      </c>
      <c r="BN35" s="117">
        <v>189.15519599999999</v>
      </c>
      <c r="BO35" s="117">
        <v>275.91921600000001</v>
      </c>
      <c r="BP35" s="117">
        <v>204.27540500000001</v>
      </c>
      <c r="BQ35" s="117">
        <v>166.32658699999999</v>
      </c>
      <c r="BR35" s="117">
        <v>187.76501099999999</v>
      </c>
      <c r="BS35" s="117">
        <v>149.80005700000001</v>
      </c>
      <c r="BT35" s="117">
        <v>207.43379999999999</v>
      </c>
      <c r="BU35" s="117">
        <v>141.50252900000001</v>
      </c>
      <c r="BV35" s="117">
        <v>328.51291700000002</v>
      </c>
      <c r="BW35" s="117">
        <v>246.24287799999999</v>
      </c>
      <c r="BX35" s="117">
        <v>198.00256099999999</v>
      </c>
      <c r="BY35" s="117">
        <v>223.338368</v>
      </c>
      <c r="BZ35" s="117">
        <v>181.62803099999999</v>
      </c>
      <c r="CA35" s="117">
        <v>253.63082299999999</v>
      </c>
      <c r="CB35" s="117">
        <v>171.88405</v>
      </c>
      <c r="CC35" s="117">
        <v>295.01369599999998</v>
      </c>
      <c r="CD35" s="117">
        <v>221.74394100000001</v>
      </c>
      <c r="CE35" s="117">
        <v>181.26440199999999</v>
      </c>
      <c r="CF35" s="117">
        <v>204.63831200000001</v>
      </c>
      <c r="CG35" s="117">
        <v>164.27717000000001</v>
      </c>
      <c r="CH35" s="117">
        <v>232.40714700000001</v>
      </c>
      <c r="CI35" s="117">
        <v>154.598341</v>
      </c>
      <c r="CJ35" s="117">
        <v>312.62640299999998</v>
      </c>
      <c r="CK35" s="117">
        <v>228.104905</v>
      </c>
      <c r="CL35" s="117">
        <v>200.10762399999999</v>
      </c>
      <c r="CM35" s="117">
        <v>223.995949</v>
      </c>
      <c r="CN35" s="117">
        <v>180.55625900000001</v>
      </c>
      <c r="CO35" s="117">
        <v>252.85327100000001</v>
      </c>
      <c r="CP35" s="117">
        <v>169.81019599999999</v>
      </c>
      <c r="CQ35" s="117">
        <v>289.43293399999999</v>
      </c>
      <c r="CR35" s="117">
        <v>215.576571</v>
      </c>
      <c r="CS35" s="117">
        <v>170.97025300000001</v>
      </c>
      <c r="CT35" s="117">
        <v>193.279516</v>
      </c>
      <c r="CU35" s="117">
        <v>154.637685</v>
      </c>
      <c r="CV35" s="117">
        <v>215.73396500000001</v>
      </c>
      <c r="CW35" s="117">
        <v>147.74676099999999</v>
      </c>
      <c r="CX35" s="117">
        <v>265.60663499999998</v>
      </c>
      <c r="CY35" s="117">
        <v>193.80867599999999</v>
      </c>
      <c r="CZ35" s="117">
        <v>164.43878699999999</v>
      </c>
      <c r="DA35" s="117">
        <v>182.099537</v>
      </c>
      <c r="DB35" s="117">
        <v>147.92773099999999</v>
      </c>
      <c r="DC35" s="117">
        <v>205.710533</v>
      </c>
      <c r="DD35" s="117">
        <v>140.33703299999999</v>
      </c>
      <c r="DE35" s="117">
        <v>259.73047700000001</v>
      </c>
      <c r="DF35" s="117">
        <v>193.36537000000001</v>
      </c>
      <c r="DG35" s="117">
        <v>158.65880300000001</v>
      </c>
      <c r="DH35" s="117">
        <v>179.31128799999999</v>
      </c>
      <c r="DI35" s="117">
        <v>145.131201</v>
      </c>
      <c r="DJ35" s="117">
        <v>203.37273400000001</v>
      </c>
      <c r="DK35" s="117">
        <v>134.44823500000001</v>
      </c>
      <c r="DL35" s="117">
        <v>294.66972199999998</v>
      </c>
      <c r="DM35" s="117">
        <v>218.363314</v>
      </c>
      <c r="DN35" s="117">
        <v>183.46024</v>
      </c>
      <c r="DO35" s="117">
        <v>207.923723</v>
      </c>
      <c r="DP35" s="117">
        <v>166.16805600000001</v>
      </c>
      <c r="DQ35" s="117">
        <v>234.006485</v>
      </c>
      <c r="DR35" s="117">
        <v>158.85459800000001</v>
      </c>
      <c r="DS35" s="117">
        <v>293.38387599999999</v>
      </c>
      <c r="DT35" s="117">
        <v>219.137032</v>
      </c>
      <c r="DU35" s="117">
        <v>177.37870799999999</v>
      </c>
      <c r="DV35" s="117">
        <v>199.08134200000001</v>
      </c>
      <c r="DW35" s="117">
        <v>159.76605799999999</v>
      </c>
      <c r="DX35" s="117">
        <v>224.62754899999999</v>
      </c>
      <c r="DY35" s="117">
        <v>151.35466700000001</v>
      </c>
      <c r="DZ35" s="117">
        <v>249.055847</v>
      </c>
      <c r="EA35" s="117">
        <v>181.24257399999999</v>
      </c>
      <c r="EB35" s="117">
        <v>154.33686900000001</v>
      </c>
      <c r="EC35" s="117">
        <v>171.61280600000001</v>
      </c>
      <c r="ED35" s="117">
        <v>139.673958</v>
      </c>
      <c r="EE35" s="117">
        <v>191.98192499999999</v>
      </c>
      <c r="EF35" s="117">
        <v>131.05893900000001</v>
      </c>
      <c r="EG35" s="117">
        <v>278.09354300000001</v>
      </c>
      <c r="EH35" s="117">
        <v>208.48506599999999</v>
      </c>
      <c r="EI35" s="117">
        <v>172.43121199999999</v>
      </c>
      <c r="EJ35" s="117">
        <v>197.89277300000001</v>
      </c>
      <c r="EK35" s="117">
        <v>156.37154100000001</v>
      </c>
      <c r="EL35" s="117">
        <v>222.72595999999999</v>
      </c>
      <c r="EM35" s="117">
        <v>149.36381800000001</v>
      </c>
      <c r="EN35" s="117">
        <v>309.88605100000001</v>
      </c>
      <c r="EO35" s="117">
        <v>230.45757699999999</v>
      </c>
      <c r="EP35" s="117">
        <v>187.24538200000001</v>
      </c>
      <c r="EQ35" s="117">
        <v>208.145928</v>
      </c>
      <c r="ER35" s="117">
        <v>169.131077</v>
      </c>
      <c r="ES35" s="117">
        <v>235.953203</v>
      </c>
      <c r="ET35" s="117">
        <v>159.737359</v>
      </c>
      <c r="EU35" s="117">
        <v>314.14293300000003</v>
      </c>
      <c r="EV35" s="117">
        <v>233.24823599999999</v>
      </c>
      <c r="EW35" s="117">
        <v>192.369168</v>
      </c>
      <c r="EX35" s="117">
        <v>216.725424</v>
      </c>
      <c r="EY35" s="117">
        <v>175.63864100000001</v>
      </c>
      <c r="EZ35" s="117">
        <v>246.022569</v>
      </c>
      <c r="FA35" s="117">
        <v>163.05626699999999</v>
      </c>
      <c r="FB35" s="117">
        <v>282.57684999999998</v>
      </c>
      <c r="FC35" s="117">
        <v>211.682886</v>
      </c>
      <c r="FD35" s="117">
        <v>177.238832</v>
      </c>
      <c r="FE35" s="117">
        <v>201.72016500000001</v>
      </c>
      <c r="FF35" s="117">
        <v>161.77130600000001</v>
      </c>
      <c r="FG35" s="117">
        <v>229.861176</v>
      </c>
      <c r="FH35" s="117">
        <v>153.85231099999999</v>
      </c>
      <c r="FI35" s="117">
        <v>309.91537299999999</v>
      </c>
      <c r="FJ35" s="117">
        <v>231.96354099999999</v>
      </c>
      <c r="FK35" s="117">
        <v>182.648268</v>
      </c>
      <c r="FL35" s="117">
        <v>205.28365700000001</v>
      </c>
      <c r="FM35" s="117">
        <v>165.00285199999999</v>
      </c>
      <c r="FN35" s="117">
        <v>232.833889</v>
      </c>
      <c r="FO35" s="117">
        <v>155.822093</v>
      </c>
      <c r="FP35" s="117">
        <v>281.06660299999999</v>
      </c>
      <c r="FQ35" s="117">
        <v>206.35916900000001</v>
      </c>
      <c r="FR35" s="117">
        <v>172.136312</v>
      </c>
      <c r="FS35" s="117">
        <v>191.80724900000001</v>
      </c>
      <c r="FT35" s="117">
        <v>157.12741500000001</v>
      </c>
      <c r="FU35" s="117">
        <v>217.620959</v>
      </c>
      <c r="FV35" s="117">
        <v>145.923226</v>
      </c>
      <c r="FW35" s="117">
        <v>288.11154399999998</v>
      </c>
      <c r="FX35" s="117">
        <v>217.781679</v>
      </c>
      <c r="FY35" s="117">
        <v>181.713482</v>
      </c>
      <c r="FZ35" s="117">
        <v>208.871408</v>
      </c>
      <c r="GA35" s="117">
        <v>165.50301899999999</v>
      </c>
      <c r="GB35" s="117">
        <v>236.78779700000001</v>
      </c>
      <c r="GC35" s="117">
        <v>157.61112399999999</v>
      </c>
      <c r="GD35" s="117">
        <v>279.765692</v>
      </c>
      <c r="GE35" s="117">
        <v>206.11663200000001</v>
      </c>
      <c r="GF35" s="117">
        <v>164.082066</v>
      </c>
      <c r="GG35" s="117">
        <v>181.94920200000001</v>
      </c>
      <c r="GH35" s="117">
        <v>147.97793999999999</v>
      </c>
      <c r="GI35" s="117">
        <v>206.42052000000001</v>
      </c>
      <c r="GJ35" s="117">
        <v>140.01210599999999</v>
      </c>
      <c r="GK35" s="117">
        <v>277.50737700000002</v>
      </c>
      <c r="GL35" s="117">
        <v>204.15024399999999</v>
      </c>
      <c r="GM35" s="117">
        <v>171.62968599999999</v>
      </c>
      <c r="GN35" s="117">
        <v>192.83104</v>
      </c>
      <c r="GO35" s="117">
        <v>155.484081</v>
      </c>
      <c r="GP35" s="117">
        <v>216.46127799999999</v>
      </c>
      <c r="GQ35" s="117">
        <v>145.70807500000001</v>
      </c>
      <c r="GR35" s="117">
        <v>302.53527400000002</v>
      </c>
      <c r="GS35" s="117">
        <v>223.33187899999999</v>
      </c>
      <c r="GT35" s="117">
        <v>186.31536800000001</v>
      </c>
      <c r="GU35" s="117">
        <v>210.92459600000001</v>
      </c>
      <c r="GV35" s="117">
        <v>168.49476999999999</v>
      </c>
      <c r="GW35" s="117">
        <v>236.94876099999999</v>
      </c>
      <c r="GX35" s="117">
        <v>161.265377</v>
      </c>
      <c r="GY35" s="117">
        <v>313.34236900000002</v>
      </c>
      <c r="GZ35" s="117">
        <v>236.15565900000001</v>
      </c>
      <c r="HA35" s="117">
        <v>191.111907</v>
      </c>
      <c r="HB35" s="117">
        <v>214.99521899999999</v>
      </c>
      <c r="HC35" s="117">
        <v>172.82755900000001</v>
      </c>
      <c r="HD35" s="117">
        <v>244.147347</v>
      </c>
      <c r="HE35" s="117">
        <v>163.02651399999999</v>
      </c>
      <c r="HF35" s="117">
        <v>270.15031800000003</v>
      </c>
    </row>
    <row r="36" spans="6:214" x14ac:dyDescent="0.25">
      <c r="F36" s="116" t="str">
        <f xml:space="preserve"> _xll.EPMOlapMemberO("[PRDDESCR].[].[WONDER GFREE WHITE 470G]","","WONDER GFREE WHITE 470G","","000")</f>
        <v>WONDER GFREE WHITE 470G</v>
      </c>
      <c r="G36" s="116" t="str">
        <f xml:space="preserve"> _xll.EPMOlapMemberO("[PRDID].[].[179649]","","179649","","000")</f>
        <v>179649</v>
      </c>
      <c r="H36" s="116" t="str">
        <f xml:space="preserve"> _xll.EPMOlapMemberO("[LOCID].[].[6110]","","6110","","000")</f>
        <v>6110</v>
      </c>
      <c r="I36" s="116" t="str">
        <f xml:space="preserve"> _xll.EPMOlapMemberO("[LOCDESCR].[].[QBA-Burleigh Heads]","","QBA-Burleigh Heads","","000")</f>
        <v>QBA-Burleigh Heads</v>
      </c>
      <c r="J36" s="116" t="str">
        <f xml:space="preserve"> _xll.EPMOlapMemberO("[KEY_FIGURES].[].[ZGFAPPROVEDFCSTQTY]","","Approved Forecast","","000")</f>
        <v>Approved Forecast</v>
      </c>
      <c r="K36" s="117">
        <v>1.77396</v>
      </c>
      <c r="L36" s="117">
        <v>1034.8780650000001</v>
      </c>
      <c r="M36" s="117">
        <v>402.37834199999998</v>
      </c>
      <c r="N36" s="117">
        <v>722.94513500000005</v>
      </c>
      <c r="O36" s="117">
        <v>392.94199200000003</v>
      </c>
      <c r="P36" s="117">
        <v>825.39752399999998</v>
      </c>
      <c r="Q36" s="117">
        <v>550.36966800000005</v>
      </c>
      <c r="R36" s="117">
        <v>1.8416170000000001</v>
      </c>
      <c r="S36" s="117">
        <v>1104.4187999999999</v>
      </c>
      <c r="T36" s="117">
        <v>442.28480100000002</v>
      </c>
      <c r="U36" s="117">
        <v>784.61945800000001</v>
      </c>
      <c r="V36" s="117">
        <v>434.28559100000001</v>
      </c>
      <c r="W36" s="117">
        <v>904.45128899999997</v>
      </c>
      <c r="X36" s="117">
        <v>586.90373499999998</v>
      </c>
      <c r="Y36" s="117">
        <v>1.665443</v>
      </c>
      <c r="Z36" s="117">
        <v>1096.586284</v>
      </c>
      <c r="AA36" s="117">
        <v>427.938244</v>
      </c>
      <c r="AB36" s="117">
        <v>754.88713299999995</v>
      </c>
      <c r="AC36" s="117">
        <v>432.89247999999998</v>
      </c>
      <c r="AD36" s="117">
        <v>869.730862</v>
      </c>
      <c r="AE36" s="117">
        <v>568.13298899999995</v>
      </c>
      <c r="AF36" s="117">
        <v>1.524902</v>
      </c>
      <c r="AG36" s="117">
        <v>986.78560800000002</v>
      </c>
      <c r="AH36" s="117">
        <v>403.16720400000003</v>
      </c>
      <c r="AI36" s="117">
        <v>707.71806800000002</v>
      </c>
      <c r="AJ36" s="117">
        <v>409.03025200000002</v>
      </c>
      <c r="AK36" s="117">
        <v>813.85415499999999</v>
      </c>
      <c r="AL36" s="117">
        <v>528.79239500000006</v>
      </c>
      <c r="AM36" s="117">
        <v>1.6258140000000001</v>
      </c>
      <c r="AN36" s="117">
        <v>1120.4299719999999</v>
      </c>
      <c r="AO36" s="117">
        <v>434.37871699999999</v>
      </c>
      <c r="AP36" s="117">
        <v>756.97535700000003</v>
      </c>
      <c r="AQ36" s="117">
        <v>438.374908</v>
      </c>
      <c r="AR36" s="117">
        <v>882.47779800000001</v>
      </c>
      <c r="AS36" s="117">
        <v>576.64502000000005</v>
      </c>
      <c r="AT36" s="117">
        <v>1.7319420000000001</v>
      </c>
      <c r="AU36" s="117">
        <v>1076.5102420000001</v>
      </c>
      <c r="AV36" s="117">
        <v>439.967782</v>
      </c>
      <c r="AW36" s="117">
        <v>777.263373</v>
      </c>
      <c r="AX36" s="117">
        <v>443.25963200000001</v>
      </c>
      <c r="AY36" s="117">
        <v>896.08425899999997</v>
      </c>
      <c r="AZ36" s="117">
        <v>588.60314700000004</v>
      </c>
      <c r="BA36" s="117">
        <v>1.772516</v>
      </c>
      <c r="BB36" s="117">
        <v>1203.2679619999999</v>
      </c>
      <c r="BC36" s="117">
        <v>464.91594199999997</v>
      </c>
      <c r="BD36" s="117">
        <v>807.48777800000005</v>
      </c>
      <c r="BE36" s="117">
        <v>471.950942</v>
      </c>
      <c r="BF36" s="117">
        <v>941.38126599999998</v>
      </c>
      <c r="BG36" s="117">
        <v>604.84645699999999</v>
      </c>
      <c r="BH36" s="117">
        <v>1.719061</v>
      </c>
      <c r="BI36" s="117">
        <v>1080.26863</v>
      </c>
      <c r="BJ36" s="117">
        <v>437.33981799999998</v>
      </c>
      <c r="BK36" s="117">
        <v>770.04169999999999</v>
      </c>
      <c r="BL36" s="117">
        <v>442.33876600000002</v>
      </c>
      <c r="BM36" s="117">
        <v>887.78235600000005</v>
      </c>
      <c r="BN36" s="117">
        <v>577.51331800000003</v>
      </c>
      <c r="BO36" s="117">
        <v>1.7285820000000001</v>
      </c>
      <c r="BP36" s="117">
        <v>1100.367111</v>
      </c>
      <c r="BQ36" s="117">
        <v>424.46953200000002</v>
      </c>
      <c r="BR36" s="117">
        <v>748.68382199999996</v>
      </c>
      <c r="BS36" s="117">
        <v>422.642989</v>
      </c>
      <c r="BT36" s="117">
        <v>875.693353</v>
      </c>
      <c r="BU36" s="117">
        <v>579.82676100000003</v>
      </c>
      <c r="BV36" s="117">
        <v>1.4398770000000001</v>
      </c>
      <c r="BW36" s="117">
        <v>958.37595899999997</v>
      </c>
      <c r="BX36" s="117">
        <v>384.52422100000001</v>
      </c>
      <c r="BY36" s="117">
        <v>668.72357899999997</v>
      </c>
      <c r="BZ36" s="117">
        <v>388.61839400000002</v>
      </c>
      <c r="CA36" s="117">
        <v>779.00943199999995</v>
      </c>
      <c r="CB36" s="117">
        <v>508.03990199999998</v>
      </c>
      <c r="CC36" s="117">
        <v>1.6757230000000001</v>
      </c>
      <c r="CD36" s="117">
        <v>1106.997834</v>
      </c>
      <c r="CE36" s="117">
        <v>441.392853</v>
      </c>
      <c r="CF36" s="117">
        <v>769.23521200000005</v>
      </c>
      <c r="CG36" s="117">
        <v>445.71868000000001</v>
      </c>
      <c r="CH36" s="117">
        <v>897.17964700000005</v>
      </c>
      <c r="CI36" s="117">
        <v>584.134727</v>
      </c>
      <c r="CJ36" s="117">
        <v>1.4363220000000001</v>
      </c>
      <c r="CK36" s="117">
        <v>967.37317900000005</v>
      </c>
      <c r="CL36" s="117">
        <v>395.26945499999999</v>
      </c>
      <c r="CM36" s="117">
        <v>691.994551</v>
      </c>
      <c r="CN36" s="117">
        <v>402.18750599999998</v>
      </c>
      <c r="CO36" s="117">
        <v>793.71638299999995</v>
      </c>
      <c r="CP36" s="117">
        <v>515.475819</v>
      </c>
      <c r="CQ36" s="117">
        <v>1.7253480000000001</v>
      </c>
      <c r="CR36" s="117">
        <v>1144.1595030000001</v>
      </c>
      <c r="CS36" s="117">
        <v>445.27292299999999</v>
      </c>
      <c r="CT36" s="117">
        <v>776.23042799999996</v>
      </c>
      <c r="CU36" s="117">
        <v>449.83790399999998</v>
      </c>
      <c r="CV36" s="117">
        <v>905.98302899999999</v>
      </c>
      <c r="CW36" s="117">
        <v>587.28592400000002</v>
      </c>
      <c r="CX36" s="117">
        <v>1.7211399999999999</v>
      </c>
      <c r="CY36" s="117">
        <v>1076.3666479999999</v>
      </c>
      <c r="CZ36" s="117">
        <v>426.87918000000002</v>
      </c>
      <c r="DA36" s="117">
        <v>748.98823400000003</v>
      </c>
      <c r="DB36" s="117">
        <v>427.89137099999999</v>
      </c>
      <c r="DC36" s="117">
        <v>876.27547200000004</v>
      </c>
      <c r="DD36" s="117">
        <v>574.74867900000004</v>
      </c>
      <c r="DE36" s="117">
        <v>1.666479</v>
      </c>
      <c r="DF36" s="117">
        <v>1016.427267</v>
      </c>
      <c r="DG36" s="117">
        <v>401.85264899999999</v>
      </c>
      <c r="DH36" s="117">
        <v>705.15907400000003</v>
      </c>
      <c r="DI36" s="117">
        <v>403.05170399999997</v>
      </c>
      <c r="DJ36" s="117">
        <v>825.84239300000002</v>
      </c>
      <c r="DK36" s="117">
        <v>538.01484300000004</v>
      </c>
      <c r="DL36" s="117">
        <v>1.740405</v>
      </c>
      <c r="DM36" s="117">
        <v>1148.1063260000001</v>
      </c>
      <c r="DN36" s="117">
        <v>464.12086199999999</v>
      </c>
      <c r="DO36" s="117">
        <v>818.04567199999997</v>
      </c>
      <c r="DP36" s="117">
        <v>468.8947</v>
      </c>
      <c r="DQ36" s="117">
        <v>940.03192100000001</v>
      </c>
      <c r="DR36" s="117">
        <v>618.84660599999995</v>
      </c>
      <c r="DS36" s="117">
        <v>1.6211329999999999</v>
      </c>
      <c r="DT36" s="117">
        <v>1037.501395</v>
      </c>
      <c r="DU36" s="117">
        <v>406.26702999999998</v>
      </c>
      <c r="DV36" s="117">
        <v>712.84177499999998</v>
      </c>
      <c r="DW36" s="117">
        <v>406.89663400000001</v>
      </c>
      <c r="DX36" s="117">
        <v>833.720281</v>
      </c>
      <c r="DY36" s="117">
        <v>548.65477599999997</v>
      </c>
      <c r="DZ36" s="117">
        <v>1.636954</v>
      </c>
      <c r="EA36" s="117">
        <v>993.55264</v>
      </c>
      <c r="EB36" s="117">
        <v>392.77050600000001</v>
      </c>
      <c r="EC36" s="117">
        <v>691.67744800000003</v>
      </c>
      <c r="ED36" s="117">
        <v>391.953169</v>
      </c>
      <c r="EE36" s="117">
        <v>810.657557</v>
      </c>
      <c r="EF36" s="117">
        <v>533.87859800000001</v>
      </c>
      <c r="EG36" s="117">
        <v>1.6693370000000001</v>
      </c>
      <c r="EH36" s="117">
        <v>1105.475189</v>
      </c>
      <c r="EI36" s="117">
        <v>445.36642000000001</v>
      </c>
      <c r="EJ36" s="117">
        <v>783.29616999999996</v>
      </c>
      <c r="EK36" s="117">
        <v>450.99640399999998</v>
      </c>
      <c r="EL36" s="117">
        <v>900.14643000000001</v>
      </c>
      <c r="EM36" s="117">
        <v>588.97344299999997</v>
      </c>
      <c r="EN36" s="117">
        <v>1.614476</v>
      </c>
      <c r="EO36" s="117">
        <v>990.20649200000003</v>
      </c>
      <c r="EP36" s="117">
        <v>386.841024</v>
      </c>
      <c r="EQ36" s="117">
        <v>678.920614</v>
      </c>
      <c r="ER36" s="117">
        <v>387.90868499999999</v>
      </c>
      <c r="ES36" s="117">
        <v>795.32780600000001</v>
      </c>
      <c r="ET36" s="117">
        <v>517.67196100000001</v>
      </c>
      <c r="EU36" s="117">
        <v>1.6466609999999999</v>
      </c>
      <c r="EV36" s="117">
        <v>1012.287333</v>
      </c>
      <c r="EW36" s="117">
        <v>400.64039400000001</v>
      </c>
      <c r="EX36" s="117">
        <v>703.49787700000002</v>
      </c>
      <c r="EY36" s="117">
        <v>401.29127399999999</v>
      </c>
      <c r="EZ36" s="117">
        <v>823.72821599999997</v>
      </c>
      <c r="FA36" s="117">
        <v>539.19374700000003</v>
      </c>
      <c r="FB36" s="117">
        <v>1.547185</v>
      </c>
      <c r="FC36" s="117">
        <v>920.13911700000006</v>
      </c>
      <c r="FD36" s="117">
        <v>373.50358399999999</v>
      </c>
      <c r="FE36" s="117">
        <v>668.770577</v>
      </c>
      <c r="FF36" s="117">
        <v>369.749281</v>
      </c>
      <c r="FG36" s="117">
        <v>773.41940399999999</v>
      </c>
      <c r="FH36" s="117">
        <v>524.037508</v>
      </c>
      <c r="FI36" s="117">
        <v>1.7397579999999999</v>
      </c>
      <c r="FJ36" s="117">
        <v>1070.1583459999999</v>
      </c>
      <c r="FK36" s="117">
        <v>412.41643900000003</v>
      </c>
      <c r="FL36" s="117">
        <v>726.83961499999998</v>
      </c>
      <c r="FM36" s="117">
        <v>411.46138200000001</v>
      </c>
      <c r="FN36" s="117">
        <v>852.31026699999995</v>
      </c>
      <c r="FO36" s="117">
        <v>560.63048600000002</v>
      </c>
      <c r="FP36" s="117">
        <v>1.621275</v>
      </c>
      <c r="FQ36" s="117">
        <v>992.64611500000001</v>
      </c>
      <c r="FR36" s="117">
        <v>392.89312100000001</v>
      </c>
      <c r="FS36" s="117">
        <v>692.58360100000004</v>
      </c>
      <c r="FT36" s="117">
        <v>391.34184399999998</v>
      </c>
      <c r="FU36" s="117">
        <v>811.56518700000004</v>
      </c>
      <c r="FV36" s="117">
        <v>537.71963400000004</v>
      </c>
      <c r="FW36" s="117">
        <v>1.658909</v>
      </c>
      <c r="FX36" s="117">
        <v>1039.1215709999999</v>
      </c>
      <c r="FY36" s="117">
        <v>423.94106900000003</v>
      </c>
      <c r="FZ36" s="117">
        <v>749.53780900000004</v>
      </c>
      <c r="GA36" s="117">
        <v>426.58587299999999</v>
      </c>
      <c r="GB36" s="117">
        <v>863.73611700000004</v>
      </c>
      <c r="GC36" s="117">
        <v>569.55736200000001</v>
      </c>
      <c r="GD36" s="117">
        <v>1.648342</v>
      </c>
      <c r="GE36" s="117">
        <v>1013.869074</v>
      </c>
      <c r="GF36" s="117">
        <v>389.79904099999999</v>
      </c>
      <c r="GG36" s="117">
        <v>688.57716700000003</v>
      </c>
      <c r="GH36" s="117">
        <v>387.469379</v>
      </c>
      <c r="GI36" s="117">
        <v>807.82911200000001</v>
      </c>
      <c r="GJ36" s="117">
        <v>535.42722000000003</v>
      </c>
      <c r="GK36" s="117">
        <v>1.686623</v>
      </c>
      <c r="GL36" s="117">
        <v>1012.513678</v>
      </c>
      <c r="GM36" s="117">
        <v>399.86257799999998</v>
      </c>
      <c r="GN36" s="117">
        <v>705.649719</v>
      </c>
      <c r="GO36" s="117">
        <v>398.08040599999998</v>
      </c>
      <c r="GP36" s="117">
        <v>827.64412300000004</v>
      </c>
      <c r="GQ36" s="117">
        <v>546.99629800000002</v>
      </c>
      <c r="GR36" s="117">
        <v>1.600166</v>
      </c>
      <c r="GS36" s="117">
        <v>1000.94708</v>
      </c>
      <c r="GT36" s="117">
        <v>398.89218099999999</v>
      </c>
      <c r="GU36" s="117">
        <v>710.06724599999995</v>
      </c>
      <c r="GV36" s="117">
        <v>397.81493999999998</v>
      </c>
      <c r="GW36" s="117">
        <v>819.476719</v>
      </c>
      <c r="GX36" s="117">
        <v>549.19203800000003</v>
      </c>
      <c r="GY36" s="117">
        <v>1.703238</v>
      </c>
      <c r="GZ36" s="117">
        <v>1061.173618</v>
      </c>
      <c r="HA36" s="117">
        <v>417.993042</v>
      </c>
      <c r="HB36" s="117">
        <v>736.33224800000005</v>
      </c>
      <c r="HC36" s="117">
        <v>416.70942100000002</v>
      </c>
      <c r="HD36" s="117">
        <v>862.33258000000001</v>
      </c>
      <c r="HE36" s="117">
        <v>571.696775</v>
      </c>
      <c r="HF36" s="117">
        <v>1.5830630000000001</v>
      </c>
    </row>
    <row r="37" spans="6:214" x14ac:dyDescent="0.25">
      <c r="F37" s="116" t="str">
        <f xml:space="preserve"> _xll.EPMOlapMemberO("[PRDDESCR].[].[WONDER GFREE WHITE 470G]","","WONDER GFREE WHITE 470G","","000")</f>
        <v>WONDER GFREE WHITE 470G</v>
      </c>
      <c r="G37" s="116" t="str">
        <f xml:space="preserve"> _xll.EPMOlapMemberO("[PRDID].[].[179649]","","179649","","000")</f>
        <v>179649</v>
      </c>
      <c r="H37" s="116" t="str">
        <f xml:space="preserve"> _xll.EPMOlapMemberO("[LOCID].[].[6120]","","6120","","000")</f>
        <v>6120</v>
      </c>
      <c r="I37" s="116" t="str">
        <f xml:space="preserve"> _xll.EPMOlapMemberO("[LOCDESCR].[].[QBA-Hobart]","","QBA-Hobart","","000")</f>
        <v>QBA-Hobart</v>
      </c>
      <c r="J37" s="116" t="str">
        <f xml:space="preserve"> _xll.EPMOlapMemberO("[KEY_FIGURES].[].[ZGFAPPROVEDFCSTQTY]","","Approved Forecast","","000")</f>
        <v>Approved Forecast</v>
      </c>
      <c r="K37" s="117">
        <v>81.064133999999996</v>
      </c>
      <c r="L37" s="117">
        <v>0.23702599999999999</v>
      </c>
      <c r="M37" s="117">
        <v>65.387518</v>
      </c>
      <c r="N37" s="117">
        <v>0.291074</v>
      </c>
      <c r="O37" s="117">
        <v>60.714995999999999</v>
      </c>
      <c r="P37" s="117">
        <v>0</v>
      </c>
      <c r="Q37" s="117">
        <v>0.146095</v>
      </c>
      <c r="R37" s="117">
        <v>74.113675999999998</v>
      </c>
      <c r="S37" s="117">
        <v>0.14371500000000001</v>
      </c>
      <c r="T37" s="117">
        <v>57.099558000000002</v>
      </c>
      <c r="U37" s="117">
        <v>0.28757899999999997</v>
      </c>
      <c r="V37" s="117">
        <v>51.481695999999999</v>
      </c>
      <c r="W37" s="117">
        <v>0</v>
      </c>
      <c r="X37" s="117">
        <v>0</v>
      </c>
      <c r="Y37" s="117">
        <v>58.676240999999997</v>
      </c>
      <c r="Z37" s="117">
        <v>0.116921</v>
      </c>
      <c r="AA37" s="117">
        <v>45.472397999999998</v>
      </c>
      <c r="AB37" s="117">
        <v>0.22810800000000001</v>
      </c>
      <c r="AC37" s="117">
        <v>40.373576</v>
      </c>
      <c r="AD37" s="117">
        <v>4.0630750000000004</v>
      </c>
      <c r="AE37" s="117">
        <v>0</v>
      </c>
      <c r="AF37" s="117">
        <v>60.496293999999999</v>
      </c>
      <c r="AG37" s="117">
        <v>0.118065</v>
      </c>
      <c r="AH37" s="117">
        <v>46.785949000000002</v>
      </c>
      <c r="AI37" s="117">
        <v>0.23375199999999999</v>
      </c>
      <c r="AJ37" s="117">
        <v>41.344036000000003</v>
      </c>
      <c r="AK37" s="117">
        <v>4.2008159999999997</v>
      </c>
      <c r="AL37" s="117">
        <v>0</v>
      </c>
      <c r="AM37" s="117">
        <v>78.996922999999995</v>
      </c>
      <c r="AN37" s="117">
        <v>0.154171</v>
      </c>
      <c r="AO37" s="117">
        <v>61.093764</v>
      </c>
      <c r="AP37" s="117">
        <v>0.30523600000000001</v>
      </c>
      <c r="AQ37" s="117">
        <v>53.987625000000001</v>
      </c>
      <c r="AR37" s="117">
        <v>5.4854859999999999</v>
      </c>
      <c r="AS37" s="117">
        <v>0</v>
      </c>
      <c r="AT37" s="117">
        <v>67.602266</v>
      </c>
      <c r="AU37" s="117">
        <v>0.13193299999999999</v>
      </c>
      <c r="AV37" s="117">
        <v>52.281489999999998</v>
      </c>
      <c r="AW37" s="117">
        <v>0.26120900000000002</v>
      </c>
      <c r="AX37" s="117">
        <v>46.200347999999998</v>
      </c>
      <c r="AY37" s="117">
        <v>4.6942519999999996</v>
      </c>
      <c r="AZ37" s="117">
        <v>0</v>
      </c>
      <c r="BA37" s="117">
        <v>90.380651</v>
      </c>
      <c r="BB37" s="117">
        <v>0.17638799999999999</v>
      </c>
      <c r="BC37" s="117">
        <v>69.897585000000007</v>
      </c>
      <c r="BD37" s="117">
        <v>0.349221</v>
      </c>
      <c r="BE37" s="117">
        <v>61.767431999999999</v>
      </c>
      <c r="BF37" s="117">
        <v>6.2759739999999997</v>
      </c>
      <c r="BG37" s="117">
        <v>0</v>
      </c>
      <c r="BH37" s="117">
        <v>81.823215000000005</v>
      </c>
      <c r="BI37" s="117">
        <v>0.159687</v>
      </c>
      <c r="BJ37" s="117">
        <v>63.279533000000001</v>
      </c>
      <c r="BK37" s="117">
        <v>0.31615700000000002</v>
      </c>
      <c r="BL37" s="117">
        <v>55.919161000000003</v>
      </c>
      <c r="BM37" s="117">
        <v>5.6817469999999997</v>
      </c>
      <c r="BN37" s="117">
        <v>0</v>
      </c>
      <c r="BO37" s="117">
        <v>65.283440999999996</v>
      </c>
      <c r="BP37" s="117">
        <v>0.12740699999999999</v>
      </c>
      <c r="BQ37" s="117">
        <v>48.970554</v>
      </c>
      <c r="BR37" s="117">
        <v>0.248221</v>
      </c>
      <c r="BS37" s="117">
        <v>44.251519999999999</v>
      </c>
      <c r="BT37" s="117">
        <v>4.4213719999999999</v>
      </c>
      <c r="BU37" s="117">
        <v>0</v>
      </c>
      <c r="BV37" s="117">
        <v>110.590598</v>
      </c>
      <c r="BW37" s="117">
        <v>0.21713099999999999</v>
      </c>
      <c r="BX37" s="117">
        <v>86.451843999999994</v>
      </c>
      <c r="BY37" s="117">
        <v>0.43192999999999998</v>
      </c>
      <c r="BZ37" s="117">
        <v>76.396179000000004</v>
      </c>
      <c r="CA37" s="117">
        <v>7.762359</v>
      </c>
      <c r="CB37" s="117">
        <v>0</v>
      </c>
      <c r="CC37" s="117">
        <v>110.799948</v>
      </c>
      <c r="CD37" s="117">
        <v>0.21623800000000001</v>
      </c>
      <c r="CE37" s="117">
        <v>85.689226000000005</v>
      </c>
      <c r="CF37" s="117">
        <v>0.42812</v>
      </c>
      <c r="CG37" s="117">
        <v>75.722273999999999</v>
      </c>
      <c r="CH37" s="117">
        <v>7.6938829999999996</v>
      </c>
      <c r="CI37" s="117">
        <v>0</v>
      </c>
      <c r="CJ37" s="117">
        <v>71.285056999999995</v>
      </c>
      <c r="CK37" s="117">
        <v>0.13912099999999999</v>
      </c>
      <c r="CL37" s="117">
        <v>55.129657000000002</v>
      </c>
      <c r="CM37" s="117">
        <v>0.27543800000000002</v>
      </c>
      <c r="CN37" s="117">
        <v>48.717230999999998</v>
      </c>
      <c r="CO37" s="117">
        <v>4.9499779999999998</v>
      </c>
      <c r="CP37" s="117">
        <v>0</v>
      </c>
      <c r="CQ37" s="117">
        <v>85.671431999999996</v>
      </c>
      <c r="CR37" s="117">
        <v>0.16719700000000001</v>
      </c>
      <c r="CS37" s="117">
        <v>66.255611000000002</v>
      </c>
      <c r="CT37" s="117">
        <v>0.33102500000000001</v>
      </c>
      <c r="CU37" s="117">
        <v>58.549083000000003</v>
      </c>
      <c r="CV37" s="117">
        <v>5.948963</v>
      </c>
      <c r="CW37" s="117">
        <v>0</v>
      </c>
      <c r="CX37" s="117">
        <v>96.165854999999993</v>
      </c>
      <c r="CY37" s="117">
        <v>0.18767700000000001</v>
      </c>
      <c r="CZ37" s="117">
        <v>74.371669999999995</v>
      </c>
      <c r="DA37" s="117">
        <v>0.37157499999999999</v>
      </c>
      <c r="DB37" s="117">
        <v>65.721112000000005</v>
      </c>
      <c r="DC37" s="117">
        <v>6.6776929999999997</v>
      </c>
      <c r="DD37" s="117">
        <v>0</v>
      </c>
      <c r="DE37" s="117">
        <v>108.974144</v>
      </c>
      <c r="DF37" s="117">
        <v>0.212674</v>
      </c>
      <c r="DG37" s="117">
        <v>84.277201000000005</v>
      </c>
      <c r="DH37" s="117">
        <v>0.42106500000000002</v>
      </c>
      <c r="DI37" s="117">
        <v>74.474449000000007</v>
      </c>
      <c r="DJ37" s="117">
        <v>7.5670890000000002</v>
      </c>
      <c r="DK37" s="117">
        <v>0</v>
      </c>
      <c r="DL37" s="117">
        <v>103.740038</v>
      </c>
      <c r="DM37" s="117">
        <v>0.202459</v>
      </c>
      <c r="DN37" s="117">
        <v>80.229331999999999</v>
      </c>
      <c r="DO37" s="117">
        <v>0.400841</v>
      </c>
      <c r="DP37" s="117">
        <v>70.897389000000004</v>
      </c>
      <c r="DQ37" s="117">
        <v>7.2036189999999998</v>
      </c>
      <c r="DR37" s="117">
        <v>0</v>
      </c>
      <c r="DS37" s="117">
        <v>97.211250000000007</v>
      </c>
      <c r="DT37" s="117">
        <v>0.189716</v>
      </c>
      <c r="DU37" s="117">
        <v>75.180142000000004</v>
      </c>
      <c r="DV37" s="117">
        <v>0.375614</v>
      </c>
      <c r="DW37" s="117">
        <v>66.435602000000003</v>
      </c>
      <c r="DX37" s="117">
        <v>6.7503099999999998</v>
      </c>
      <c r="DY37" s="117">
        <v>0</v>
      </c>
      <c r="DZ37" s="117">
        <v>93.515784999999994</v>
      </c>
      <c r="EA37" s="117">
        <v>0.182505</v>
      </c>
      <c r="EB37" s="117">
        <v>72.322198999999998</v>
      </c>
      <c r="EC37" s="117">
        <v>0.36133500000000002</v>
      </c>
      <c r="ED37" s="117">
        <v>63.910057000000002</v>
      </c>
      <c r="EE37" s="117">
        <v>6.4937100000000001</v>
      </c>
      <c r="EF37" s="117">
        <v>0</v>
      </c>
      <c r="EG37" s="117">
        <v>82.496156999999997</v>
      </c>
      <c r="EH37" s="117">
        <v>0.160998</v>
      </c>
      <c r="EI37" s="117">
        <v>63.799973000000001</v>
      </c>
      <c r="EJ37" s="117">
        <v>0.31875700000000001</v>
      </c>
      <c r="EK37" s="117">
        <v>56.379016999999997</v>
      </c>
      <c r="EL37" s="117">
        <v>5.7284689999999996</v>
      </c>
      <c r="EM37" s="117">
        <v>0</v>
      </c>
      <c r="EN37" s="117">
        <v>98.297602999999995</v>
      </c>
      <c r="EO37" s="117">
        <v>0.19183800000000001</v>
      </c>
      <c r="EP37" s="117">
        <v>76.020357000000004</v>
      </c>
      <c r="EQ37" s="117">
        <v>0.37981199999999998</v>
      </c>
      <c r="ER37" s="117">
        <v>67.177991000000006</v>
      </c>
      <c r="ES37" s="117">
        <v>6.8257469999999998</v>
      </c>
      <c r="ET37" s="117">
        <v>0</v>
      </c>
      <c r="EU37" s="117">
        <v>95.619033000000002</v>
      </c>
      <c r="EV37" s="117">
        <v>0.186609</v>
      </c>
      <c r="EW37" s="117">
        <v>73.948779000000002</v>
      </c>
      <c r="EX37" s="117">
        <v>0.36946200000000001</v>
      </c>
      <c r="EY37" s="117">
        <v>65.347453999999999</v>
      </c>
      <c r="EZ37" s="117">
        <v>6.6397649999999997</v>
      </c>
      <c r="FA37" s="117">
        <v>0</v>
      </c>
      <c r="FB37" s="117">
        <v>87.744808000000006</v>
      </c>
      <c r="FC37" s="117">
        <v>0.17124200000000001</v>
      </c>
      <c r="FD37" s="117">
        <v>67.859086000000005</v>
      </c>
      <c r="FE37" s="117">
        <v>0.339036</v>
      </c>
      <c r="FF37" s="117">
        <v>59.966095000000003</v>
      </c>
      <c r="FG37" s="117">
        <v>6.0929679999999999</v>
      </c>
      <c r="FH37" s="117">
        <v>0</v>
      </c>
      <c r="FI37" s="117">
        <v>102.230374</v>
      </c>
      <c r="FJ37" s="117">
        <v>0.19951099999999999</v>
      </c>
      <c r="FK37" s="117">
        <v>79.061767000000003</v>
      </c>
      <c r="FL37" s="117">
        <v>0.395007</v>
      </c>
      <c r="FM37" s="117">
        <v>69.865730999999997</v>
      </c>
      <c r="FN37" s="117">
        <v>7.0988360000000004</v>
      </c>
      <c r="FO37" s="117">
        <v>0</v>
      </c>
      <c r="FP37" s="117">
        <v>83.729106000000002</v>
      </c>
      <c r="FQ37" s="117">
        <v>0.16340499999999999</v>
      </c>
      <c r="FR37" s="117">
        <v>64.753473</v>
      </c>
      <c r="FS37" s="117">
        <v>0.32351999999999997</v>
      </c>
      <c r="FT37" s="117">
        <v>57.221693999999999</v>
      </c>
      <c r="FU37" s="117">
        <v>5.8141220000000002</v>
      </c>
      <c r="FV37" s="117">
        <v>0</v>
      </c>
      <c r="FW37" s="117">
        <v>67.731283000000005</v>
      </c>
      <c r="FX37" s="117">
        <v>0.13218299999999999</v>
      </c>
      <c r="FY37" s="117">
        <v>52.381256999999998</v>
      </c>
      <c r="FZ37" s="117">
        <v>0.26170599999999999</v>
      </c>
      <c r="GA37" s="117">
        <v>46.288561000000001</v>
      </c>
      <c r="GB37" s="117">
        <v>4.7032389999999999</v>
      </c>
      <c r="GC37" s="117">
        <v>0</v>
      </c>
      <c r="GD37" s="117">
        <v>95.462411000000003</v>
      </c>
      <c r="GE37" s="117">
        <v>0.186306</v>
      </c>
      <c r="GF37" s="117">
        <v>73.827713000000003</v>
      </c>
      <c r="GG37" s="117">
        <v>0.36885699999999999</v>
      </c>
      <c r="GH37" s="117">
        <v>65.240381999999997</v>
      </c>
      <c r="GI37" s="117">
        <v>6.6288479999999996</v>
      </c>
      <c r="GJ37" s="117">
        <v>0</v>
      </c>
      <c r="GK37" s="117">
        <v>78.443472999999997</v>
      </c>
      <c r="GL37" s="117">
        <v>0.153089</v>
      </c>
      <c r="GM37" s="117">
        <v>60.665740999999997</v>
      </c>
      <c r="GN37" s="117">
        <v>0.30309700000000001</v>
      </c>
      <c r="GO37" s="117">
        <v>53.609389999999998</v>
      </c>
      <c r="GP37" s="117">
        <v>5.4470729999999996</v>
      </c>
      <c r="GQ37" s="117">
        <v>0</v>
      </c>
      <c r="GR37" s="117">
        <v>91.565557999999996</v>
      </c>
      <c r="GS37" s="117">
        <v>0.178698</v>
      </c>
      <c r="GT37" s="117">
        <v>70.813941</v>
      </c>
      <c r="GU37" s="117">
        <v>0.35379899999999997</v>
      </c>
      <c r="GV37" s="117">
        <v>62.577209000000003</v>
      </c>
      <c r="GW37" s="117">
        <v>6.3582489999999998</v>
      </c>
      <c r="GX37" s="117">
        <v>0</v>
      </c>
      <c r="GY37" s="117">
        <v>98.510028000000005</v>
      </c>
      <c r="GZ37" s="117">
        <v>0.19225100000000001</v>
      </c>
      <c r="HA37" s="117">
        <v>76.184585999999996</v>
      </c>
      <c r="HB37" s="117">
        <v>0.38063200000000003</v>
      </c>
      <c r="HC37" s="117">
        <v>67.323154000000002</v>
      </c>
      <c r="HD37" s="117">
        <v>6.8404790000000002</v>
      </c>
      <c r="HE37" s="117">
        <v>0</v>
      </c>
      <c r="HF37" s="117">
        <v>67.027441999999994</v>
      </c>
    </row>
    <row r="38" spans="6:214" x14ac:dyDescent="0.25">
      <c r="F38" s="116" t="str">
        <f xml:space="preserve"> _xll.EPMOlapMemberO("[PRDDESCR].[].[WONDER GFREE WHITE 470G]","","WONDER GFREE WHITE 470G","","000")</f>
        <v>WONDER GFREE WHITE 470G</v>
      </c>
      <c r="G38" s="116" t="str">
        <f xml:space="preserve"> _xll.EPMOlapMemberO("[PRDID].[].[179649]","","179649","","000")</f>
        <v>179649</v>
      </c>
      <c r="H38" s="116" t="str">
        <f xml:space="preserve"> _xll.EPMOlapMemberO("[LOCID].[].[6123]","","6123","","000")</f>
        <v>6123</v>
      </c>
      <c r="I38" s="116" t="str">
        <f xml:space="preserve"> _xll.EPMOlapMemberO("[LOCDESCR].[].[QBA-Clayton - Fairbank]","","QBA-Clayton - Fairbank","","000")</f>
        <v>QBA-Clayton - Fairbank</v>
      </c>
      <c r="J38" s="116" t="str">
        <f xml:space="preserve"> _xll.EPMOlapMemberO("[KEY_FIGURES].[].[ZGFAPPROVEDFCSTQTY]","","Approved Forecast","","000")</f>
        <v>Approved Forecast</v>
      </c>
      <c r="K38" s="117">
        <v>0.10432</v>
      </c>
      <c r="L38" s="117">
        <v>0</v>
      </c>
      <c r="M38" s="117">
        <v>516.42815399999995</v>
      </c>
      <c r="N38" s="117">
        <v>158.81484</v>
      </c>
      <c r="O38" s="117">
        <v>308.086883</v>
      </c>
      <c r="P38" s="117">
        <v>246.58053100000001</v>
      </c>
      <c r="Q38" s="117">
        <v>528.04350999999997</v>
      </c>
      <c r="R38" s="117">
        <v>9.3859999999999999E-2</v>
      </c>
      <c r="S38" s="117">
        <v>6.1960000000000001E-3</v>
      </c>
      <c r="T38" s="117">
        <v>502.99703299999999</v>
      </c>
      <c r="U38" s="117">
        <v>152.12403900000001</v>
      </c>
      <c r="V38" s="117">
        <v>307.40739200000002</v>
      </c>
      <c r="W38" s="117">
        <v>237.262843</v>
      </c>
      <c r="X38" s="117">
        <v>535.12107000000003</v>
      </c>
      <c r="Y38" s="117">
        <v>0.38375500000000001</v>
      </c>
      <c r="Z38" s="117">
        <v>0</v>
      </c>
      <c r="AA38" s="117">
        <v>554.91574800000001</v>
      </c>
      <c r="AB38" s="117">
        <v>169.790761</v>
      </c>
      <c r="AC38" s="117">
        <v>338.689774</v>
      </c>
      <c r="AD38" s="117">
        <v>267.832762</v>
      </c>
      <c r="AE38" s="117">
        <v>565.01405899999997</v>
      </c>
      <c r="AF38" s="117">
        <v>0.33671800000000002</v>
      </c>
      <c r="AG38" s="117">
        <v>0</v>
      </c>
      <c r="AH38" s="117">
        <v>504.59067099999999</v>
      </c>
      <c r="AI38" s="117">
        <v>159.210508</v>
      </c>
      <c r="AJ38" s="117">
        <v>311.99623200000002</v>
      </c>
      <c r="AK38" s="117">
        <v>238.63029</v>
      </c>
      <c r="AL38" s="117">
        <v>520.74638500000003</v>
      </c>
      <c r="AM38" s="117">
        <v>0.34462999999999999</v>
      </c>
      <c r="AN38" s="117">
        <v>0</v>
      </c>
      <c r="AO38" s="117">
        <v>501.38609300000002</v>
      </c>
      <c r="AP38" s="117">
        <v>158.907972</v>
      </c>
      <c r="AQ38" s="117">
        <v>307.19436000000002</v>
      </c>
      <c r="AR38" s="117">
        <v>238.841027</v>
      </c>
      <c r="AS38" s="117">
        <v>515.79222000000004</v>
      </c>
      <c r="AT38" s="117">
        <v>0.42549300000000001</v>
      </c>
      <c r="AU38" s="117">
        <v>0</v>
      </c>
      <c r="AV38" s="117">
        <v>619.95224299999995</v>
      </c>
      <c r="AW38" s="117">
        <v>195.12886499999999</v>
      </c>
      <c r="AX38" s="117">
        <v>382.01458100000002</v>
      </c>
      <c r="AY38" s="117">
        <v>293.20931899999999</v>
      </c>
      <c r="AZ38" s="117">
        <v>638.121532</v>
      </c>
      <c r="BA38" s="117">
        <v>0.34732800000000003</v>
      </c>
      <c r="BB38" s="117">
        <v>0</v>
      </c>
      <c r="BC38" s="117">
        <v>508.56406700000002</v>
      </c>
      <c r="BD38" s="117">
        <v>164.32771399999999</v>
      </c>
      <c r="BE38" s="117">
        <v>321.42332699999997</v>
      </c>
      <c r="BF38" s="117">
        <v>240.17882700000001</v>
      </c>
      <c r="BG38" s="117">
        <v>555.08672899999999</v>
      </c>
      <c r="BH38" s="117">
        <v>0.420408</v>
      </c>
      <c r="BI38" s="117">
        <v>0</v>
      </c>
      <c r="BJ38" s="117">
        <v>605.61708999999996</v>
      </c>
      <c r="BK38" s="117">
        <v>189.530316</v>
      </c>
      <c r="BL38" s="117">
        <v>369.75225</v>
      </c>
      <c r="BM38" s="117">
        <v>287.00703399999998</v>
      </c>
      <c r="BN38" s="117">
        <v>613.42715299999998</v>
      </c>
      <c r="BO38" s="117">
        <v>0.37340600000000002</v>
      </c>
      <c r="BP38" s="117">
        <v>0</v>
      </c>
      <c r="BQ38" s="117">
        <v>536.46079099999997</v>
      </c>
      <c r="BR38" s="117">
        <v>170.33795699999999</v>
      </c>
      <c r="BS38" s="117">
        <v>327.45463799999999</v>
      </c>
      <c r="BT38" s="117">
        <v>255.012372</v>
      </c>
      <c r="BU38" s="117">
        <v>556.46523300000001</v>
      </c>
      <c r="BV38" s="117">
        <v>0.356487</v>
      </c>
      <c r="BW38" s="117">
        <v>0</v>
      </c>
      <c r="BX38" s="117">
        <v>511.55398100000002</v>
      </c>
      <c r="BY38" s="117">
        <v>162.149058</v>
      </c>
      <c r="BZ38" s="117">
        <v>313.67461500000002</v>
      </c>
      <c r="CA38" s="117">
        <v>243.48209199999999</v>
      </c>
      <c r="CB38" s="117">
        <v>527.88334399999997</v>
      </c>
      <c r="CC38" s="117">
        <v>0.361651</v>
      </c>
      <c r="CD38" s="117">
        <v>0</v>
      </c>
      <c r="CE38" s="117">
        <v>529.46096599999998</v>
      </c>
      <c r="CF38" s="117">
        <v>169.38674399999999</v>
      </c>
      <c r="CG38" s="117">
        <v>329.22166399999998</v>
      </c>
      <c r="CH38" s="117">
        <v>251.28977</v>
      </c>
      <c r="CI38" s="117">
        <v>559.93750499999999</v>
      </c>
      <c r="CJ38" s="117">
        <v>0.38233699999999998</v>
      </c>
      <c r="CK38" s="117">
        <v>0</v>
      </c>
      <c r="CL38" s="117">
        <v>562.93977800000005</v>
      </c>
      <c r="CM38" s="117">
        <v>177.80263600000001</v>
      </c>
      <c r="CN38" s="117">
        <v>348.73768200000001</v>
      </c>
      <c r="CO38" s="117">
        <v>265.90341899999999</v>
      </c>
      <c r="CP38" s="117">
        <v>584.66663000000005</v>
      </c>
      <c r="CQ38" s="117">
        <v>0.37317</v>
      </c>
      <c r="CR38" s="117">
        <v>0</v>
      </c>
      <c r="CS38" s="117">
        <v>547.99696500000005</v>
      </c>
      <c r="CT38" s="117">
        <v>174.86059499999999</v>
      </c>
      <c r="CU38" s="117">
        <v>339.19726600000001</v>
      </c>
      <c r="CV38" s="117">
        <v>260.517471</v>
      </c>
      <c r="CW38" s="117">
        <v>574.05669699999999</v>
      </c>
      <c r="CX38" s="117">
        <v>0.401472</v>
      </c>
      <c r="CY38" s="117">
        <v>0</v>
      </c>
      <c r="CZ38" s="117">
        <v>579.93417899999997</v>
      </c>
      <c r="DA38" s="117">
        <v>184.862944</v>
      </c>
      <c r="DB38" s="117">
        <v>358.709385</v>
      </c>
      <c r="DC38" s="117">
        <v>275.498515</v>
      </c>
      <c r="DD38" s="117">
        <v>608.13307599999996</v>
      </c>
      <c r="DE38" s="117">
        <v>0.34496500000000002</v>
      </c>
      <c r="DF38" s="117">
        <v>0</v>
      </c>
      <c r="DG38" s="117">
        <v>488.05282399999999</v>
      </c>
      <c r="DH38" s="117">
        <v>155.287092</v>
      </c>
      <c r="DI38" s="117">
        <v>301.545975</v>
      </c>
      <c r="DJ38" s="117">
        <v>231.456143</v>
      </c>
      <c r="DK38" s="117">
        <v>512.79015100000004</v>
      </c>
      <c r="DL38" s="117">
        <v>0.32995799999999997</v>
      </c>
      <c r="DM38" s="117">
        <v>0</v>
      </c>
      <c r="DN38" s="117">
        <v>475.18132200000002</v>
      </c>
      <c r="DO38" s="117">
        <v>149.88138499999999</v>
      </c>
      <c r="DP38" s="117">
        <v>294.033143</v>
      </c>
      <c r="DQ38" s="117">
        <v>224.11082999999999</v>
      </c>
      <c r="DR38" s="117">
        <v>494.71363400000001</v>
      </c>
      <c r="DS38" s="117">
        <v>0.41215299999999999</v>
      </c>
      <c r="DT38" s="117">
        <v>0</v>
      </c>
      <c r="DU38" s="117">
        <v>547.82077100000004</v>
      </c>
      <c r="DV38" s="117">
        <v>171.13368</v>
      </c>
      <c r="DW38" s="117">
        <v>329.81015300000001</v>
      </c>
      <c r="DX38" s="117">
        <v>260.66857700000003</v>
      </c>
      <c r="DY38" s="117">
        <v>552.76757999999995</v>
      </c>
      <c r="DZ38" s="117">
        <v>0.426703</v>
      </c>
      <c r="EA38" s="117">
        <v>0</v>
      </c>
      <c r="EB38" s="117">
        <v>586.82914900000003</v>
      </c>
      <c r="EC38" s="117">
        <v>185.303382</v>
      </c>
      <c r="ED38" s="117">
        <v>358.62622599999997</v>
      </c>
      <c r="EE38" s="117">
        <v>278.793859</v>
      </c>
      <c r="EF38" s="117">
        <v>605.96705599999996</v>
      </c>
      <c r="EG38" s="117">
        <v>0.36374099999999998</v>
      </c>
      <c r="EH38" s="117">
        <v>0</v>
      </c>
      <c r="EI38" s="117">
        <v>536.03938500000004</v>
      </c>
      <c r="EJ38" s="117">
        <v>169.789751</v>
      </c>
      <c r="EK38" s="117">
        <v>333.56605300000001</v>
      </c>
      <c r="EL38" s="117">
        <v>252.82790499999999</v>
      </c>
      <c r="EM38" s="117">
        <v>561.65923299999997</v>
      </c>
      <c r="EN38" s="117">
        <v>0.42268899999999998</v>
      </c>
      <c r="EO38" s="117">
        <v>0</v>
      </c>
      <c r="EP38" s="117">
        <v>565.62115600000004</v>
      </c>
      <c r="EQ38" s="117">
        <v>178.269372</v>
      </c>
      <c r="ER38" s="117">
        <v>345.32032700000002</v>
      </c>
      <c r="ES38" s="117">
        <v>268.22749099999999</v>
      </c>
      <c r="ET38" s="117">
        <v>585.79936999999995</v>
      </c>
      <c r="EU38" s="117">
        <v>0.42935000000000001</v>
      </c>
      <c r="EV38" s="117">
        <v>0</v>
      </c>
      <c r="EW38" s="117">
        <v>585.77964999999995</v>
      </c>
      <c r="EX38" s="117">
        <v>184.740972</v>
      </c>
      <c r="EY38" s="117">
        <v>357.46002399999998</v>
      </c>
      <c r="EZ38" s="117">
        <v>278.25069400000001</v>
      </c>
      <c r="FA38" s="117">
        <v>603.98646399999996</v>
      </c>
      <c r="FB38" s="117">
        <v>0.40658</v>
      </c>
      <c r="FC38" s="117">
        <v>0</v>
      </c>
      <c r="FD38" s="117">
        <v>588.72416099999998</v>
      </c>
      <c r="FE38" s="117">
        <v>186.44215800000001</v>
      </c>
      <c r="FF38" s="117">
        <v>366.45129800000001</v>
      </c>
      <c r="FG38" s="117">
        <v>277.454409</v>
      </c>
      <c r="FH38" s="117">
        <v>618.86569399999996</v>
      </c>
      <c r="FI38" s="117">
        <v>0.43040200000000001</v>
      </c>
      <c r="FJ38" s="117">
        <v>0</v>
      </c>
      <c r="FK38" s="117">
        <v>601.20468200000005</v>
      </c>
      <c r="FL38" s="117">
        <v>189.51105799999999</v>
      </c>
      <c r="FM38" s="117">
        <v>365.92611499999998</v>
      </c>
      <c r="FN38" s="117">
        <v>286.29431099999999</v>
      </c>
      <c r="FO38" s="117">
        <v>614.19481900000005</v>
      </c>
      <c r="FP38" s="117">
        <v>0.38351000000000002</v>
      </c>
      <c r="FQ38" s="117">
        <v>0</v>
      </c>
      <c r="FR38" s="117">
        <v>536.95728199999996</v>
      </c>
      <c r="FS38" s="117">
        <v>170.33962099999999</v>
      </c>
      <c r="FT38" s="117">
        <v>330.29751399999998</v>
      </c>
      <c r="FU38" s="117">
        <v>254.87411800000001</v>
      </c>
      <c r="FV38" s="117">
        <v>560.07424100000003</v>
      </c>
      <c r="FW38" s="117">
        <v>0.39557999999999999</v>
      </c>
      <c r="FX38" s="117">
        <v>0</v>
      </c>
      <c r="FY38" s="117">
        <v>568.860499</v>
      </c>
      <c r="FZ38" s="117">
        <v>178.67388099999999</v>
      </c>
      <c r="GA38" s="117">
        <v>349.54210699999999</v>
      </c>
      <c r="GB38" s="117">
        <v>268.998605</v>
      </c>
      <c r="GC38" s="117">
        <v>583.85558100000003</v>
      </c>
      <c r="GD38" s="117">
        <v>0.41473599999999999</v>
      </c>
      <c r="GE38" s="117">
        <v>0</v>
      </c>
      <c r="GF38" s="117">
        <v>581.83515499999999</v>
      </c>
      <c r="GG38" s="117">
        <v>186.56464399999999</v>
      </c>
      <c r="GH38" s="117">
        <v>364.08337</v>
      </c>
      <c r="GI38" s="117">
        <v>274.90264200000001</v>
      </c>
      <c r="GJ38" s="117">
        <v>626.91418099999999</v>
      </c>
      <c r="GK38" s="117">
        <v>0.46770699999999998</v>
      </c>
      <c r="GL38" s="117">
        <v>0</v>
      </c>
      <c r="GM38" s="117">
        <v>614.51531599999998</v>
      </c>
      <c r="GN38" s="117">
        <v>193.56497200000001</v>
      </c>
      <c r="GO38" s="117">
        <v>375.23994399999998</v>
      </c>
      <c r="GP38" s="117">
        <v>291.07289800000001</v>
      </c>
      <c r="GQ38" s="117">
        <v>638.53739499999995</v>
      </c>
      <c r="GR38" s="117">
        <v>0.462225</v>
      </c>
      <c r="GS38" s="117">
        <v>0</v>
      </c>
      <c r="GT38" s="117">
        <v>628.44039599999996</v>
      </c>
      <c r="GU38" s="117">
        <v>195.92881499999999</v>
      </c>
      <c r="GV38" s="117">
        <v>381.98066599999999</v>
      </c>
      <c r="GW38" s="117">
        <v>297.21253100000001</v>
      </c>
      <c r="GX38" s="117">
        <v>637.82357500000001</v>
      </c>
      <c r="GY38" s="117">
        <v>0.49054799999999998</v>
      </c>
      <c r="GZ38" s="117">
        <v>0</v>
      </c>
      <c r="HA38" s="117">
        <v>635.445066</v>
      </c>
      <c r="HB38" s="117">
        <v>196.79857999999999</v>
      </c>
      <c r="HC38" s="117">
        <v>377.746893</v>
      </c>
      <c r="HD38" s="117">
        <v>302.987911</v>
      </c>
      <c r="HE38" s="117">
        <v>627.94431599999996</v>
      </c>
      <c r="HF38" s="117">
        <v>0.400088</v>
      </c>
    </row>
    <row r="39" spans="6:214" x14ac:dyDescent="0.25">
      <c r="F39" s="116" t="str">
        <f xml:space="preserve"> _xll.EPMOlapMemberO("[PRDDESCR].[].[WONDER GFREE WHITE 470G]","","WONDER GFREE WHITE 470G","","000")</f>
        <v>WONDER GFREE WHITE 470G</v>
      </c>
      <c r="G39" s="116" t="str">
        <f xml:space="preserve"> _xll.EPMOlapMemberO("[PRDID].[].[179649]","","179649","","000")</f>
        <v>179649</v>
      </c>
      <c r="H39" s="116" t="str">
        <f xml:space="preserve"> _xll.EPMOlapMemberO("[LOCID].[].[6125]","","6125","","000")</f>
        <v>6125</v>
      </c>
      <c r="I39" s="116" t="str">
        <f xml:space="preserve"> _xll.EPMOlapMemberO("[LOCDESCR].[].[QBA -Keilor Park]","","QBA -Keilor Park","","000")</f>
        <v>QBA -Keilor Park</v>
      </c>
      <c r="J39" s="116" t="str">
        <f xml:space="preserve"> _xll.EPMOlapMemberO("[KEY_FIGURES].[].[ZGFAPPROVEDFCSTQTY]","","Approved Forecast","","000")</f>
        <v>Approved Forecast</v>
      </c>
      <c r="K39" s="117">
        <v>0.98900200000000005</v>
      </c>
      <c r="L39" s="117">
        <v>0.19739599999999999</v>
      </c>
      <c r="M39" s="117">
        <v>622.01475800000003</v>
      </c>
      <c r="N39" s="117">
        <v>92.983493999999993</v>
      </c>
      <c r="O39" s="117">
        <v>271.53590200000002</v>
      </c>
      <c r="P39" s="117">
        <v>352.987526</v>
      </c>
      <c r="Q39" s="117">
        <v>382.91125599999998</v>
      </c>
      <c r="R39" s="117">
        <v>0.97739699999999996</v>
      </c>
      <c r="S39" s="117">
        <v>0.198991</v>
      </c>
      <c r="T39" s="117">
        <v>622.31334800000002</v>
      </c>
      <c r="U39" s="117">
        <v>97.143028999999999</v>
      </c>
      <c r="V39" s="117">
        <v>270.798226</v>
      </c>
      <c r="W39" s="117">
        <v>354.85217699999998</v>
      </c>
      <c r="X39" s="117">
        <v>387.15717999999998</v>
      </c>
      <c r="Y39" s="117">
        <v>0.92258099999999998</v>
      </c>
      <c r="Z39" s="117">
        <v>0.20907500000000001</v>
      </c>
      <c r="AA39" s="117">
        <v>595.05433900000003</v>
      </c>
      <c r="AB39" s="117">
        <v>91.324217000000004</v>
      </c>
      <c r="AC39" s="117">
        <v>262.60761400000001</v>
      </c>
      <c r="AD39" s="117">
        <v>330.77413799999999</v>
      </c>
      <c r="AE39" s="117">
        <v>360.45460800000001</v>
      </c>
      <c r="AF39" s="117">
        <v>0.92387200000000003</v>
      </c>
      <c r="AG39" s="117">
        <v>0.17658299999999999</v>
      </c>
      <c r="AH39" s="117">
        <v>575.21568300000001</v>
      </c>
      <c r="AI39" s="117">
        <v>84.636897000000005</v>
      </c>
      <c r="AJ39" s="117">
        <v>254.12203</v>
      </c>
      <c r="AK39" s="117">
        <v>319.37785600000001</v>
      </c>
      <c r="AL39" s="117">
        <v>354.551963</v>
      </c>
      <c r="AM39" s="117">
        <v>0.92387200000000003</v>
      </c>
      <c r="AN39" s="117">
        <v>0.21718799999999999</v>
      </c>
      <c r="AO39" s="117">
        <v>606.71319800000003</v>
      </c>
      <c r="AP39" s="117">
        <v>92.691248000000002</v>
      </c>
      <c r="AQ39" s="117">
        <v>272.10709700000001</v>
      </c>
      <c r="AR39" s="117">
        <v>331.83563299999997</v>
      </c>
      <c r="AS39" s="117">
        <v>370.117704</v>
      </c>
      <c r="AT39" s="117">
        <v>0.92387200000000003</v>
      </c>
      <c r="AU39" s="117">
        <v>0.239652</v>
      </c>
      <c r="AV39" s="117">
        <v>673.29425900000001</v>
      </c>
      <c r="AW39" s="117">
        <v>102.98263799999999</v>
      </c>
      <c r="AX39" s="117">
        <v>296.47996999999998</v>
      </c>
      <c r="AY39" s="117">
        <v>367.53833300000002</v>
      </c>
      <c r="AZ39" s="117">
        <v>408.62228399999998</v>
      </c>
      <c r="BA39" s="117">
        <v>0.92387200000000003</v>
      </c>
      <c r="BB39" s="117">
        <v>0.19117000000000001</v>
      </c>
      <c r="BC39" s="117">
        <v>604.10610499999996</v>
      </c>
      <c r="BD39" s="117">
        <v>89.033671999999996</v>
      </c>
      <c r="BE39" s="117">
        <v>273.41021999999998</v>
      </c>
      <c r="BF39" s="117">
        <v>329.45640600000002</v>
      </c>
      <c r="BG39" s="117">
        <v>372.45650999999998</v>
      </c>
      <c r="BH39" s="117">
        <v>0.92387200000000003</v>
      </c>
      <c r="BI39" s="117">
        <v>0.214951</v>
      </c>
      <c r="BJ39" s="117">
        <v>614.63495399999999</v>
      </c>
      <c r="BK39" s="117">
        <v>93.451352999999997</v>
      </c>
      <c r="BL39" s="117">
        <v>272.02304800000002</v>
      </c>
      <c r="BM39" s="117">
        <v>334.02008599999999</v>
      </c>
      <c r="BN39" s="117">
        <v>372.79951599999998</v>
      </c>
      <c r="BO39" s="117">
        <v>0.92387200000000003</v>
      </c>
      <c r="BP39" s="117">
        <v>0.21357100000000001</v>
      </c>
      <c r="BQ39" s="117">
        <v>594.09937000000002</v>
      </c>
      <c r="BR39" s="117">
        <v>92.132127999999994</v>
      </c>
      <c r="BS39" s="117">
        <v>265.68953800000003</v>
      </c>
      <c r="BT39" s="117">
        <v>327.125944</v>
      </c>
      <c r="BU39" s="117">
        <v>363.22784799999999</v>
      </c>
      <c r="BV39" s="117">
        <v>0.92387200000000003</v>
      </c>
      <c r="BW39" s="117">
        <v>0.22590199999999999</v>
      </c>
      <c r="BX39" s="117">
        <v>558.85501599999998</v>
      </c>
      <c r="BY39" s="117">
        <v>87.656537999999998</v>
      </c>
      <c r="BZ39" s="117">
        <v>251.424508</v>
      </c>
      <c r="CA39" s="117">
        <v>299.29330900000002</v>
      </c>
      <c r="CB39" s="117">
        <v>335.11161399999997</v>
      </c>
      <c r="CC39" s="117">
        <v>0.92387200000000003</v>
      </c>
      <c r="CD39" s="117">
        <v>0.196412</v>
      </c>
      <c r="CE39" s="117">
        <v>606.23345600000005</v>
      </c>
      <c r="CF39" s="117">
        <v>90.142311000000007</v>
      </c>
      <c r="CG39" s="117">
        <v>272.37562200000002</v>
      </c>
      <c r="CH39" s="117">
        <v>335.36861499999998</v>
      </c>
      <c r="CI39" s="117">
        <v>374.50416799999999</v>
      </c>
      <c r="CJ39" s="117">
        <v>0.92387200000000003</v>
      </c>
      <c r="CK39" s="117">
        <v>0.18476799999999999</v>
      </c>
      <c r="CL39" s="117">
        <v>591.94548199999997</v>
      </c>
      <c r="CM39" s="117">
        <v>87.726730000000003</v>
      </c>
      <c r="CN39" s="117">
        <v>259.06472600000001</v>
      </c>
      <c r="CO39" s="117">
        <v>333.26421399999998</v>
      </c>
      <c r="CP39" s="117">
        <v>365.68231800000001</v>
      </c>
      <c r="CQ39" s="117">
        <v>0.92387200000000003</v>
      </c>
      <c r="CR39" s="117">
        <v>0.18834000000000001</v>
      </c>
      <c r="CS39" s="117">
        <v>617.89154299999996</v>
      </c>
      <c r="CT39" s="117">
        <v>90.323139999999995</v>
      </c>
      <c r="CU39" s="117">
        <v>278.78490199999999</v>
      </c>
      <c r="CV39" s="117">
        <v>341.08289500000001</v>
      </c>
      <c r="CW39" s="117">
        <v>383.590282</v>
      </c>
      <c r="CX39" s="117">
        <v>0.92387200000000003</v>
      </c>
      <c r="CY39" s="117">
        <v>0.20204</v>
      </c>
      <c r="CZ39" s="117">
        <v>604.80628400000001</v>
      </c>
      <c r="DA39" s="117">
        <v>90.492354000000006</v>
      </c>
      <c r="DB39" s="117">
        <v>272.89464700000002</v>
      </c>
      <c r="DC39" s="117">
        <v>329.60383000000002</v>
      </c>
      <c r="DD39" s="117">
        <v>371.01594899999998</v>
      </c>
      <c r="DE39" s="117">
        <v>0.92387200000000003</v>
      </c>
      <c r="DF39" s="117">
        <v>0.21997800000000001</v>
      </c>
      <c r="DG39" s="117">
        <v>543.34357699999998</v>
      </c>
      <c r="DH39" s="117">
        <v>85.660988000000003</v>
      </c>
      <c r="DI39" s="117">
        <v>246.68712300000001</v>
      </c>
      <c r="DJ39" s="117">
        <v>283.11001199999998</v>
      </c>
      <c r="DK39" s="117">
        <v>322.150147</v>
      </c>
      <c r="DL39" s="117">
        <v>0.92387200000000003</v>
      </c>
      <c r="DM39" s="117">
        <v>0.146651</v>
      </c>
      <c r="DN39" s="117">
        <v>514.06719799999996</v>
      </c>
      <c r="DO39" s="117">
        <v>74.310362999999995</v>
      </c>
      <c r="DP39" s="117">
        <v>227.745025</v>
      </c>
      <c r="DQ39" s="117">
        <v>287.30858000000001</v>
      </c>
      <c r="DR39" s="117">
        <v>318.67709000000002</v>
      </c>
      <c r="DS39" s="117">
        <v>0.92387200000000003</v>
      </c>
      <c r="DT39" s="117">
        <v>0.17301900000000001</v>
      </c>
      <c r="DU39" s="117">
        <v>555.55581299999994</v>
      </c>
      <c r="DV39" s="117">
        <v>81.671745999999999</v>
      </c>
      <c r="DW39" s="117">
        <v>250.89083099999999</v>
      </c>
      <c r="DX39" s="117">
        <v>306.35317199999997</v>
      </c>
      <c r="DY39" s="117">
        <v>343.60977600000001</v>
      </c>
      <c r="DZ39" s="117">
        <v>0.92387200000000003</v>
      </c>
      <c r="EA39" s="117">
        <v>0.219781</v>
      </c>
      <c r="EB39" s="117">
        <v>632.31110899999999</v>
      </c>
      <c r="EC39" s="117">
        <v>95.684443000000002</v>
      </c>
      <c r="ED39" s="117">
        <v>284.52356600000002</v>
      </c>
      <c r="EE39" s="117">
        <v>344.16727100000003</v>
      </c>
      <c r="EF39" s="117">
        <v>386.557005</v>
      </c>
      <c r="EG39" s="117">
        <v>0.92387200000000003</v>
      </c>
      <c r="EH39" s="117">
        <v>0.202294</v>
      </c>
      <c r="EI39" s="117">
        <v>610.44658800000002</v>
      </c>
      <c r="EJ39" s="117">
        <v>91.602051000000003</v>
      </c>
      <c r="EK39" s="117">
        <v>269.30444899999998</v>
      </c>
      <c r="EL39" s="117">
        <v>336.13701099999997</v>
      </c>
      <c r="EM39" s="117">
        <v>373.30142000000001</v>
      </c>
      <c r="EN39" s="117">
        <v>0.92387200000000003</v>
      </c>
      <c r="EO39" s="117">
        <v>0.15423400000000001</v>
      </c>
      <c r="EP39" s="117">
        <v>577.64710700000001</v>
      </c>
      <c r="EQ39" s="117">
        <v>81.655204999999995</v>
      </c>
      <c r="ER39" s="117">
        <v>262.65861000000001</v>
      </c>
      <c r="ES39" s="117">
        <v>319.19038</v>
      </c>
      <c r="ET39" s="117">
        <v>362.04937000000001</v>
      </c>
      <c r="EU39" s="117">
        <v>0.92387200000000003</v>
      </c>
      <c r="EV39" s="117">
        <v>0.21612400000000001</v>
      </c>
      <c r="EW39" s="117">
        <v>627.50926600000003</v>
      </c>
      <c r="EX39" s="117">
        <v>94.755369999999999</v>
      </c>
      <c r="EY39" s="117">
        <v>282.16680300000002</v>
      </c>
      <c r="EZ39" s="117">
        <v>342.74094100000002</v>
      </c>
      <c r="FA39" s="117">
        <v>384.288905</v>
      </c>
      <c r="FB39" s="117">
        <v>0.92387200000000003</v>
      </c>
      <c r="FC39" s="117">
        <v>0.207533</v>
      </c>
      <c r="FD39" s="117">
        <v>623.63512200000002</v>
      </c>
      <c r="FE39" s="117">
        <v>93.478819999999999</v>
      </c>
      <c r="FF39" s="117">
        <v>276.74384500000002</v>
      </c>
      <c r="FG39" s="117">
        <v>339.36833000000001</v>
      </c>
      <c r="FH39" s="117">
        <v>380.303923</v>
      </c>
      <c r="FI39" s="117">
        <v>0.92387200000000003</v>
      </c>
      <c r="FJ39" s="117">
        <v>0.19442699999999999</v>
      </c>
      <c r="FK39" s="117">
        <v>550.42174899999998</v>
      </c>
      <c r="FL39" s="117">
        <v>83.649315999999999</v>
      </c>
      <c r="FM39" s="117">
        <v>248.32134199999999</v>
      </c>
      <c r="FN39" s="117">
        <v>298.55170900000002</v>
      </c>
      <c r="FO39" s="117">
        <v>334.923767</v>
      </c>
      <c r="FP39" s="117">
        <v>0.92387200000000003</v>
      </c>
      <c r="FQ39" s="117">
        <v>0.153694</v>
      </c>
      <c r="FR39" s="117">
        <v>541.00871099999995</v>
      </c>
      <c r="FS39" s="117">
        <v>77.695808999999997</v>
      </c>
      <c r="FT39" s="117">
        <v>245.240409</v>
      </c>
      <c r="FU39" s="117">
        <v>299.682256</v>
      </c>
      <c r="FV39" s="117">
        <v>337.399407</v>
      </c>
      <c r="FW39" s="117">
        <v>0.92387200000000003</v>
      </c>
      <c r="FX39" s="117">
        <v>0.20680200000000001</v>
      </c>
      <c r="FY39" s="117">
        <v>683.64146700000003</v>
      </c>
      <c r="FZ39" s="117">
        <v>100.34803599999999</v>
      </c>
      <c r="GA39" s="117">
        <v>300.15006599999998</v>
      </c>
      <c r="GB39" s="117">
        <v>382.80133599999999</v>
      </c>
      <c r="GC39" s="117">
        <v>423.83667500000001</v>
      </c>
      <c r="GD39" s="117">
        <v>0.92387200000000003</v>
      </c>
      <c r="GE39" s="117">
        <v>0.19833000000000001</v>
      </c>
      <c r="GF39" s="117">
        <v>613.81514200000004</v>
      </c>
      <c r="GG39" s="117">
        <v>91.065012999999993</v>
      </c>
      <c r="GH39" s="117">
        <v>276.80330199999997</v>
      </c>
      <c r="GI39" s="117">
        <v>336.49172299999998</v>
      </c>
      <c r="GJ39" s="117">
        <v>378.38463100000001</v>
      </c>
      <c r="GK39" s="117">
        <v>0.92387200000000003</v>
      </c>
      <c r="GL39" s="117">
        <v>0.13406299999999999</v>
      </c>
      <c r="GM39" s="117">
        <v>574.77290200000004</v>
      </c>
      <c r="GN39" s="117">
        <v>78.683728000000002</v>
      </c>
      <c r="GO39" s="117">
        <v>263.60718900000001</v>
      </c>
      <c r="GP39" s="117">
        <v>315.86361900000003</v>
      </c>
      <c r="GQ39" s="117">
        <v>362.96417500000001</v>
      </c>
      <c r="GR39" s="117">
        <v>0.92387200000000003</v>
      </c>
      <c r="GS39" s="117">
        <v>0.20413999999999999</v>
      </c>
      <c r="GT39" s="117">
        <v>689.84168299999999</v>
      </c>
      <c r="GU39" s="117">
        <v>100.493233</v>
      </c>
      <c r="GV39" s="117">
        <v>304.98530899999997</v>
      </c>
      <c r="GW39" s="117">
        <v>382.47805899999997</v>
      </c>
      <c r="GX39" s="117">
        <v>427.54698000000002</v>
      </c>
      <c r="GY39" s="117">
        <v>0.92387200000000003</v>
      </c>
      <c r="GZ39" s="117">
        <v>0.26935500000000001</v>
      </c>
      <c r="HA39" s="117">
        <v>723.05523400000004</v>
      </c>
      <c r="HB39" s="117">
        <v>111.57095099999999</v>
      </c>
      <c r="HC39" s="117">
        <v>324.37334299999998</v>
      </c>
      <c r="HD39" s="117">
        <v>390.06146799999999</v>
      </c>
      <c r="HE39" s="117">
        <v>438.67222500000003</v>
      </c>
      <c r="HF39" s="117">
        <v>0.92387200000000003</v>
      </c>
    </row>
    <row r="40" spans="6:214" x14ac:dyDescent="0.25">
      <c r="F40" s="116" t="str">
        <f xml:space="preserve"> _xll.EPMOlapMemberO("[PRDDESCR].[].[WONDER GFREE WHITE 470G]","","WONDER GFREE WHITE 470G","","000")</f>
        <v>WONDER GFREE WHITE 470G</v>
      </c>
      <c r="G40" s="116" t="str">
        <f xml:space="preserve"> _xll.EPMOlapMemberO("[PRDID].[].[179649]","","179649","","000")</f>
        <v>179649</v>
      </c>
      <c r="H40" s="116" t="str">
        <f xml:space="preserve"> _xll.EPMOlapMemberO("[LOCID].[].[6130]","","6130","","000")</f>
        <v>6130</v>
      </c>
      <c r="I40" s="116" t="str">
        <f xml:space="preserve"> _xll.EPMOlapMemberO("[LOCDESCR].[].[QBA-Canning Vale]","","QBA-Canning Vale","","000")</f>
        <v>QBA-Canning Vale</v>
      </c>
      <c r="J40" s="116" t="str">
        <f xml:space="preserve"> _xll.EPMOlapMemberO("[KEY_FIGURES].[].[ZGFAPPROVEDFCSTQTY]","","Approved Forecast","","000")</f>
        <v>Approved Forecast</v>
      </c>
      <c r="K40" s="117">
        <v>70.844928999999993</v>
      </c>
      <c r="L40" s="117">
        <v>70.844920999999999</v>
      </c>
      <c r="M40" s="117">
        <v>70.844873000000007</v>
      </c>
      <c r="N40" s="117">
        <v>70.844845000000007</v>
      </c>
      <c r="O40" s="117">
        <v>70.844808999999998</v>
      </c>
      <c r="P40" s="117">
        <v>78.438984000000005</v>
      </c>
      <c r="Q40" s="117">
        <v>78.438984000000005</v>
      </c>
      <c r="R40" s="117">
        <v>36.081968000000003</v>
      </c>
      <c r="S40" s="117">
        <v>36.081968000000003</v>
      </c>
      <c r="T40" s="117">
        <v>42.651840999999997</v>
      </c>
      <c r="U40" s="117">
        <v>42.651840999999997</v>
      </c>
      <c r="V40" s="117">
        <v>42.651840999999997</v>
      </c>
      <c r="W40" s="117">
        <v>47.223889</v>
      </c>
      <c r="X40" s="117">
        <v>47.223889</v>
      </c>
      <c r="Y40" s="117">
        <v>102.55190399999999</v>
      </c>
      <c r="Z40" s="117">
        <v>102.55190399999999</v>
      </c>
      <c r="AA40" s="117">
        <v>89.901464000000004</v>
      </c>
      <c r="AB40" s="117">
        <v>89.901342</v>
      </c>
      <c r="AC40" s="117">
        <v>89.901336000000001</v>
      </c>
      <c r="AD40" s="117">
        <v>101.601438</v>
      </c>
      <c r="AE40" s="117">
        <v>101.601344</v>
      </c>
      <c r="AF40" s="117">
        <v>59.129339999999999</v>
      </c>
      <c r="AG40" s="117">
        <v>59.129198000000002</v>
      </c>
      <c r="AH40" s="117">
        <v>69.018962000000002</v>
      </c>
      <c r="AI40" s="117">
        <v>69.018919999999994</v>
      </c>
      <c r="AJ40" s="117">
        <v>69.018913999999995</v>
      </c>
      <c r="AK40" s="117">
        <v>78.001232000000002</v>
      </c>
      <c r="AL40" s="117">
        <v>78.001137999999997</v>
      </c>
      <c r="AM40" s="117">
        <v>69.698357000000001</v>
      </c>
      <c r="AN40" s="117">
        <v>69.698339000000004</v>
      </c>
      <c r="AO40" s="117">
        <v>59.634540000000001</v>
      </c>
      <c r="AP40" s="117">
        <v>59.634520000000002</v>
      </c>
      <c r="AQ40" s="117">
        <v>59.634535999999997</v>
      </c>
      <c r="AR40" s="117">
        <v>69.677403999999996</v>
      </c>
      <c r="AS40" s="117">
        <v>69.677397999999997</v>
      </c>
      <c r="AT40" s="117">
        <v>51.885669999999998</v>
      </c>
      <c r="AU40" s="117">
        <v>51.885593</v>
      </c>
      <c r="AV40" s="117">
        <v>61.559752000000003</v>
      </c>
      <c r="AW40" s="117">
        <v>61.559671000000002</v>
      </c>
      <c r="AX40" s="117">
        <v>61.559668000000002</v>
      </c>
      <c r="AY40" s="117">
        <v>69.571359000000001</v>
      </c>
      <c r="AZ40" s="117">
        <v>69.571310999999994</v>
      </c>
      <c r="BA40" s="117">
        <v>71.198246999999995</v>
      </c>
      <c r="BB40" s="117">
        <v>71.198193000000003</v>
      </c>
      <c r="BC40" s="117">
        <v>59.961723999999997</v>
      </c>
      <c r="BD40" s="117">
        <v>59.961708000000002</v>
      </c>
      <c r="BE40" s="117">
        <v>59.96172</v>
      </c>
      <c r="BF40" s="117">
        <v>70.059792000000002</v>
      </c>
      <c r="BG40" s="117">
        <v>70.059805999999995</v>
      </c>
      <c r="BH40" s="117">
        <v>60.289251999999998</v>
      </c>
      <c r="BI40" s="117">
        <v>60.289110000000001</v>
      </c>
      <c r="BJ40" s="117">
        <v>69.217099000000005</v>
      </c>
      <c r="BK40" s="117">
        <v>69.216977999999997</v>
      </c>
      <c r="BL40" s="117">
        <v>69.216973999999993</v>
      </c>
      <c r="BM40" s="117">
        <v>78.225121999999999</v>
      </c>
      <c r="BN40" s="117">
        <v>78.225042000000002</v>
      </c>
      <c r="BO40" s="117">
        <v>72.875816</v>
      </c>
      <c r="BP40" s="117">
        <v>72.875780000000006</v>
      </c>
      <c r="BQ40" s="117">
        <v>63.375604000000003</v>
      </c>
      <c r="BR40" s="117">
        <v>63.375579999999999</v>
      </c>
      <c r="BS40" s="117">
        <v>63.375591999999997</v>
      </c>
      <c r="BT40" s="117">
        <v>74.048609999999996</v>
      </c>
      <c r="BU40" s="117">
        <v>74.048518000000001</v>
      </c>
      <c r="BV40" s="117">
        <v>55.039346999999999</v>
      </c>
      <c r="BW40" s="117">
        <v>55.039251</v>
      </c>
      <c r="BX40" s="117">
        <v>55.039259999999999</v>
      </c>
      <c r="BY40" s="117">
        <v>55.039239999999999</v>
      </c>
      <c r="BZ40" s="117">
        <v>55.039088</v>
      </c>
      <c r="CA40" s="117">
        <v>64.308245999999997</v>
      </c>
      <c r="CB40" s="117">
        <v>64.308243000000004</v>
      </c>
      <c r="CC40" s="117">
        <v>61.744729999999997</v>
      </c>
      <c r="CD40" s="117">
        <v>61.744585000000001</v>
      </c>
      <c r="CE40" s="117">
        <v>61.744503000000002</v>
      </c>
      <c r="CF40" s="117">
        <v>61.744486000000002</v>
      </c>
      <c r="CG40" s="117">
        <v>61.744497000000003</v>
      </c>
      <c r="CH40" s="117">
        <v>72.142823000000007</v>
      </c>
      <c r="CI40" s="117">
        <v>72.142779000000004</v>
      </c>
      <c r="CJ40" s="117">
        <v>49.742404000000001</v>
      </c>
      <c r="CK40" s="117">
        <v>49.742261999999997</v>
      </c>
      <c r="CL40" s="117">
        <v>57.249166000000002</v>
      </c>
      <c r="CM40" s="117">
        <v>57.249124000000002</v>
      </c>
      <c r="CN40" s="117">
        <v>57.249118000000003</v>
      </c>
      <c r="CO40" s="117">
        <v>64.699630999999997</v>
      </c>
      <c r="CP40" s="117">
        <v>64.699580999999995</v>
      </c>
      <c r="CQ40" s="117">
        <v>60.323436000000001</v>
      </c>
      <c r="CR40" s="117">
        <v>60.323399999999999</v>
      </c>
      <c r="CS40" s="117">
        <v>52.390321</v>
      </c>
      <c r="CT40" s="117">
        <v>52.390301000000001</v>
      </c>
      <c r="CU40" s="117">
        <v>52.390399000000002</v>
      </c>
      <c r="CV40" s="117">
        <v>61.213417</v>
      </c>
      <c r="CW40" s="117">
        <v>61.213307999999998</v>
      </c>
      <c r="CX40" s="117">
        <v>43.490994999999998</v>
      </c>
      <c r="CY40" s="117">
        <v>43.490851999999997</v>
      </c>
      <c r="CZ40" s="117">
        <v>43.490935999999998</v>
      </c>
      <c r="DA40" s="117">
        <v>43.490920000000003</v>
      </c>
      <c r="DB40" s="117">
        <v>43.490927999999997</v>
      </c>
      <c r="DC40" s="117">
        <v>50.815201999999999</v>
      </c>
      <c r="DD40" s="117">
        <v>50.815179000000001</v>
      </c>
      <c r="DE40" s="117">
        <v>44.703327000000002</v>
      </c>
      <c r="DF40" s="117">
        <v>44.703254000000001</v>
      </c>
      <c r="DG40" s="117">
        <v>44.703346000000003</v>
      </c>
      <c r="DH40" s="117">
        <v>44.703333999999998</v>
      </c>
      <c r="DI40" s="117">
        <v>44.703341000000002</v>
      </c>
      <c r="DJ40" s="117">
        <v>52.231797999999998</v>
      </c>
      <c r="DK40" s="117">
        <v>52.231814</v>
      </c>
      <c r="DL40" s="117">
        <v>51.189667999999998</v>
      </c>
      <c r="DM40" s="117">
        <v>51.189526000000001</v>
      </c>
      <c r="DN40" s="117">
        <v>57.064501999999997</v>
      </c>
      <c r="DO40" s="117">
        <v>57.064459999999997</v>
      </c>
      <c r="DP40" s="117">
        <v>57.064453999999998</v>
      </c>
      <c r="DQ40" s="117">
        <v>64.491057999999995</v>
      </c>
      <c r="DR40" s="117">
        <v>64.491011</v>
      </c>
      <c r="DS40" s="117">
        <v>58.128255000000003</v>
      </c>
      <c r="DT40" s="117">
        <v>58.128236999999999</v>
      </c>
      <c r="DU40" s="117">
        <v>52.144877000000001</v>
      </c>
      <c r="DV40" s="117">
        <v>52.144860999999999</v>
      </c>
      <c r="DW40" s="117">
        <v>52.144872999999997</v>
      </c>
      <c r="DX40" s="117">
        <v>60.926513</v>
      </c>
      <c r="DY40" s="117">
        <v>60.92662</v>
      </c>
      <c r="DZ40" s="117">
        <v>47.840972000000001</v>
      </c>
      <c r="EA40" s="117">
        <v>47.840727000000001</v>
      </c>
      <c r="EB40" s="117">
        <v>47.840812</v>
      </c>
      <c r="EC40" s="117">
        <v>47.840812</v>
      </c>
      <c r="ED40" s="117">
        <v>47.840831999999999</v>
      </c>
      <c r="EE40" s="117">
        <v>55.897682000000003</v>
      </c>
      <c r="EF40" s="117">
        <v>55.897658999999997</v>
      </c>
      <c r="EG40" s="117">
        <v>48.531773999999999</v>
      </c>
      <c r="EH40" s="117">
        <v>48.531700999999998</v>
      </c>
      <c r="EI40" s="117">
        <v>53.911304000000001</v>
      </c>
      <c r="EJ40" s="117">
        <v>53.911262999999998</v>
      </c>
      <c r="EK40" s="117">
        <v>53.911259999999999</v>
      </c>
      <c r="EL40" s="117">
        <v>60.927463000000003</v>
      </c>
      <c r="EM40" s="117">
        <v>60.927416000000001</v>
      </c>
      <c r="EN40" s="117">
        <v>54.206935000000001</v>
      </c>
      <c r="EO40" s="117">
        <v>54.206916999999997</v>
      </c>
      <c r="EP40" s="117">
        <v>48.746737000000003</v>
      </c>
      <c r="EQ40" s="117">
        <v>48.746763999999999</v>
      </c>
      <c r="ER40" s="117">
        <v>48.746671999999997</v>
      </c>
      <c r="ES40" s="117">
        <v>56.956000000000003</v>
      </c>
      <c r="ET40" s="117">
        <v>56.956014000000003</v>
      </c>
      <c r="EU40" s="117">
        <v>45.877142999999997</v>
      </c>
      <c r="EV40" s="117">
        <v>45.876997000000003</v>
      </c>
      <c r="EW40" s="117">
        <v>45.877003999999999</v>
      </c>
      <c r="EX40" s="117">
        <v>45.876992000000001</v>
      </c>
      <c r="EY40" s="117">
        <v>45.877104000000003</v>
      </c>
      <c r="EZ40" s="117">
        <v>53.603214000000001</v>
      </c>
      <c r="FA40" s="117">
        <v>53.603211000000002</v>
      </c>
      <c r="FB40" s="117">
        <v>46.937246000000002</v>
      </c>
      <c r="FC40" s="117">
        <v>46.937173000000001</v>
      </c>
      <c r="FD40" s="117">
        <v>54.944661000000004</v>
      </c>
      <c r="FE40" s="117">
        <v>54.944619000000003</v>
      </c>
      <c r="FF40" s="117">
        <v>54.944616000000003</v>
      </c>
      <c r="FG40" s="117">
        <v>62.095291000000003</v>
      </c>
      <c r="FH40" s="117">
        <v>62.095244000000001</v>
      </c>
      <c r="FI40" s="117">
        <v>61.784368999999998</v>
      </c>
      <c r="FJ40" s="117">
        <v>61.784351000000001</v>
      </c>
      <c r="FK40" s="117">
        <v>52.755567999999997</v>
      </c>
      <c r="FL40" s="117">
        <v>52.755552000000002</v>
      </c>
      <c r="FM40" s="117">
        <v>52.755636000000003</v>
      </c>
      <c r="FN40" s="117">
        <v>61.640248999999997</v>
      </c>
      <c r="FO40" s="117">
        <v>61.640225999999998</v>
      </c>
      <c r="FP40" s="117">
        <v>51.555643000000003</v>
      </c>
      <c r="FQ40" s="117">
        <v>51.555436999999998</v>
      </c>
      <c r="FR40" s="117">
        <v>51.555408</v>
      </c>
      <c r="FS40" s="117">
        <v>51.555391999999998</v>
      </c>
      <c r="FT40" s="117">
        <v>51.555503999999999</v>
      </c>
      <c r="FU40" s="117">
        <v>60.237927999999997</v>
      </c>
      <c r="FV40" s="117">
        <v>60.237941999999997</v>
      </c>
      <c r="FW40" s="117">
        <v>45.142414000000002</v>
      </c>
      <c r="FX40" s="117">
        <v>45.142336999999998</v>
      </c>
      <c r="FY40" s="117">
        <v>53.139288999999998</v>
      </c>
      <c r="FZ40" s="117">
        <v>53.139242000000003</v>
      </c>
      <c r="GA40" s="117">
        <v>53.139235999999997</v>
      </c>
      <c r="GB40" s="117">
        <v>60.054913999999997</v>
      </c>
      <c r="GC40" s="117">
        <v>60.054867000000002</v>
      </c>
      <c r="GD40" s="117">
        <v>49.912565999999998</v>
      </c>
      <c r="GE40" s="117">
        <v>49.912548000000001</v>
      </c>
      <c r="GF40" s="117">
        <v>42.376888000000001</v>
      </c>
      <c r="GG40" s="117">
        <v>42.376871999999999</v>
      </c>
      <c r="GH40" s="117">
        <v>42.376829000000001</v>
      </c>
      <c r="GI40" s="117">
        <v>49.513500999999998</v>
      </c>
      <c r="GJ40" s="117">
        <v>49.513514999999998</v>
      </c>
      <c r="GK40" s="117">
        <v>47.693584000000001</v>
      </c>
      <c r="GL40" s="117">
        <v>47.693511000000001</v>
      </c>
      <c r="GM40" s="117">
        <v>47.693517999999997</v>
      </c>
      <c r="GN40" s="117">
        <v>47.693502000000002</v>
      </c>
      <c r="GO40" s="117">
        <v>47.693514</v>
      </c>
      <c r="GP40" s="117">
        <v>55.725507</v>
      </c>
      <c r="GQ40" s="117">
        <v>55.725484000000002</v>
      </c>
      <c r="GR40" s="117">
        <v>56.310110999999999</v>
      </c>
      <c r="GS40" s="117">
        <v>56.309969000000002</v>
      </c>
      <c r="GT40" s="117">
        <v>61.059097999999999</v>
      </c>
      <c r="GU40" s="117">
        <v>61.059016999999997</v>
      </c>
      <c r="GV40" s="117">
        <v>61.059013999999998</v>
      </c>
      <c r="GW40" s="117">
        <v>69.005392000000001</v>
      </c>
      <c r="GX40" s="117">
        <v>69.005345000000005</v>
      </c>
      <c r="GY40" s="117">
        <v>48.183050999999999</v>
      </c>
      <c r="GZ40" s="117">
        <v>48.183033000000002</v>
      </c>
      <c r="HA40" s="117">
        <v>44.381487</v>
      </c>
      <c r="HB40" s="117">
        <v>44.381470999999998</v>
      </c>
      <c r="HC40" s="117">
        <v>44.381483000000003</v>
      </c>
      <c r="HD40" s="117">
        <v>51.855705</v>
      </c>
      <c r="HE40" s="117">
        <v>51.855702000000001</v>
      </c>
      <c r="HF40" s="117">
        <v>46.185706000000003</v>
      </c>
    </row>
    <row r="41" spans="6:214" x14ac:dyDescent="0.25">
      <c r="F41" s="116" t="str">
        <f xml:space="preserve"> _xll.EPMOlapMemberO("[PRDDESCR].[].[WONDER GFREE WHITE 470G]","","WONDER GFREE WHITE 470G","","000")</f>
        <v>WONDER GFREE WHITE 470G</v>
      </c>
      <c r="G41" s="116" t="str">
        <f xml:space="preserve"> _xll.EPMOlapMemberO("[PRDID].[].[179649]","","179649","","000")</f>
        <v>179649</v>
      </c>
      <c r="H41" s="116" t="str">
        <f xml:space="preserve"> _xll.EPMOlapMemberO("[LOCID].[].[6134]","","6134","","000")</f>
        <v>6134</v>
      </c>
      <c r="I41" s="116" t="str">
        <f xml:space="preserve"> _xll.EPMOlapMemberO("[LOCDESCR].[].[QBA-West Richmond SA]","","QBA-West Richmond SA","","000")</f>
        <v>QBA-West Richmond SA</v>
      </c>
      <c r="J41" s="116" t="str">
        <f xml:space="preserve"> _xll.EPMOlapMemberO("[KEY_FIGURES].[].[ZGFAPPROVEDFCSTQTY]","","Approved Forecast","","000")</f>
        <v>Approved Forecast</v>
      </c>
      <c r="K41" s="117">
        <v>423.595392</v>
      </c>
      <c r="L41" s="117">
        <v>134.22468499999999</v>
      </c>
      <c r="M41" s="117">
        <v>372.27951300000001</v>
      </c>
      <c r="N41" s="117">
        <v>154.174024</v>
      </c>
      <c r="O41" s="117">
        <v>322.50583799999998</v>
      </c>
      <c r="P41" s="117">
        <v>188.962222</v>
      </c>
      <c r="Q41" s="117">
        <v>101.36916100000001</v>
      </c>
      <c r="R41" s="117">
        <v>409.88416899999999</v>
      </c>
      <c r="S41" s="117">
        <v>129.70123899999999</v>
      </c>
      <c r="T41" s="117">
        <v>359.67077599999999</v>
      </c>
      <c r="U41" s="117">
        <v>150.16070999999999</v>
      </c>
      <c r="V41" s="117">
        <v>321.42708199999998</v>
      </c>
      <c r="W41" s="117">
        <v>182.998537</v>
      </c>
      <c r="X41" s="117">
        <v>99.102549999999994</v>
      </c>
      <c r="Y41" s="117">
        <v>495.463866</v>
      </c>
      <c r="Z41" s="117">
        <v>142.81164699999999</v>
      </c>
      <c r="AA41" s="117">
        <v>391.158771</v>
      </c>
      <c r="AB41" s="117">
        <v>167.99310299999999</v>
      </c>
      <c r="AC41" s="117">
        <v>364.30381</v>
      </c>
      <c r="AD41" s="117">
        <v>191.604546</v>
      </c>
      <c r="AE41" s="117">
        <v>102.84962899999999</v>
      </c>
      <c r="AF41" s="117">
        <v>430.15275800000001</v>
      </c>
      <c r="AG41" s="117">
        <v>128.99894399999999</v>
      </c>
      <c r="AH41" s="117">
        <v>381.406769</v>
      </c>
      <c r="AI41" s="117">
        <v>156.81122500000001</v>
      </c>
      <c r="AJ41" s="117">
        <v>345.51213000000001</v>
      </c>
      <c r="AK41" s="117">
        <v>188.71493100000001</v>
      </c>
      <c r="AL41" s="117">
        <v>104.632907</v>
      </c>
      <c r="AM41" s="117">
        <v>438.02030100000002</v>
      </c>
      <c r="AN41" s="117">
        <v>134.938355</v>
      </c>
      <c r="AO41" s="117">
        <v>360.34331800000001</v>
      </c>
      <c r="AP41" s="117">
        <v>148.25942599999999</v>
      </c>
      <c r="AQ41" s="117">
        <v>329.59734300000002</v>
      </c>
      <c r="AR41" s="117">
        <v>180.381272</v>
      </c>
      <c r="AS41" s="117">
        <v>100.00161799999999</v>
      </c>
      <c r="AT41" s="117">
        <v>400.05069400000002</v>
      </c>
      <c r="AU41" s="117">
        <v>123.179641</v>
      </c>
      <c r="AV41" s="117">
        <v>363.53589599999998</v>
      </c>
      <c r="AW41" s="117">
        <v>149.194188</v>
      </c>
      <c r="AX41" s="117">
        <v>326.76390700000002</v>
      </c>
      <c r="AY41" s="117">
        <v>180.24363399999999</v>
      </c>
      <c r="AZ41" s="117">
        <v>101.371601</v>
      </c>
      <c r="BA41" s="117">
        <v>441.78738499999997</v>
      </c>
      <c r="BB41" s="117">
        <v>140.84849399999999</v>
      </c>
      <c r="BC41" s="117">
        <v>368.036182</v>
      </c>
      <c r="BD41" s="117">
        <v>150.73946000000001</v>
      </c>
      <c r="BE41" s="117">
        <v>333.62057499999997</v>
      </c>
      <c r="BF41" s="117">
        <v>184.763124</v>
      </c>
      <c r="BG41" s="117">
        <v>103.974413</v>
      </c>
      <c r="BH41" s="117">
        <v>420.49675100000002</v>
      </c>
      <c r="BI41" s="117">
        <v>120.133701</v>
      </c>
      <c r="BJ41" s="117">
        <v>356.14750199999997</v>
      </c>
      <c r="BK41" s="117">
        <v>147.669758</v>
      </c>
      <c r="BL41" s="117">
        <v>328.11148400000002</v>
      </c>
      <c r="BM41" s="117">
        <v>175.756955</v>
      </c>
      <c r="BN41" s="117">
        <v>95.028722999999999</v>
      </c>
      <c r="BO41" s="117">
        <v>454.67794300000003</v>
      </c>
      <c r="BP41" s="117">
        <v>143.990025</v>
      </c>
      <c r="BQ41" s="117">
        <v>382.00482499999998</v>
      </c>
      <c r="BR41" s="117">
        <v>158.87516199999999</v>
      </c>
      <c r="BS41" s="117">
        <v>346.39605299999999</v>
      </c>
      <c r="BT41" s="117">
        <v>191.541055</v>
      </c>
      <c r="BU41" s="117">
        <v>108.391001</v>
      </c>
      <c r="BV41" s="117">
        <v>467.67673200000002</v>
      </c>
      <c r="BW41" s="117">
        <v>136.017213</v>
      </c>
      <c r="BX41" s="117">
        <v>386.44901700000003</v>
      </c>
      <c r="BY41" s="117">
        <v>159.31442300000001</v>
      </c>
      <c r="BZ41" s="117">
        <v>355.08884899999998</v>
      </c>
      <c r="CA41" s="117">
        <v>193.118989</v>
      </c>
      <c r="CB41" s="117">
        <v>106.169495</v>
      </c>
      <c r="CC41" s="117">
        <v>473.39630099999999</v>
      </c>
      <c r="CD41" s="117">
        <v>139.28098</v>
      </c>
      <c r="CE41" s="117">
        <v>394.30995999999999</v>
      </c>
      <c r="CF41" s="117">
        <v>162.88411500000001</v>
      </c>
      <c r="CG41" s="117">
        <v>362.732865</v>
      </c>
      <c r="CH41" s="117">
        <v>197.17705100000001</v>
      </c>
      <c r="CI41" s="117">
        <v>108.483148</v>
      </c>
      <c r="CJ41" s="117">
        <v>428.30758500000002</v>
      </c>
      <c r="CK41" s="117">
        <v>126.858475</v>
      </c>
      <c r="CL41" s="117">
        <v>373.50455599999998</v>
      </c>
      <c r="CM41" s="117">
        <v>153.82480699999999</v>
      </c>
      <c r="CN41" s="117">
        <v>339.93224500000002</v>
      </c>
      <c r="CO41" s="117">
        <v>184.624503</v>
      </c>
      <c r="CP41" s="117">
        <v>101.581512</v>
      </c>
      <c r="CQ41" s="117">
        <v>450.19472500000001</v>
      </c>
      <c r="CR41" s="117">
        <v>136.67335700000001</v>
      </c>
      <c r="CS41" s="117">
        <v>369.42462</v>
      </c>
      <c r="CT41" s="117">
        <v>152.46915100000001</v>
      </c>
      <c r="CU41" s="117">
        <v>339.26979499999999</v>
      </c>
      <c r="CV41" s="117">
        <v>184.828845</v>
      </c>
      <c r="CW41" s="117">
        <v>101.97518100000001</v>
      </c>
      <c r="CX41" s="117">
        <v>471.43678199999999</v>
      </c>
      <c r="CY41" s="117">
        <v>137.23521299999999</v>
      </c>
      <c r="CZ41" s="117">
        <v>390.73882600000002</v>
      </c>
      <c r="DA41" s="117">
        <v>161.429216</v>
      </c>
      <c r="DB41" s="117">
        <v>360.27698600000002</v>
      </c>
      <c r="DC41" s="117">
        <v>195.09812600000001</v>
      </c>
      <c r="DD41" s="117">
        <v>106.698635</v>
      </c>
      <c r="DE41" s="117">
        <v>450.59890899999999</v>
      </c>
      <c r="DF41" s="117">
        <v>130.954072</v>
      </c>
      <c r="DG41" s="117">
        <v>375.03217999999998</v>
      </c>
      <c r="DH41" s="117">
        <v>154.31597300000001</v>
      </c>
      <c r="DI41" s="117">
        <v>345.09132299999999</v>
      </c>
      <c r="DJ41" s="117">
        <v>186.97359800000001</v>
      </c>
      <c r="DK41" s="117">
        <v>102.021047</v>
      </c>
      <c r="DL41" s="117">
        <v>471.616422</v>
      </c>
      <c r="DM41" s="117">
        <v>139.326525</v>
      </c>
      <c r="DN41" s="117">
        <v>404.72080299999999</v>
      </c>
      <c r="DO41" s="117">
        <v>167.03315499999999</v>
      </c>
      <c r="DP41" s="117">
        <v>369.51451400000002</v>
      </c>
      <c r="DQ41" s="117">
        <v>199.99956700000001</v>
      </c>
      <c r="DR41" s="117">
        <v>109.630275</v>
      </c>
      <c r="DS41" s="117">
        <v>459.280957</v>
      </c>
      <c r="DT41" s="117">
        <v>139.264162</v>
      </c>
      <c r="DU41" s="117">
        <v>384.62672099999997</v>
      </c>
      <c r="DV41" s="117">
        <v>157.48948100000001</v>
      </c>
      <c r="DW41" s="117">
        <v>351.20819299999999</v>
      </c>
      <c r="DX41" s="117">
        <v>192.09727899999999</v>
      </c>
      <c r="DY41" s="117">
        <v>106.007763</v>
      </c>
      <c r="DZ41" s="117">
        <v>438.769023</v>
      </c>
      <c r="EA41" s="117">
        <v>128.151183</v>
      </c>
      <c r="EB41" s="117">
        <v>365.66246000000001</v>
      </c>
      <c r="EC41" s="117">
        <v>150.57552799999999</v>
      </c>
      <c r="ED41" s="117">
        <v>336.27234600000003</v>
      </c>
      <c r="EE41" s="117">
        <v>182.47709499999999</v>
      </c>
      <c r="EF41" s="117">
        <v>99.874290000000002</v>
      </c>
      <c r="EG41" s="117">
        <v>478.999349</v>
      </c>
      <c r="EH41" s="117">
        <v>143.60935599999999</v>
      </c>
      <c r="EI41" s="117">
        <v>411.47308500000003</v>
      </c>
      <c r="EJ41" s="117">
        <v>170.54908</v>
      </c>
      <c r="EK41" s="117">
        <v>375.38544999999999</v>
      </c>
      <c r="EL41" s="117">
        <v>203.760717</v>
      </c>
      <c r="EM41" s="117">
        <v>112.62751299999999</v>
      </c>
      <c r="EN41" s="117">
        <v>493.43871799999999</v>
      </c>
      <c r="EO41" s="117">
        <v>148.51775000000001</v>
      </c>
      <c r="EP41" s="117">
        <v>407.42198300000001</v>
      </c>
      <c r="EQ41" s="117">
        <v>168.425207</v>
      </c>
      <c r="ER41" s="117">
        <v>374.69036999999997</v>
      </c>
      <c r="ES41" s="117">
        <v>203.88165900000001</v>
      </c>
      <c r="ET41" s="117">
        <v>112.41519</v>
      </c>
      <c r="EU41" s="117">
        <v>435.60565700000001</v>
      </c>
      <c r="EV41" s="117">
        <v>130.28818100000001</v>
      </c>
      <c r="EW41" s="117">
        <v>368.57766700000002</v>
      </c>
      <c r="EX41" s="117">
        <v>151.22770800000001</v>
      </c>
      <c r="EY41" s="117">
        <v>336.55526400000002</v>
      </c>
      <c r="EZ41" s="117">
        <v>184.35189399999999</v>
      </c>
      <c r="FA41" s="117">
        <v>102.12818300000001</v>
      </c>
      <c r="FB41" s="117">
        <v>466.19572699999998</v>
      </c>
      <c r="FC41" s="117">
        <v>136.711118</v>
      </c>
      <c r="FD41" s="117">
        <v>405.79065300000002</v>
      </c>
      <c r="FE41" s="117">
        <v>166.94296499999999</v>
      </c>
      <c r="FF41" s="117">
        <v>369.833867</v>
      </c>
      <c r="FG41" s="117">
        <v>200.39170999999999</v>
      </c>
      <c r="FH41" s="117">
        <v>109.72474800000001</v>
      </c>
      <c r="FI41" s="117">
        <v>479.75446799999997</v>
      </c>
      <c r="FJ41" s="117">
        <v>146.40148099999999</v>
      </c>
      <c r="FK41" s="117">
        <v>395.46759700000001</v>
      </c>
      <c r="FL41" s="117">
        <v>162.46544700000001</v>
      </c>
      <c r="FM41" s="117">
        <v>361.933877</v>
      </c>
      <c r="FN41" s="117">
        <v>197.67109600000001</v>
      </c>
      <c r="FO41" s="117">
        <v>109.106086</v>
      </c>
      <c r="FP41" s="117">
        <v>464.51716499999998</v>
      </c>
      <c r="FQ41" s="117">
        <v>137.34463400000001</v>
      </c>
      <c r="FR41" s="117">
        <v>389.90588200000002</v>
      </c>
      <c r="FS41" s="117">
        <v>160.34313</v>
      </c>
      <c r="FT41" s="117">
        <v>357.36704300000002</v>
      </c>
      <c r="FU41" s="117">
        <v>194.837041</v>
      </c>
      <c r="FV41" s="117">
        <v>107.329238</v>
      </c>
      <c r="FW41" s="117">
        <v>458.88644399999998</v>
      </c>
      <c r="FX41" s="117">
        <v>134.011809</v>
      </c>
      <c r="FY41" s="117">
        <v>398.73759100000001</v>
      </c>
      <c r="FZ41" s="117">
        <v>164.18098000000001</v>
      </c>
      <c r="GA41" s="117">
        <v>363.85466200000002</v>
      </c>
      <c r="GB41" s="117">
        <v>196.890018</v>
      </c>
      <c r="GC41" s="117">
        <v>107.642709</v>
      </c>
      <c r="GD41" s="117">
        <v>489.02102300000001</v>
      </c>
      <c r="GE41" s="117">
        <v>147.58247900000001</v>
      </c>
      <c r="GF41" s="117">
        <v>402.01943</v>
      </c>
      <c r="GG41" s="117">
        <v>164.940541</v>
      </c>
      <c r="GH41" s="117">
        <v>368.45592499999998</v>
      </c>
      <c r="GI41" s="117">
        <v>200.55896999999999</v>
      </c>
      <c r="GJ41" s="117">
        <v>110.00047499999999</v>
      </c>
      <c r="GK41" s="117">
        <v>443.324592</v>
      </c>
      <c r="GL41" s="117">
        <v>132.081963</v>
      </c>
      <c r="GM41" s="117">
        <v>375.651859</v>
      </c>
      <c r="GN41" s="117">
        <v>153.72416799999999</v>
      </c>
      <c r="GO41" s="117">
        <v>342.76561700000002</v>
      </c>
      <c r="GP41" s="117">
        <v>187.628275</v>
      </c>
      <c r="GQ41" s="117">
        <v>103.62459200000001</v>
      </c>
      <c r="GR41" s="117">
        <v>427.93989299999998</v>
      </c>
      <c r="GS41" s="117">
        <v>131.40191899999999</v>
      </c>
      <c r="GT41" s="117">
        <v>375.40728200000001</v>
      </c>
      <c r="GU41" s="117">
        <v>153.739294</v>
      </c>
      <c r="GV41" s="117">
        <v>338.56802699999997</v>
      </c>
      <c r="GW41" s="117">
        <v>185.74107900000001</v>
      </c>
      <c r="GX41" s="117">
        <v>103.4426</v>
      </c>
      <c r="GY41" s="117">
        <v>527.24168999999995</v>
      </c>
      <c r="GZ41" s="117">
        <v>160.06890000000001</v>
      </c>
      <c r="HA41" s="117">
        <v>443.77351800000002</v>
      </c>
      <c r="HB41" s="117">
        <v>182.38432499999999</v>
      </c>
      <c r="HC41" s="117">
        <v>405.61402099999998</v>
      </c>
      <c r="HD41" s="117">
        <v>222.07925299999999</v>
      </c>
      <c r="HE41" s="117">
        <v>123.097943</v>
      </c>
      <c r="HF41" s="117">
        <v>417.68643900000001</v>
      </c>
    </row>
    <row r="42" spans="6:214" x14ac:dyDescent="0.25">
      <c r="F42" s="116" t="str">
        <f xml:space="preserve"> _xll.EPMOlapMemberO("[PRDDESCR].[].[WONDER GFREE WHOLEM 500G]","","WONDER GFREE WHOLEM 500G","","000")</f>
        <v>WONDER GFREE WHOLEM 500G</v>
      </c>
      <c r="G42" s="116" t="str">
        <f xml:space="preserve"> _xll.EPMOlapMemberO("[PRDID].[].[179650]","","179650","","000")</f>
        <v>179650</v>
      </c>
      <c r="H42" s="116" t="str">
        <f xml:space="preserve"> _xll.EPMOlapMemberO("[LOCID].[].[6103]","","6103","","000")</f>
        <v>6103</v>
      </c>
      <c r="I42" s="116" t="str">
        <f xml:space="preserve"> _xll.EPMOlapMemberO("[LOCDESCR].[].[QBA-Canberra]","","QBA-Canberra","","000")</f>
        <v>QBA-Canberra</v>
      </c>
      <c r="J42" s="116" t="str">
        <f xml:space="preserve"> _xll.EPMOlapMemberO("[KEY_FIGURES].[].[ZGFAPPROVEDFCSTQTY]","","Approved Forecast","","000")</f>
        <v>Approved Forecast</v>
      </c>
      <c r="K42" s="117">
        <v>67.629656999999995</v>
      </c>
      <c r="L42" s="117">
        <v>52.582380000000001</v>
      </c>
      <c r="M42" s="117">
        <v>40.849015999999999</v>
      </c>
      <c r="N42" s="117">
        <v>53.957247000000002</v>
      </c>
      <c r="O42" s="117">
        <v>39.367663999999998</v>
      </c>
      <c r="P42" s="117">
        <v>64.209155999999993</v>
      </c>
      <c r="Q42" s="117">
        <v>39.090139999999998</v>
      </c>
      <c r="R42" s="117">
        <v>95.044053000000005</v>
      </c>
      <c r="S42" s="117">
        <v>68.721020999999993</v>
      </c>
      <c r="T42" s="117">
        <v>53.922919</v>
      </c>
      <c r="U42" s="117">
        <v>64.857812999999993</v>
      </c>
      <c r="V42" s="117">
        <v>53.662036000000001</v>
      </c>
      <c r="W42" s="117">
        <v>92.488101</v>
      </c>
      <c r="X42" s="117">
        <v>51.951718999999997</v>
      </c>
      <c r="Y42" s="117">
        <v>100.688548</v>
      </c>
      <c r="Z42" s="117">
        <v>70.993470000000002</v>
      </c>
      <c r="AA42" s="117">
        <v>52.708723999999997</v>
      </c>
      <c r="AB42" s="117">
        <v>61.913863999999997</v>
      </c>
      <c r="AC42" s="117">
        <v>55.901521000000002</v>
      </c>
      <c r="AD42" s="117">
        <v>86.804841999999994</v>
      </c>
      <c r="AE42" s="117">
        <v>48.482877999999999</v>
      </c>
      <c r="AF42" s="117">
        <v>94.281623999999994</v>
      </c>
      <c r="AG42" s="117">
        <v>64.814010999999994</v>
      </c>
      <c r="AH42" s="117">
        <v>52.649431</v>
      </c>
      <c r="AI42" s="117">
        <v>61.743572</v>
      </c>
      <c r="AJ42" s="117">
        <v>55.820582999999999</v>
      </c>
      <c r="AK42" s="117">
        <v>86.076562999999993</v>
      </c>
      <c r="AL42" s="117">
        <v>49.065249999999999</v>
      </c>
      <c r="AM42" s="117">
        <v>100.754182</v>
      </c>
      <c r="AN42" s="117">
        <v>69.857639000000006</v>
      </c>
      <c r="AO42" s="117">
        <v>51.806429000000001</v>
      </c>
      <c r="AP42" s="117">
        <v>58.795501999999999</v>
      </c>
      <c r="AQ42" s="117">
        <v>56.402012999999997</v>
      </c>
      <c r="AR42" s="117">
        <v>84.368199000000004</v>
      </c>
      <c r="AS42" s="117">
        <v>47.734485999999997</v>
      </c>
      <c r="AT42" s="117">
        <v>94.787181000000004</v>
      </c>
      <c r="AU42" s="117">
        <v>65.096765000000005</v>
      </c>
      <c r="AV42" s="117">
        <v>53.119717000000001</v>
      </c>
      <c r="AW42" s="117">
        <v>61.988377</v>
      </c>
      <c r="AX42" s="117">
        <v>56.493693999999998</v>
      </c>
      <c r="AY42" s="117">
        <v>86.78989</v>
      </c>
      <c r="AZ42" s="117">
        <v>49.375798000000003</v>
      </c>
      <c r="BA42" s="117">
        <v>94.753860000000003</v>
      </c>
      <c r="BB42" s="117">
        <v>66.422846000000007</v>
      </c>
      <c r="BC42" s="117">
        <v>48.672820999999999</v>
      </c>
      <c r="BD42" s="117">
        <v>56.218836000000003</v>
      </c>
      <c r="BE42" s="117">
        <v>51.796545000000002</v>
      </c>
      <c r="BF42" s="117">
        <v>80.115671000000006</v>
      </c>
      <c r="BG42" s="117">
        <v>46.432450000000003</v>
      </c>
      <c r="BH42" s="117">
        <v>105.80813499999999</v>
      </c>
      <c r="BI42" s="117">
        <v>72.630948000000004</v>
      </c>
      <c r="BJ42" s="117">
        <v>58.610798000000003</v>
      </c>
      <c r="BK42" s="117">
        <v>68.748007999999999</v>
      </c>
      <c r="BL42" s="117">
        <v>62.247110999999997</v>
      </c>
      <c r="BM42" s="117">
        <v>95.673162000000005</v>
      </c>
      <c r="BN42" s="117">
        <v>54.401173999999997</v>
      </c>
      <c r="BO42" s="117">
        <v>93.115671000000006</v>
      </c>
      <c r="BP42" s="117">
        <v>64.755222000000003</v>
      </c>
      <c r="BQ42" s="117">
        <v>48.395626</v>
      </c>
      <c r="BR42" s="117">
        <v>55.149878999999999</v>
      </c>
      <c r="BS42" s="117">
        <v>52.166604</v>
      </c>
      <c r="BT42" s="117">
        <v>78.619213999999999</v>
      </c>
      <c r="BU42" s="117">
        <v>44.730646</v>
      </c>
      <c r="BV42" s="117">
        <v>95.420282</v>
      </c>
      <c r="BW42" s="117">
        <v>65.171272999999999</v>
      </c>
      <c r="BX42" s="117">
        <v>50.421973000000001</v>
      </c>
      <c r="BY42" s="117">
        <v>57.62744</v>
      </c>
      <c r="BZ42" s="117">
        <v>55.061455000000002</v>
      </c>
      <c r="CA42" s="117">
        <v>81.511741000000001</v>
      </c>
      <c r="CB42" s="117">
        <v>45.976818000000002</v>
      </c>
      <c r="CC42" s="117">
        <v>106.627875</v>
      </c>
      <c r="CD42" s="117">
        <v>73.207931000000002</v>
      </c>
      <c r="CE42" s="117">
        <v>56.653039999999997</v>
      </c>
      <c r="CF42" s="117">
        <v>64.815265999999994</v>
      </c>
      <c r="CG42" s="117">
        <v>61.566335000000002</v>
      </c>
      <c r="CH42" s="117">
        <v>92.143495999999999</v>
      </c>
      <c r="CI42" s="117">
        <v>52.154497999999997</v>
      </c>
      <c r="CJ42" s="117">
        <v>87.654054000000002</v>
      </c>
      <c r="CK42" s="117">
        <v>60.686473999999997</v>
      </c>
      <c r="CL42" s="117">
        <v>48.979334999999999</v>
      </c>
      <c r="CM42" s="117">
        <v>57.340124000000003</v>
      </c>
      <c r="CN42" s="117">
        <v>51.414306000000003</v>
      </c>
      <c r="CO42" s="117">
        <v>80.727867000000003</v>
      </c>
      <c r="CP42" s="117">
        <v>46.603729000000001</v>
      </c>
      <c r="CQ42" s="117">
        <v>101.245481</v>
      </c>
      <c r="CR42" s="117">
        <v>70.119428999999997</v>
      </c>
      <c r="CS42" s="117">
        <v>52.183518999999997</v>
      </c>
      <c r="CT42" s="117">
        <v>59.411074999999997</v>
      </c>
      <c r="CU42" s="117">
        <v>56.908591999999999</v>
      </c>
      <c r="CV42" s="117">
        <v>84.801158999999998</v>
      </c>
      <c r="CW42" s="117">
        <v>47.849254999999999</v>
      </c>
      <c r="CX42" s="117">
        <v>97.966848999999996</v>
      </c>
      <c r="CY42" s="117">
        <v>67.030044000000004</v>
      </c>
      <c r="CZ42" s="117">
        <v>51.964475999999998</v>
      </c>
      <c r="DA42" s="117">
        <v>59.388041999999999</v>
      </c>
      <c r="DB42" s="117">
        <v>56.518528000000003</v>
      </c>
      <c r="DC42" s="117">
        <v>84.258601999999996</v>
      </c>
      <c r="DD42" s="117">
        <v>47.752105</v>
      </c>
      <c r="DE42" s="117">
        <v>80.100498999999999</v>
      </c>
      <c r="DF42" s="117">
        <v>55.171708000000002</v>
      </c>
      <c r="DG42" s="117">
        <v>42.709195000000001</v>
      </c>
      <c r="DH42" s="117">
        <v>48.472043999999997</v>
      </c>
      <c r="DI42" s="117">
        <v>46.346366000000003</v>
      </c>
      <c r="DJ42" s="117">
        <v>69.742125000000001</v>
      </c>
      <c r="DK42" s="117">
        <v>39.647286999999999</v>
      </c>
      <c r="DL42" s="117">
        <v>91.324785000000006</v>
      </c>
      <c r="DM42" s="117">
        <v>62.746887000000001</v>
      </c>
      <c r="DN42" s="117">
        <v>49.878743999999998</v>
      </c>
      <c r="DO42" s="117">
        <v>58.982953000000002</v>
      </c>
      <c r="DP42" s="117">
        <v>52.833795000000002</v>
      </c>
      <c r="DQ42" s="117">
        <v>81.380223999999998</v>
      </c>
      <c r="DR42" s="117">
        <v>46.30885</v>
      </c>
      <c r="DS42" s="117">
        <v>89.193749999999994</v>
      </c>
      <c r="DT42" s="117">
        <v>62.464677999999999</v>
      </c>
      <c r="DU42" s="117">
        <v>47.082484999999998</v>
      </c>
      <c r="DV42" s="117">
        <v>54.345219999999998</v>
      </c>
      <c r="DW42" s="117">
        <v>50.154209999999999</v>
      </c>
      <c r="DX42" s="117">
        <v>77.466762000000003</v>
      </c>
      <c r="DY42" s="117">
        <v>44.856859</v>
      </c>
      <c r="DZ42" s="117">
        <v>87.641058999999998</v>
      </c>
      <c r="EA42" s="117">
        <v>60.495355000000004</v>
      </c>
      <c r="EB42" s="117">
        <v>46.934508999999998</v>
      </c>
      <c r="EC42" s="117">
        <v>54.105581999999998</v>
      </c>
      <c r="ED42" s="117">
        <v>50.225330999999997</v>
      </c>
      <c r="EE42" s="117">
        <v>76.849535000000003</v>
      </c>
      <c r="EF42" s="117">
        <v>44.332945000000002</v>
      </c>
      <c r="EG42" s="117">
        <v>92.625236000000001</v>
      </c>
      <c r="EH42" s="117">
        <v>63.606636000000002</v>
      </c>
      <c r="EI42" s="117">
        <v>50.260711000000001</v>
      </c>
      <c r="EJ42" s="117">
        <v>58.446199999999997</v>
      </c>
      <c r="EK42" s="117">
        <v>53.921391</v>
      </c>
      <c r="EL42" s="117">
        <v>81.932852999999994</v>
      </c>
      <c r="EM42" s="117">
        <v>46.131121999999998</v>
      </c>
      <c r="EN42" s="117">
        <v>91.542520999999994</v>
      </c>
      <c r="EO42" s="117">
        <v>63.672412999999999</v>
      </c>
      <c r="EP42" s="117">
        <v>48.147976</v>
      </c>
      <c r="EQ42" s="117">
        <v>55.243471</v>
      </c>
      <c r="ER42" s="117">
        <v>51.748210999999998</v>
      </c>
      <c r="ES42" s="117">
        <v>78.691525999999996</v>
      </c>
      <c r="ET42" s="117">
        <v>45.204103000000003</v>
      </c>
      <c r="EU42" s="117">
        <v>99.462199999999996</v>
      </c>
      <c r="EV42" s="117">
        <v>68.625490999999997</v>
      </c>
      <c r="EW42" s="117">
        <v>53.193373000000001</v>
      </c>
      <c r="EX42" s="117">
        <v>61.031294000000003</v>
      </c>
      <c r="EY42" s="117">
        <v>57.253489000000002</v>
      </c>
      <c r="EZ42" s="117">
        <v>87.034520999999998</v>
      </c>
      <c r="FA42" s="117">
        <v>49.822941</v>
      </c>
      <c r="FB42" s="117">
        <v>89.417300999999995</v>
      </c>
      <c r="FC42" s="117">
        <v>61.926246999999996</v>
      </c>
      <c r="FD42" s="117">
        <v>50.353223999999997</v>
      </c>
      <c r="FE42" s="117">
        <v>59.372852999999999</v>
      </c>
      <c r="FF42" s="117">
        <v>52.675530999999999</v>
      </c>
      <c r="FG42" s="117">
        <v>82.992166999999995</v>
      </c>
      <c r="FH42" s="117">
        <v>47.970196000000001</v>
      </c>
      <c r="FI42" s="117">
        <v>101.688728</v>
      </c>
      <c r="FJ42" s="117">
        <v>71.204869000000002</v>
      </c>
      <c r="FK42" s="117">
        <v>52.840463999999997</v>
      </c>
      <c r="FL42" s="117">
        <v>60.691443999999997</v>
      </c>
      <c r="FM42" s="117">
        <v>56.315227999999998</v>
      </c>
      <c r="FN42" s="117">
        <v>87.016846000000001</v>
      </c>
      <c r="FO42" s="117">
        <v>50.382131000000001</v>
      </c>
      <c r="FP42" s="117">
        <v>95.433717999999999</v>
      </c>
      <c r="FQ42" s="117">
        <v>65.364249999999998</v>
      </c>
      <c r="FR42" s="117">
        <v>50.617649</v>
      </c>
      <c r="FS42" s="117">
        <v>58.154155000000003</v>
      </c>
      <c r="FT42" s="117">
        <v>54.897779</v>
      </c>
      <c r="FU42" s="117">
        <v>82.122614999999996</v>
      </c>
      <c r="FV42" s="117">
        <v>46.658740999999999</v>
      </c>
      <c r="FW42" s="117">
        <v>84.184189000000003</v>
      </c>
      <c r="FX42" s="117">
        <v>57.683422999999998</v>
      </c>
      <c r="FY42" s="117">
        <v>46.404969999999999</v>
      </c>
      <c r="FZ42" s="117">
        <v>53.478822000000001</v>
      </c>
      <c r="GA42" s="117">
        <v>50.139769000000001</v>
      </c>
      <c r="GB42" s="117">
        <v>75.503945999999999</v>
      </c>
      <c r="GC42" s="117">
        <v>42.283965999999999</v>
      </c>
      <c r="GD42" s="117">
        <v>100.125687</v>
      </c>
      <c r="GE42" s="117">
        <v>69.748763999999994</v>
      </c>
      <c r="GF42" s="117">
        <v>51.167146000000002</v>
      </c>
      <c r="GG42" s="117">
        <v>59.072378999999998</v>
      </c>
      <c r="GH42" s="117">
        <v>54.868453000000002</v>
      </c>
      <c r="GI42" s="117">
        <v>83.595511000000002</v>
      </c>
      <c r="GJ42" s="117">
        <v>48.083283000000002</v>
      </c>
      <c r="GK42" s="117">
        <v>86.540081999999998</v>
      </c>
      <c r="GL42" s="117">
        <v>59.534574999999997</v>
      </c>
      <c r="GM42" s="117">
        <v>45.988663000000003</v>
      </c>
      <c r="GN42" s="117">
        <v>52.727601</v>
      </c>
      <c r="GO42" s="117">
        <v>49.854222</v>
      </c>
      <c r="GP42" s="117">
        <v>74.912575000000004</v>
      </c>
      <c r="GQ42" s="117">
        <v>42.544849999999997</v>
      </c>
      <c r="GR42" s="117">
        <v>89.308910999999995</v>
      </c>
      <c r="GS42" s="117">
        <v>61.300238</v>
      </c>
      <c r="GT42" s="117">
        <v>48.101436999999997</v>
      </c>
      <c r="GU42" s="117">
        <v>56.181522000000001</v>
      </c>
      <c r="GV42" s="117">
        <v>51.295504999999999</v>
      </c>
      <c r="GW42" s="117">
        <v>78.426117000000005</v>
      </c>
      <c r="GX42" s="117">
        <v>44.479761000000003</v>
      </c>
      <c r="GY42" s="117">
        <v>90.664614999999998</v>
      </c>
      <c r="GZ42" s="117">
        <v>62.979886</v>
      </c>
      <c r="HA42" s="117">
        <v>48.018970000000003</v>
      </c>
      <c r="HB42" s="117">
        <v>54.874771000000003</v>
      </c>
      <c r="HC42" s="117">
        <v>51.992046999999999</v>
      </c>
      <c r="HD42" s="117">
        <v>78.354528000000002</v>
      </c>
      <c r="HE42" s="117">
        <v>44.585242999999998</v>
      </c>
      <c r="HF42" s="117">
        <v>88.942240999999996</v>
      </c>
    </row>
    <row r="43" spans="6:214" x14ac:dyDescent="0.25">
      <c r="F43" s="116" t="str">
        <f xml:space="preserve"> _xll.EPMOlapMemberO("[PRDDESCR].[].[WONDER GFREE WHOLEM 500G]","","WONDER GFREE WHOLEM 500G","","000")</f>
        <v>WONDER GFREE WHOLEM 500G</v>
      </c>
      <c r="G43" s="116" t="str">
        <f xml:space="preserve"> _xll.EPMOlapMemberO("[PRDID].[].[179650]","","179650","","000")</f>
        <v>179650</v>
      </c>
      <c r="H43" s="116" t="str">
        <f xml:space="preserve"> _xll.EPMOlapMemberO("[LOCID].[].[6104]","","6104","","000")</f>
        <v>6104</v>
      </c>
      <c r="I43" s="116" t="str">
        <f xml:space="preserve"> _xll.EPMOlapMemberO("[LOCDESCR].[].[QBA-Moorebank]","","QBA-Moorebank","","000")</f>
        <v>QBA-Moorebank</v>
      </c>
      <c r="J43" s="116" t="str">
        <f xml:space="preserve"> _xll.EPMOlapMemberO("[KEY_FIGURES].[].[ZGFAPPROVEDFCSTQTY]","","Approved Forecast","","000")</f>
        <v>Approved Forecast</v>
      </c>
      <c r="K43" s="117">
        <v>430.70752700000003</v>
      </c>
      <c r="L43" s="117">
        <v>186.47760099999999</v>
      </c>
      <c r="M43" s="117">
        <v>293.00220999999999</v>
      </c>
      <c r="N43" s="117">
        <v>243.002668</v>
      </c>
      <c r="O43" s="117">
        <v>313.31693799999999</v>
      </c>
      <c r="P43" s="117">
        <v>205.036349</v>
      </c>
      <c r="Q43" s="117">
        <v>160.01678200000001</v>
      </c>
      <c r="R43" s="117">
        <v>456.512923</v>
      </c>
      <c r="S43" s="117">
        <v>196.797012</v>
      </c>
      <c r="T43" s="117">
        <v>322.59150499999998</v>
      </c>
      <c r="U43" s="117">
        <v>273.23624899999999</v>
      </c>
      <c r="V43" s="117">
        <v>344.93983100000003</v>
      </c>
      <c r="W43" s="117">
        <v>228.38953900000001</v>
      </c>
      <c r="X43" s="117">
        <v>175.13574600000001</v>
      </c>
      <c r="Y43" s="117">
        <v>475.49701700000003</v>
      </c>
      <c r="Z43" s="117">
        <v>206.38160999999999</v>
      </c>
      <c r="AA43" s="117">
        <v>311.66496999999998</v>
      </c>
      <c r="AB43" s="117">
        <v>264.34167200000002</v>
      </c>
      <c r="AC43" s="117">
        <v>329.521725</v>
      </c>
      <c r="AD43" s="117">
        <v>222.05346700000001</v>
      </c>
      <c r="AE43" s="117">
        <v>164.96770799999999</v>
      </c>
      <c r="AF43" s="117">
        <v>455.81201499999997</v>
      </c>
      <c r="AG43" s="117">
        <v>193.69177999999999</v>
      </c>
      <c r="AH43" s="117">
        <v>326.41555499999998</v>
      </c>
      <c r="AI43" s="117">
        <v>275.46956599999999</v>
      </c>
      <c r="AJ43" s="117">
        <v>338.75277599999998</v>
      </c>
      <c r="AK43" s="117">
        <v>230.75017299999999</v>
      </c>
      <c r="AL43" s="117">
        <v>177.57160400000001</v>
      </c>
      <c r="AM43" s="117">
        <v>476.38580400000001</v>
      </c>
      <c r="AN43" s="117">
        <v>203.13953000000001</v>
      </c>
      <c r="AO43" s="117">
        <v>307.85338999999999</v>
      </c>
      <c r="AP43" s="117">
        <v>268.558333</v>
      </c>
      <c r="AQ43" s="117">
        <v>325.115253</v>
      </c>
      <c r="AR43" s="117">
        <v>222.00410500000001</v>
      </c>
      <c r="AS43" s="117">
        <v>170.00603100000001</v>
      </c>
      <c r="AT43" s="117">
        <v>434.89049699999998</v>
      </c>
      <c r="AU43" s="117">
        <v>185.04164800000001</v>
      </c>
      <c r="AV43" s="117">
        <v>305.92083200000002</v>
      </c>
      <c r="AW43" s="117">
        <v>261.65745900000002</v>
      </c>
      <c r="AX43" s="117">
        <v>321.70969500000001</v>
      </c>
      <c r="AY43" s="117">
        <v>216.813648</v>
      </c>
      <c r="AZ43" s="117">
        <v>166.22805500000001</v>
      </c>
      <c r="BA43" s="117">
        <v>451.72031700000002</v>
      </c>
      <c r="BB43" s="117">
        <v>192.362784</v>
      </c>
      <c r="BC43" s="117">
        <v>293.19199900000001</v>
      </c>
      <c r="BD43" s="117">
        <v>253.49814599999999</v>
      </c>
      <c r="BE43" s="117">
        <v>307.03094399999998</v>
      </c>
      <c r="BF43" s="117">
        <v>211.26331500000001</v>
      </c>
      <c r="BG43" s="117">
        <v>162.21306999999999</v>
      </c>
      <c r="BH43" s="117">
        <v>500.20059199999997</v>
      </c>
      <c r="BI43" s="117">
        <v>214.35935599999999</v>
      </c>
      <c r="BJ43" s="117">
        <v>351.35555900000003</v>
      </c>
      <c r="BK43" s="117">
        <v>300.59368000000001</v>
      </c>
      <c r="BL43" s="117">
        <v>365.655956</v>
      </c>
      <c r="BM43" s="117">
        <v>248.910448</v>
      </c>
      <c r="BN43" s="117">
        <v>190.81895800000001</v>
      </c>
      <c r="BO43" s="117">
        <v>440.22903300000002</v>
      </c>
      <c r="BP43" s="117">
        <v>187.05255299999999</v>
      </c>
      <c r="BQ43" s="117">
        <v>292.29944899999998</v>
      </c>
      <c r="BR43" s="117">
        <v>249.49160000000001</v>
      </c>
      <c r="BS43" s="117">
        <v>303.596744</v>
      </c>
      <c r="BT43" s="117">
        <v>209.99668500000001</v>
      </c>
      <c r="BU43" s="117">
        <v>161.955601</v>
      </c>
      <c r="BV43" s="117">
        <v>420.202991</v>
      </c>
      <c r="BW43" s="117">
        <v>177.72239099999999</v>
      </c>
      <c r="BX43" s="117">
        <v>285.54964699999999</v>
      </c>
      <c r="BY43" s="117">
        <v>244.63376199999999</v>
      </c>
      <c r="BZ43" s="117">
        <v>298.74177300000002</v>
      </c>
      <c r="CA43" s="117">
        <v>205.36539999999999</v>
      </c>
      <c r="CB43" s="117">
        <v>158.088573</v>
      </c>
      <c r="CC43" s="117">
        <v>439.79578099999998</v>
      </c>
      <c r="CD43" s="117">
        <v>189.76043000000001</v>
      </c>
      <c r="CE43" s="117">
        <v>290.997953</v>
      </c>
      <c r="CF43" s="117">
        <v>256.38578699999999</v>
      </c>
      <c r="CG43" s="117">
        <v>305.75528800000001</v>
      </c>
      <c r="CH43" s="117">
        <v>210.47591</v>
      </c>
      <c r="CI43" s="117">
        <v>160.74778000000001</v>
      </c>
      <c r="CJ43" s="117">
        <v>439.38790599999999</v>
      </c>
      <c r="CK43" s="117">
        <v>187.620136</v>
      </c>
      <c r="CL43" s="117">
        <v>312.04060199999998</v>
      </c>
      <c r="CM43" s="117">
        <v>264.58398299999999</v>
      </c>
      <c r="CN43" s="117">
        <v>323.44111099999998</v>
      </c>
      <c r="CO43" s="117">
        <v>220.72671500000001</v>
      </c>
      <c r="CP43" s="117">
        <v>169.64101099999999</v>
      </c>
      <c r="CQ43" s="117">
        <v>424.84491000000003</v>
      </c>
      <c r="CR43" s="117">
        <v>181.77150599999999</v>
      </c>
      <c r="CS43" s="117">
        <v>280.67360400000001</v>
      </c>
      <c r="CT43" s="117">
        <v>241.98764499999999</v>
      </c>
      <c r="CU43" s="117">
        <v>290.54697800000002</v>
      </c>
      <c r="CV43" s="117">
        <v>202.444613</v>
      </c>
      <c r="CW43" s="117">
        <v>155.60187300000001</v>
      </c>
      <c r="CX43" s="117">
        <v>381.78418299999998</v>
      </c>
      <c r="CY43" s="117">
        <v>163.61547899999999</v>
      </c>
      <c r="CZ43" s="117">
        <v>257.58644199999998</v>
      </c>
      <c r="DA43" s="117">
        <v>223.04423700000001</v>
      </c>
      <c r="DB43" s="117">
        <v>268.35159499999997</v>
      </c>
      <c r="DC43" s="117">
        <v>185.81309300000001</v>
      </c>
      <c r="DD43" s="117">
        <v>142.62968100000001</v>
      </c>
      <c r="DE43" s="117">
        <v>415.45207799999997</v>
      </c>
      <c r="DF43" s="117">
        <v>178.835849</v>
      </c>
      <c r="DG43" s="117">
        <v>272.378378</v>
      </c>
      <c r="DH43" s="117">
        <v>241.00464700000001</v>
      </c>
      <c r="DI43" s="117">
        <v>288.977778</v>
      </c>
      <c r="DJ43" s="117">
        <v>196.934675</v>
      </c>
      <c r="DK43" s="117">
        <v>150.19314800000001</v>
      </c>
      <c r="DL43" s="117">
        <v>454.94212499999998</v>
      </c>
      <c r="DM43" s="117">
        <v>195.706841</v>
      </c>
      <c r="DN43" s="117">
        <v>317.42915299999999</v>
      </c>
      <c r="DO43" s="117">
        <v>271.27336300000002</v>
      </c>
      <c r="DP43" s="117">
        <v>328.36073699999997</v>
      </c>
      <c r="DQ43" s="117">
        <v>224.775498</v>
      </c>
      <c r="DR43" s="117">
        <v>172.40442100000001</v>
      </c>
      <c r="DS43" s="117">
        <v>414.87829099999999</v>
      </c>
      <c r="DT43" s="117">
        <v>177.866918</v>
      </c>
      <c r="DU43" s="117">
        <v>277.104467</v>
      </c>
      <c r="DV43" s="117">
        <v>239.57381000000001</v>
      </c>
      <c r="DW43" s="117">
        <v>286.91455100000002</v>
      </c>
      <c r="DX43" s="117">
        <v>199.98908800000001</v>
      </c>
      <c r="DY43" s="117">
        <v>153.596101</v>
      </c>
      <c r="DZ43" s="117">
        <v>390.44180499999999</v>
      </c>
      <c r="EA43" s="117">
        <v>166.93795800000001</v>
      </c>
      <c r="EB43" s="117">
        <v>263.85252700000001</v>
      </c>
      <c r="EC43" s="117">
        <v>227.918115</v>
      </c>
      <c r="ED43" s="117">
        <v>275.09361000000001</v>
      </c>
      <c r="EE43" s="117">
        <v>190.207572</v>
      </c>
      <c r="EF43" s="117">
        <v>146.09821700000001</v>
      </c>
      <c r="EG43" s="117">
        <v>426.93066499999998</v>
      </c>
      <c r="EH43" s="117">
        <v>184.40871999999999</v>
      </c>
      <c r="EI43" s="117">
        <v>292.63004799999999</v>
      </c>
      <c r="EJ43" s="117">
        <v>253.32317</v>
      </c>
      <c r="EK43" s="117">
        <v>305.33640400000002</v>
      </c>
      <c r="EL43" s="117">
        <v>207.68821199999999</v>
      </c>
      <c r="EM43" s="117">
        <v>158.72341800000001</v>
      </c>
      <c r="EN43" s="117">
        <v>412.50760400000001</v>
      </c>
      <c r="EO43" s="117">
        <v>176.353205</v>
      </c>
      <c r="EP43" s="117">
        <v>276.06723099999999</v>
      </c>
      <c r="EQ43" s="117">
        <v>238.20395199999999</v>
      </c>
      <c r="ER43" s="117">
        <v>286.57857100000001</v>
      </c>
      <c r="ES43" s="117">
        <v>199.080939</v>
      </c>
      <c r="ET43" s="117">
        <v>152.974604</v>
      </c>
      <c r="EU43" s="117">
        <v>428.72614399999998</v>
      </c>
      <c r="EV43" s="117">
        <v>183.62441799999999</v>
      </c>
      <c r="EW43" s="117">
        <v>291.16263199999997</v>
      </c>
      <c r="EX43" s="117">
        <v>251.06749400000001</v>
      </c>
      <c r="EY43" s="117">
        <v>301.795478</v>
      </c>
      <c r="EZ43" s="117">
        <v>209.97652099999999</v>
      </c>
      <c r="FA43" s="117">
        <v>161.37994599999999</v>
      </c>
      <c r="FB43" s="117">
        <v>400.57978100000003</v>
      </c>
      <c r="FC43" s="117">
        <v>169.59677099999999</v>
      </c>
      <c r="FD43" s="117">
        <v>297.97306700000001</v>
      </c>
      <c r="FE43" s="117">
        <v>245.59391500000001</v>
      </c>
      <c r="FF43" s="117">
        <v>303.035438</v>
      </c>
      <c r="FG43" s="117">
        <v>209.738495</v>
      </c>
      <c r="FH43" s="117">
        <v>162.416943</v>
      </c>
      <c r="FI43" s="117">
        <v>469.62130200000001</v>
      </c>
      <c r="FJ43" s="117">
        <v>200.264094</v>
      </c>
      <c r="FK43" s="117">
        <v>309.20468299999999</v>
      </c>
      <c r="FL43" s="117">
        <v>265.66967599999998</v>
      </c>
      <c r="FM43" s="117">
        <v>320.344945</v>
      </c>
      <c r="FN43" s="117">
        <v>222.81957700000001</v>
      </c>
      <c r="FO43" s="117">
        <v>171.421494</v>
      </c>
      <c r="FP43" s="117">
        <v>412.23951299999999</v>
      </c>
      <c r="FQ43" s="117">
        <v>174.551806</v>
      </c>
      <c r="FR43" s="117">
        <v>284.78709400000002</v>
      </c>
      <c r="FS43" s="117">
        <v>241.14443399999999</v>
      </c>
      <c r="FT43" s="117">
        <v>294.34290299999998</v>
      </c>
      <c r="FU43" s="117">
        <v>204.637012</v>
      </c>
      <c r="FV43" s="117">
        <v>158.071957</v>
      </c>
      <c r="FW43" s="117">
        <v>443.76199400000002</v>
      </c>
      <c r="FX43" s="117">
        <v>191.47526999999999</v>
      </c>
      <c r="FY43" s="117">
        <v>311.90932600000002</v>
      </c>
      <c r="FZ43" s="117">
        <v>269.31095900000003</v>
      </c>
      <c r="GA43" s="117">
        <v>325.05858000000001</v>
      </c>
      <c r="GB43" s="117">
        <v>221.28022999999999</v>
      </c>
      <c r="GC43" s="117">
        <v>169.12687299999999</v>
      </c>
      <c r="GD43" s="117">
        <v>412.06000499999999</v>
      </c>
      <c r="GE43" s="117">
        <v>176.304945</v>
      </c>
      <c r="GF43" s="117">
        <v>271.75302699999997</v>
      </c>
      <c r="GG43" s="117">
        <v>232.807018</v>
      </c>
      <c r="GH43" s="117">
        <v>279.08417200000002</v>
      </c>
      <c r="GI43" s="117">
        <v>195.95057700000001</v>
      </c>
      <c r="GJ43" s="117">
        <v>150.90028699999999</v>
      </c>
      <c r="GK43" s="117">
        <v>376.12633099999999</v>
      </c>
      <c r="GL43" s="117">
        <v>159.95730800000001</v>
      </c>
      <c r="GM43" s="117">
        <v>257.999122</v>
      </c>
      <c r="GN43" s="117">
        <v>219.977351</v>
      </c>
      <c r="GO43" s="117">
        <v>267.19182499999999</v>
      </c>
      <c r="GP43" s="117">
        <v>185.62588299999999</v>
      </c>
      <c r="GQ43" s="117">
        <v>143.11151699999999</v>
      </c>
      <c r="GR43" s="117">
        <v>422.58924200000001</v>
      </c>
      <c r="GS43" s="117">
        <v>181.55016499999999</v>
      </c>
      <c r="GT43" s="117">
        <v>293.15360700000002</v>
      </c>
      <c r="GU43" s="117">
        <v>249.34153499999999</v>
      </c>
      <c r="GV43" s="117">
        <v>302.34996599999999</v>
      </c>
      <c r="GW43" s="117">
        <v>207.409514</v>
      </c>
      <c r="GX43" s="117">
        <v>159.35246799999999</v>
      </c>
      <c r="GY43" s="117">
        <v>464.982462</v>
      </c>
      <c r="GZ43" s="117">
        <v>198.976562</v>
      </c>
      <c r="HA43" s="117">
        <v>313.14787000000001</v>
      </c>
      <c r="HB43" s="117">
        <v>271.11537700000002</v>
      </c>
      <c r="HC43" s="117">
        <v>325.64397100000002</v>
      </c>
      <c r="HD43" s="117">
        <v>225.926129</v>
      </c>
      <c r="HE43" s="117">
        <v>173.432084</v>
      </c>
      <c r="HF43" s="117">
        <v>444.23741699999999</v>
      </c>
    </row>
    <row r="44" spans="6:214" x14ac:dyDescent="0.25">
      <c r="F44" s="116" t="str">
        <f xml:space="preserve"> _xll.EPMOlapMemberO("[PRDDESCR].[].[WONDER GFREE WHOLEM 500G]","","WONDER GFREE WHOLEM 500G","","000")</f>
        <v>WONDER GFREE WHOLEM 500G</v>
      </c>
      <c r="G44" s="116" t="str">
        <f xml:space="preserve"> _xll.EPMOlapMemberO("[PRDID].[].[179650]","","179650","","000")</f>
        <v>179650</v>
      </c>
      <c r="H44" s="116" t="str">
        <f xml:space="preserve"> _xll.EPMOlapMemberO("[LOCID].[].[6105]","","6105","","000")</f>
        <v>6105</v>
      </c>
      <c r="I44" s="116" t="str">
        <f xml:space="preserve"> _xll.EPMOlapMemberO("[LOCDESCR].[].[QBA-Rydalmere]","","QBA-Rydalmere","","000")</f>
        <v>QBA-Rydalmere</v>
      </c>
      <c r="J44" s="116" t="str">
        <f xml:space="preserve"> _xll.EPMOlapMemberO("[KEY_FIGURES].[].[ZGFAPPROVEDFCSTQTY]","","Approved Forecast","","000")</f>
        <v>Approved Forecast</v>
      </c>
      <c r="K44" s="117">
        <v>276.74988999999999</v>
      </c>
      <c r="L44" s="117">
        <v>224.219202</v>
      </c>
      <c r="M44" s="117">
        <v>157.275485</v>
      </c>
      <c r="N44" s="117">
        <v>185.175543</v>
      </c>
      <c r="O44" s="117">
        <v>150.513825</v>
      </c>
      <c r="P44" s="117">
        <v>207.78616299999999</v>
      </c>
      <c r="Q44" s="117">
        <v>140.834247</v>
      </c>
      <c r="R44" s="117">
        <v>354.13068099999998</v>
      </c>
      <c r="S44" s="117">
        <v>279.37845399999998</v>
      </c>
      <c r="T44" s="117">
        <v>213.04493500000001</v>
      </c>
      <c r="U44" s="117">
        <v>250.20250300000001</v>
      </c>
      <c r="V44" s="117">
        <v>198.60858300000001</v>
      </c>
      <c r="W44" s="117">
        <v>277.04645699999998</v>
      </c>
      <c r="X44" s="117">
        <v>185.981199</v>
      </c>
      <c r="Y44" s="117">
        <v>301.37549000000001</v>
      </c>
      <c r="Z44" s="117">
        <v>237.01635899999999</v>
      </c>
      <c r="AA44" s="117">
        <v>173.520827</v>
      </c>
      <c r="AB44" s="117">
        <v>209.78235100000001</v>
      </c>
      <c r="AC44" s="117">
        <v>157.33528699999999</v>
      </c>
      <c r="AD44" s="117">
        <v>214.82182700000001</v>
      </c>
      <c r="AE44" s="117">
        <v>149.33856599999999</v>
      </c>
      <c r="AF44" s="117">
        <v>287.96839</v>
      </c>
      <c r="AG44" s="117">
        <v>224.097464</v>
      </c>
      <c r="AH44" s="117">
        <v>182.58976999999999</v>
      </c>
      <c r="AI44" s="117">
        <v>220.060721</v>
      </c>
      <c r="AJ44" s="117">
        <v>164.20611700000001</v>
      </c>
      <c r="AK44" s="117">
        <v>224.82076000000001</v>
      </c>
      <c r="AL44" s="117">
        <v>159.29374999999999</v>
      </c>
      <c r="AM44" s="117">
        <v>261.73265600000002</v>
      </c>
      <c r="AN44" s="117">
        <v>205.30567300000001</v>
      </c>
      <c r="AO44" s="117">
        <v>150.75827699999999</v>
      </c>
      <c r="AP44" s="117">
        <v>177.85048399999999</v>
      </c>
      <c r="AQ44" s="117">
        <v>139.416156</v>
      </c>
      <c r="AR44" s="117">
        <v>184.08801600000001</v>
      </c>
      <c r="AS44" s="117">
        <v>131.061577</v>
      </c>
      <c r="AT44" s="117">
        <v>273.96723100000003</v>
      </c>
      <c r="AU44" s="117">
        <v>217.34498099999999</v>
      </c>
      <c r="AV44" s="117">
        <v>173.27084500000001</v>
      </c>
      <c r="AW44" s="117">
        <v>210.22806800000001</v>
      </c>
      <c r="AX44" s="117">
        <v>157.15819200000001</v>
      </c>
      <c r="AY44" s="117">
        <v>215.432301</v>
      </c>
      <c r="AZ44" s="117">
        <v>151.28191100000001</v>
      </c>
      <c r="BA44" s="117">
        <v>261.66828700000002</v>
      </c>
      <c r="BB44" s="117">
        <v>199.05772999999999</v>
      </c>
      <c r="BC44" s="117">
        <v>149.72579099999999</v>
      </c>
      <c r="BD44" s="117">
        <v>174.06949900000001</v>
      </c>
      <c r="BE44" s="117">
        <v>136.747953</v>
      </c>
      <c r="BF44" s="117">
        <v>179.414852</v>
      </c>
      <c r="BG44" s="117">
        <v>129.97322299999999</v>
      </c>
      <c r="BH44" s="117">
        <v>315.19401299999998</v>
      </c>
      <c r="BI44" s="117">
        <v>246.16216900000001</v>
      </c>
      <c r="BJ44" s="117">
        <v>198.05833000000001</v>
      </c>
      <c r="BK44" s="117">
        <v>238.65127100000001</v>
      </c>
      <c r="BL44" s="117">
        <v>178.46549099999999</v>
      </c>
      <c r="BM44" s="117">
        <v>244.49421000000001</v>
      </c>
      <c r="BN44" s="117">
        <v>172.60494499999999</v>
      </c>
      <c r="BO44" s="117">
        <v>273.57446199999998</v>
      </c>
      <c r="BP44" s="117">
        <v>202.81130400000001</v>
      </c>
      <c r="BQ44" s="117">
        <v>160.32813200000001</v>
      </c>
      <c r="BR44" s="117">
        <v>186.62356800000001</v>
      </c>
      <c r="BS44" s="117">
        <v>144.479117</v>
      </c>
      <c r="BT44" s="117">
        <v>189.045863</v>
      </c>
      <c r="BU44" s="117">
        <v>140.12158600000001</v>
      </c>
      <c r="BV44" s="117">
        <v>278.49131</v>
      </c>
      <c r="BW44" s="117">
        <v>216.511135</v>
      </c>
      <c r="BX44" s="117">
        <v>168.30598499999999</v>
      </c>
      <c r="BY44" s="117">
        <v>200.61452299999999</v>
      </c>
      <c r="BZ44" s="117">
        <v>153.12774999999999</v>
      </c>
      <c r="CA44" s="117">
        <v>205.84085899999999</v>
      </c>
      <c r="CB44" s="117">
        <v>146.63753700000001</v>
      </c>
      <c r="CC44" s="117">
        <v>258.96114599999999</v>
      </c>
      <c r="CD44" s="117">
        <v>195.82020600000001</v>
      </c>
      <c r="CE44" s="117">
        <v>156.836072</v>
      </c>
      <c r="CF44" s="117">
        <v>183.09716399999999</v>
      </c>
      <c r="CG44" s="117">
        <v>142.73656</v>
      </c>
      <c r="CH44" s="117">
        <v>187.185788</v>
      </c>
      <c r="CI44" s="117">
        <v>136.69688500000001</v>
      </c>
      <c r="CJ44" s="117">
        <v>270.592489</v>
      </c>
      <c r="CK44" s="117">
        <v>209.84981999999999</v>
      </c>
      <c r="CL44" s="117">
        <v>170.4331</v>
      </c>
      <c r="CM44" s="117">
        <v>203.54593299999999</v>
      </c>
      <c r="CN44" s="117">
        <v>153.04792699999999</v>
      </c>
      <c r="CO44" s="117">
        <v>209.81942000000001</v>
      </c>
      <c r="CP44" s="117">
        <v>147.79142899999999</v>
      </c>
      <c r="CQ44" s="117">
        <v>254.787733</v>
      </c>
      <c r="CR44" s="117">
        <v>189.53969599999999</v>
      </c>
      <c r="CS44" s="117">
        <v>148.60512199999999</v>
      </c>
      <c r="CT44" s="117">
        <v>171.53769399999999</v>
      </c>
      <c r="CU44" s="117">
        <v>134.27314200000001</v>
      </c>
      <c r="CV44" s="117">
        <v>175.341261</v>
      </c>
      <c r="CW44" s="117">
        <v>129.216025</v>
      </c>
      <c r="CX44" s="117">
        <v>221.55176399999999</v>
      </c>
      <c r="CY44" s="117">
        <v>170.461071</v>
      </c>
      <c r="CZ44" s="117">
        <v>134.051761</v>
      </c>
      <c r="DA44" s="117">
        <v>158.31399400000001</v>
      </c>
      <c r="DB44" s="117">
        <v>121.647724</v>
      </c>
      <c r="DC44" s="117">
        <v>163.35374899999999</v>
      </c>
      <c r="DD44" s="117">
        <v>116.265128</v>
      </c>
      <c r="DE44" s="117">
        <v>229.42919599999999</v>
      </c>
      <c r="DF44" s="117">
        <v>176.70031800000001</v>
      </c>
      <c r="DG44" s="117">
        <v>138.19742400000001</v>
      </c>
      <c r="DH44" s="117">
        <v>162.231345</v>
      </c>
      <c r="DI44" s="117">
        <v>126.763812</v>
      </c>
      <c r="DJ44" s="117">
        <v>166.813019</v>
      </c>
      <c r="DK44" s="117">
        <v>120.326347</v>
      </c>
      <c r="DL44" s="117">
        <v>264.72834699999999</v>
      </c>
      <c r="DM44" s="117">
        <v>203.02499399999999</v>
      </c>
      <c r="DN44" s="117">
        <v>164.688019</v>
      </c>
      <c r="DO44" s="117">
        <v>195.99130199999999</v>
      </c>
      <c r="DP44" s="117">
        <v>147.29803999999999</v>
      </c>
      <c r="DQ44" s="117">
        <v>201.83638999999999</v>
      </c>
      <c r="DR44" s="117">
        <v>142.733834</v>
      </c>
      <c r="DS44" s="117">
        <v>243.52281300000001</v>
      </c>
      <c r="DT44" s="117">
        <v>180.96642600000001</v>
      </c>
      <c r="DU44" s="117">
        <v>144.19128799999999</v>
      </c>
      <c r="DV44" s="117">
        <v>165.48381499999999</v>
      </c>
      <c r="DW44" s="117">
        <v>130.15983499999999</v>
      </c>
      <c r="DX44" s="117">
        <v>169.75309300000001</v>
      </c>
      <c r="DY44" s="117">
        <v>125.05524</v>
      </c>
      <c r="DZ44" s="117">
        <v>217.83093700000001</v>
      </c>
      <c r="EA44" s="117">
        <v>166.311229</v>
      </c>
      <c r="EB44" s="117">
        <v>132.29388800000001</v>
      </c>
      <c r="EC44" s="117">
        <v>156.81660500000001</v>
      </c>
      <c r="ED44" s="117">
        <v>119.640421</v>
      </c>
      <c r="EE44" s="117">
        <v>160.45506900000001</v>
      </c>
      <c r="EF44" s="117">
        <v>115.219351</v>
      </c>
      <c r="EG44" s="117">
        <v>259.70604900000001</v>
      </c>
      <c r="EH44" s="117">
        <v>191.52315100000001</v>
      </c>
      <c r="EI44" s="117">
        <v>161.932659</v>
      </c>
      <c r="EJ44" s="117">
        <v>187.74923100000001</v>
      </c>
      <c r="EK44" s="117">
        <v>144.07744500000001</v>
      </c>
      <c r="EL44" s="117">
        <v>191.91418100000001</v>
      </c>
      <c r="EM44" s="117">
        <v>140.50948099999999</v>
      </c>
      <c r="EN44" s="117">
        <v>249.894902</v>
      </c>
      <c r="EO44" s="117">
        <v>192.83569900000001</v>
      </c>
      <c r="EP44" s="117">
        <v>148.25725700000001</v>
      </c>
      <c r="EQ44" s="117">
        <v>175.47637599999999</v>
      </c>
      <c r="ER44" s="117">
        <v>134.33691099999999</v>
      </c>
      <c r="ES44" s="117">
        <v>180.29472100000001</v>
      </c>
      <c r="ET44" s="117">
        <v>128.86818</v>
      </c>
      <c r="EU44" s="117">
        <v>283.160754</v>
      </c>
      <c r="EV44" s="117">
        <v>212.690696</v>
      </c>
      <c r="EW44" s="117">
        <v>171.64517000000001</v>
      </c>
      <c r="EX44" s="117">
        <v>199.22379799999999</v>
      </c>
      <c r="EY44" s="117">
        <v>155.83155099999999</v>
      </c>
      <c r="EZ44" s="117">
        <v>203.998199</v>
      </c>
      <c r="FA44" s="117">
        <v>149.32577499999999</v>
      </c>
      <c r="FB44" s="117">
        <v>230.93329700000001</v>
      </c>
      <c r="FC44" s="117">
        <v>178.00468799999999</v>
      </c>
      <c r="FD44" s="117">
        <v>146.75548499999999</v>
      </c>
      <c r="FE44" s="117">
        <v>174.69868500000001</v>
      </c>
      <c r="FF44" s="117">
        <v>131.38402400000001</v>
      </c>
      <c r="FG44" s="117">
        <v>180.07063600000001</v>
      </c>
      <c r="FH44" s="117">
        <v>127.133951</v>
      </c>
      <c r="FI44" s="117">
        <v>303.95877999999999</v>
      </c>
      <c r="FJ44" s="117">
        <v>231.90097</v>
      </c>
      <c r="FK44" s="117">
        <v>174.62464600000001</v>
      </c>
      <c r="FL44" s="117">
        <v>201.47396800000001</v>
      </c>
      <c r="FM44" s="117">
        <v>159.705265</v>
      </c>
      <c r="FN44" s="117">
        <v>209.36571900000001</v>
      </c>
      <c r="FO44" s="117">
        <v>150.863867</v>
      </c>
      <c r="FP44" s="117">
        <v>251.85674700000001</v>
      </c>
      <c r="FQ44" s="117">
        <v>194.55552</v>
      </c>
      <c r="FR44" s="117">
        <v>152.71368899999999</v>
      </c>
      <c r="FS44" s="117">
        <v>182.051456</v>
      </c>
      <c r="FT44" s="117">
        <v>138.733171</v>
      </c>
      <c r="FU44" s="117">
        <v>186.38626400000001</v>
      </c>
      <c r="FV44" s="117">
        <v>133.16874200000001</v>
      </c>
      <c r="FW44" s="117">
        <v>258.11350900000002</v>
      </c>
      <c r="FX44" s="117">
        <v>199.908839</v>
      </c>
      <c r="FY44" s="117">
        <v>162.41335799999999</v>
      </c>
      <c r="FZ44" s="117">
        <v>189.223084</v>
      </c>
      <c r="GA44" s="117">
        <v>147.41139699999999</v>
      </c>
      <c r="GB44" s="117">
        <v>197.335669</v>
      </c>
      <c r="GC44" s="117">
        <v>139.97789</v>
      </c>
      <c r="GD44" s="117">
        <v>250.43966699999999</v>
      </c>
      <c r="GE44" s="117">
        <v>194.88045600000001</v>
      </c>
      <c r="GF44" s="117">
        <v>143.11328900000001</v>
      </c>
      <c r="GG44" s="117">
        <v>168.92129600000001</v>
      </c>
      <c r="GH44" s="117">
        <v>130.43432300000001</v>
      </c>
      <c r="GI44" s="117">
        <v>175.43634</v>
      </c>
      <c r="GJ44" s="117">
        <v>123.795125</v>
      </c>
      <c r="GK44" s="117">
        <v>239.002713</v>
      </c>
      <c r="GL44" s="117">
        <v>183.07606699999999</v>
      </c>
      <c r="GM44" s="117">
        <v>144.38198299999999</v>
      </c>
      <c r="GN44" s="117">
        <v>169.865681</v>
      </c>
      <c r="GO44" s="117">
        <v>132.06848099999999</v>
      </c>
      <c r="GP44" s="117">
        <v>173.70161400000001</v>
      </c>
      <c r="GQ44" s="117">
        <v>126.040834</v>
      </c>
      <c r="GR44" s="117">
        <v>243.03601</v>
      </c>
      <c r="GS44" s="117">
        <v>187.39281399999999</v>
      </c>
      <c r="GT44" s="117">
        <v>149.029832</v>
      </c>
      <c r="GU44" s="117">
        <v>179.22546700000001</v>
      </c>
      <c r="GV44" s="117">
        <v>133.80579299999999</v>
      </c>
      <c r="GW44" s="117">
        <v>183.18664100000001</v>
      </c>
      <c r="GX44" s="117">
        <v>129.94764599999999</v>
      </c>
      <c r="GY44" s="117">
        <v>252.24816300000001</v>
      </c>
      <c r="GZ44" s="117">
        <v>190.55889300000001</v>
      </c>
      <c r="HA44" s="117">
        <v>151.58878899999999</v>
      </c>
      <c r="HB44" s="117">
        <v>176.25474199999999</v>
      </c>
      <c r="HC44" s="117">
        <v>137.55498399999999</v>
      </c>
      <c r="HD44" s="117">
        <v>180.09590499999999</v>
      </c>
      <c r="HE44" s="117">
        <v>132.034446</v>
      </c>
      <c r="HF44" s="117">
        <v>215.63215099999999</v>
      </c>
    </row>
    <row r="45" spans="6:214" x14ac:dyDescent="0.25">
      <c r="F45" s="116" t="str">
        <f xml:space="preserve"> _xll.EPMOlapMemberO("[PRDDESCR].[].[WONDER GFREE WHOLEM 500G]","","WONDER GFREE WHOLEM 500G","","000")</f>
        <v>WONDER GFREE WHOLEM 500G</v>
      </c>
      <c r="G45" s="116" t="str">
        <f xml:space="preserve"> _xll.EPMOlapMemberO("[PRDID].[].[179650]","","179650","","000")</f>
        <v>179650</v>
      </c>
      <c r="H45" s="116" t="str">
        <f xml:space="preserve"> _xll.EPMOlapMemberO("[LOCID].[].[6110]","","6110","","000")</f>
        <v>6110</v>
      </c>
      <c r="I45" s="116" t="str">
        <f xml:space="preserve"> _xll.EPMOlapMemberO("[LOCDESCR].[].[QBA-Burleigh Heads]","","QBA-Burleigh Heads","","000")</f>
        <v>QBA-Burleigh Heads</v>
      </c>
      <c r="J45" s="116" t="str">
        <f xml:space="preserve"> _xll.EPMOlapMemberO("[KEY_FIGURES].[].[ZGFAPPROVEDFCSTQTY]","","Approved Forecast","","000")</f>
        <v>Approved Forecast</v>
      </c>
      <c r="K45" s="117">
        <v>0.17402100000000001</v>
      </c>
      <c r="L45" s="117">
        <v>628.84150699999998</v>
      </c>
      <c r="M45" s="117">
        <v>235.04904400000001</v>
      </c>
      <c r="N45" s="117">
        <v>466.28621900000002</v>
      </c>
      <c r="O45" s="117">
        <v>240.92858899999999</v>
      </c>
      <c r="P45" s="117">
        <v>459.04264799999999</v>
      </c>
      <c r="Q45" s="117">
        <v>303.76968599999998</v>
      </c>
      <c r="R45" s="117">
        <v>0.102857</v>
      </c>
      <c r="S45" s="117">
        <v>601.33976600000005</v>
      </c>
      <c r="T45" s="117">
        <v>233.65017399999999</v>
      </c>
      <c r="U45" s="117">
        <v>462.10904900000003</v>
      </c>
      <c r="V45" s="117">
        <v>238.10713699999999</v>
      </c>
      <c r="W45" s="117">
        <v>457.09457600000002</v>
      </c>
      <c r="X45" s="117">
        <v>299.63164399999999</v>
      </c>
      <c r="Y45" s="117">
        <v>1.1679E-2</v>
      </c>
      <c r="Z45" s="117">
        <v>623.30184899999995</v>
      </c>
      <c r="AA45" s="117">
        <v>207.72431700000001</v>
      </c>
      <c r="AB45" s="117">
        <v>421.84094299999998</v>
      </c>
      <c r="AC45" s="117">
        <v>234.13473200000001</v>
      </c>
      <c r="AD45" s="117">
        <v>467.72439600000001</v>
      </c>
      <c r="AE45" s="117">
        <v>277.86048399999999</v>
      </c>
      <c r="AF45" s="117">
        <v>0</v>
      </c>
      <c r="AG45" s="117">
        <v>630.03616799999998</v>
      </c>
      <c r="AH45" s="117">
        <v>241.91535400000001</v>
      </c>
      <c r="AI45" s="117">
        <v>477.94155799999999</v>
      </c>
      <c r="AJ45" s="117">
        <v>260.95041199999997</v>
      </c>
      <c r="AK45" s="117">
        <v>498.68176699999998</v>
      </c>
      <c r="AL45" s="117">
        <v>319.32949000000002</v>
      </c>
      <c r="AM45" s="117">
        <v>0</v>
      </c>
      <c r="AN45" s="117">
        <v>632.94862699999999</v>
      </c>
      <c r="AO45" s="117">
        <v>219.762113</v>
      </c>
      <c r="AP45" s="117">
        <v>429.62687399999999</v>
      </c>
      <c r="AQ45" s="117">
        <v>238.091534</v>
      </c>
      <c r="AR45" s="117">
        <v>452.71082799999999</v>
      </c>
      <c r="AS45" s="117">
        <v>284.98072000000002</v>
      </c>
      <c r="AT45" s="117">
        <v>0</v>
      </c>
      <c r="AU45" s="117">
        <v>629.14964699999996</v>
      </c>
      <c r="AV45" s="117">
        <v>240.13751099999999</v>
      </c>
      <c r="AW45" s="117">
        <v>476.55884500000002</v>
      </c>
      <c r="AX45" s="117">
        <v>260.36024900000001</v>
      </c>
      <c r="AY45" s="117">
        <v>493.76694500000002</v>
      </c>
      <c r="AZ45" s="117">
        <v>314.14416299999999</v>
      </c>
      <c r="BA45" s="117">
        <v>0</v>
      </c>
      <c r="BB45" s="117">
        <v>650.69557099999997</v>
      </c>
      <c r="BC45" s="117">
        <v>225.00197800000001</v>
      </c>
      <c r="BD45" s="117">
        <v>442.33791200000002</v>
      </c>
      <c r="BE45" s="117">
        <v>244.232235</v>
      </c>
      <c r="BF45" s="117">
        <v>463.08088500000002</v>
      </c>
      <c r="BG45" s="117">
        <v>291.383128</v>
      </c>
      <c r="BH45" s="117">
        <v>0</v>
      </c>
      <c r="BI45" s="117">
        <v>611.59827800000005</v>
      </c>
      <c r="BJ45" s="117">
        <v>230.928641</v>
      </c>
      <c r="BK45" s="117">
        <v>459.802705</v>
      </c>
      <c r="BL45" s="117">
        <v>249.04031599999999</v>
      </c>
      <c r="BM45" s="117">
        <v>476.455128</v>
      </c>
      <c r="BN45" s="117">
        <v>306.42924799999997</v>
      </c>
      <c r="BO45" s="117">
        <v>0</v>
      </c>
      <c r="BP45" s="117">
        <v>592.58874100000003</v>
      </c>
      <c r="BQ45" s="117">
        <v>207.52811199999999</v>
      </c>
      <c r="BR45" s="117">
        <v>410.61930899999999</v>
      </c>
      <c r="BS45" s="117">
        <v>222.29103900000001</v>
      </c>
      <c r="BT45" s="117">
        <v>430.19943499999999</v>
      </c>
      <c r="BU45" s="117">
        <v>276.88976600000001</v>
      </c>
      <c r="BV45" s="117">
        <v>1.0656000000000001E-2</v>
      </c>
      <c r="BW45" s="117">
        <v>549.25190399999997</v>
      </c>
      <c r="BX45" s="117">
        <v>198.42079799999999</v>
      </c>
      <c r="BY45" s="117">
        <v>389.554734</v>
      </c>
      <c r="BZ45" s="117">
        <v>215.15849399999999</v>
      </c>
      <c r="CA45" s="117">
        <v>408.78202399999998</v>
      </c>
      <c r="CB45" s="117">
        <v>257.792957</v>
      </c>
      <c r="CC45" s="117">
        <v>0</v>
      </c>
      <c r="CD45" s="117">
        <v>603.30765799999995</v>
      </c>
      <c r="CE45" s="117">
        <v>219.57109500000001</v>
      </c>
      <c r="CF45" s="117">
        <v>429.52077100000002</v>
      </c>
      <c r="CG45" s="117">
        <v>237.68140500000001</v>
      </c>
      <c r="CH45" s="117">
        <v>452.56838299999998</v>
      </c>
      <c r="CI45" s="117">
        <v>285.39127400000001</v>
      </c>
      <c r="CJ45" s="117">
        <v>0</v>
      </c>
      <c r="CK45" s="117">
        <v>537.52748399999996</v>
      </c>
      <c r="CL45" s="117">
        <v>202.979018</v>
      </c>
      <c r="CM45" s="117">
        <v>400.63845900000001</v>
      </c>
      <c r="CN45" s="117">
        <v>220.80779100000001</v>
      </c>
      <c r="CO45" s="117">
        <v>416.555319</v>
      </c>
      <c r="CP45" s="117">
        <v>263.25212399999998</v>
      </c>
      <c r="CQ45" s="117">
        <v>0</v>
      </c>
      <c r="CR45" s="117">
        <v>668.55977199999995</v>
      </c>
      <c r="CS45" s="117">
        <v>234.30408299999999</v>
      </c>
      <c r="CT45" s="117">
        <v>457.15381500000001</v>
      </c>
      <c r="CU45" s="117">
        <v>254.65252899999999</v>
      </c>
      <c r="CV45" s="117">
        <v>481.58090499999997</v>
      </c>
      <c r="CW45" s="117">
        <v>301.05382100000003</v>
      </c>
      <c r="CX45" s="117">
        <v>0</v>
      </c>
      <c r="CY45" s="117">
        <v>569.901028</v>
      </c>
      <c r="CZ45" s="117">
        <v>206.64189999999999</v>
      </c>
      <c r="DA45" s="117">
        <v>406.71640100000002</v>
      </c>
      <c r="DB45" s="117">
        <v>223.38107199999999</v>
      </c>
      <c r="DC45" s="117">
        <v>426.51236299999999</v>
      </c>
      <c r="DD45" s="117">
        <v>270.59657199999998</v>
      </c>
      <c r="DE45" s="117">
        <v>0</v>
      </c>
      <c r="DF45" s="117">
        <v>514.50792999999999</v>
      </c>
      <c r="DG45" s="117">
        <v>186.31244100000001</v>
      </c>
      <c r="DH45" s="117">
        <v>368.17532199999999</v>
      </c>
      <c r="DI45" s="117">
        <v>199.77684500000001</v>
      </c>
      <c r="DJ45" s="117">
        <v>386.66908100000001</v>
      </c>
      <c r="DK45" s="117">
        <v>249.33091300000001</v>
      </c>
      <c r="DL45" s="117">
        <v>0</v>
      </c>
      <c r="DM45" s="117">
        <v>593.84412699999996</v>
      </c>
      <c r="DN45" s="117">
        <v>224.86896300000001</v>
      </c>
      <c r="DO45" s="117">
        <v>446.97130199999998</v>
      </c>
      <c r="DP45" s="117">
        <v>237.91300799999999</v>
      </c>
      <c r="DQ45" s="117">
        <v>468.932029</v>
      </c>
      <c r="DR45" s="117">
        <v>310.80225300000001</v>
      </c>
      <c r="DS45" s="117">
        <v>0</v>
      </c>
      <c r="DT45" s="117">
        <v>614.62388299999998</v>
      </c>
      <c r="DU45" s="117">
        <v>217.71741800000001</v>
      </c>
      <c r="DV45" s="117">
        <v>427.72332999999998</v>
      </c>
      <c r="DW45" s="117">
        <v>235.07184599999999</v>
      </c>
      <c r="DX45" s="117">
        <v>449.566148</v>
      </c>
      <c r="DY45" s="117">
        <v>285.36107299999998</v>
      </c>
      <c r="DZ45" s="117">
        <v>0</v>
      </c>
      <c r="EA45" s="117">
        <v>549.45715399999995</v>
      </c>
      <c r="EB45" s="117">
        <v>198.56986699999999</v>
      </c>
      <c r="EC45" s="117">
        <v>392.61380700000001</v>
      </c>
      <c r="ED45" s="117">
        <v>214.832324</v>
      </c>
      <c r="EE45" s="117">
        <v>409.815293</v>
      </c>
      <c r="EF45" s="117">
        <v>260.38076599999999</v>
      </c>
      <c r="EG45" s="117">
        <v>0</v>
      </c>
      <c r="EH45" s="117">
        <v>653.38320199999998</v>
      </c>
      <c r="EI45" s="117">
        <v>244.87732299999999</v>
      </c>
      <c r="EJ45" s="117">
        <v>484.86061599999999</v>
      </c>
      <c r="EK45" s="117">
        <v>263.90279299999997</v>
      </c>
      <c r="EL45" s="117">
        <v>505.04430300000001</v>
      </c>
      <c r="EM45" s="117">
        <v>324.15067199999999</v>
      </c>
      <c r="EN45" s="117">
        <v>0</v>
      </c>
      <c r="EO45" s="117">
        <v>520.79533100000003</v>
      </c>
      <c r="EP45" s="117">
        <v>184.07790800000001</v>
      </c>
      <c r="EQ45" s="117">
        <v>363.37459699999999</v>
      </c>
      <c r="ER45" s="117">
        <v>196.495553</v>
      </c>
      <c r="ES45" s="117">
        <v>383.04814599999997</v>
      </c>
      <c r="ET45" s="117">
        <v>248.641863</v>
      </c>
      <c r="EU45" s="117">
        <v>0</v>
      </c>
      <c r="EV45" s="117">
        <v>566.29381599999999</v>
      </c>
      <c r="EW45" s="117">
        <v>205.21595099999999</v>
      </c>
      <c r="EX45" s="117">
        <v>404.71990299999999</v>
      </c>
      <c r="EY45" s="117">
        <v>221.447585</v>
      </c>
      <c r="EZ45" s="117">
        <v>424.080602</v>
      </c>
      <c r="FA45" s="117">
        <v>270.13428499999998</v>
      </c>
      <c r="FB45" s="117">
        <v>0</v>
      </c>
      <c r="FC45" s="117">
        <v>445.68906600000003</v>
      </c>
      <c r="FD45" s="117">
        <v>171.84598800000001</v>
      </c>
      <c r="FE45" s="117">
        <v>342.99434200000002</v>
      </c>
      <c r="FF45" s="117">
        <v>180.707908</v>
      </c>
      <c r="FG45" s="117">
        <v>360.11688500000002</v>
      </c>
      <c r="FH45" s="117">
        <v>242.03535199999999</v>
      </c>
      <c r="FI45" s="117">
        <v>0</v>
      </c>
      <c r="FJ45" s="117">
        <v>498.79128700000001</v>
      </c>
      <c r="FK45" s="117">
        <v>172.41977700000001</v>
      </c>
      <c r="FL45" s="117">
        <v>341.90177799999998</v>
      </c>
      <c r="FM45" s="117">
        <v>183.73847699999999</v>
      </c>
      <c r="FN45" s="117">
        <v>359.34072099999997</v>
      </c>
      <c r="FO45" s="117">
        <v>234.575445</v>
      </c>
      <c r="FP45" s="117">
        <v>0</v>
      </c>
      <c r="FQ45" s="117">
        <v>393.778503</v>
      </c>
      <c r="FR45" s="117">
        <v>141.881494</v>
      </c>
      <c r="FS45" s="117">
        <v>284.98398400000002</v>
      </c>
      <c r="FT45" s="117">
        <v>147.68920700000001</v>
      </c>
      <c r="FU45" s="117">
        <v>300.23148400000002</v>
      </c>
      <c r="FV45" s="117">
        <v>204.619786</v>
      </c>
      <c r="FW45" s="117">
        <v>0</v>
      </c>
      <c r="FX45" s="117">
        <v>574.90908899999999</v>
      </c>
      <c r="FY45" s="117">
        <v>218.89939000000001</v>
      </c>
      <c r="FZ45" s="117">
        <v>430.73481600000002</v>
      </c>
      <c r="GA45" s="117">
        <v>238.73678100000001</v>
      </c>
      <c r="GB45" s="117">
        <v>448.340552</v>
      </c>
      <c r="GC45" s="117">
        <v>281.463888</v>
      </c>
      <c r="GD45" s="117">
        <v>0</v>
      </c>
      <c r="GE45" s="117">
        <v>533.560338</v>
      </c>
      <c r="GF45" s="117">
        <v>184.41855799999999</v>
      </c>
      <c r="GG45" s="117">
        <v>362.35558500000002</v>
      </c>
      <c r="GH45" s="117">
        <v>197.59686199999999</v>
      </c>
      <c r="GI45" s="117">
        <v>382.80290000000002</v>
      </c>
      <c r="GJ45" s="117">
        <v>246.435754</v>
      </c>
      <c r="GK45" s="117">
        <v>0</v>
      </c>
      <c r="GL45" s="117">
        <v>459.81276500000001</v>
      </c>
      <c r="GM45" s="117">
        <v>165.621388</v>
      </c>
      <c r="GN45" s="117">
        <v>327.96573100000001</v>
      </c>
      <c r="GO45" s="117">
        <v>178.62690799999999</v>
      </c>
      <c r="GP45" s="117">
        <v>342.74885599999999</v>
      </c>
      <c r="GQ45" s="117">
        <v>219.500542</v>
      </c>
      <c r="GR45" s="117">
        <v>0</v>
      </c>
      <c r="GS45" s="117">
        <v>495.50235600000002</v>
      </c>
      <c r="GT45" s="117">
        <v>183.67725300000001</v>
      </c>
      <c r="GU45" s="117">
        <v>365.891887</v>
      </c>
      <c r="GV45" s="117">
        <v>195.008318</v>
      </c>
      <c r="GW45" s="117">
        <v>382.59552600000001</v>
      </c>
      <c r="GX45" s="117">
        <v>252.94051899999999</v>
      </c>
      <c r="GY45" s="117">
        <v>0</v>
      </c>
      <c r="GZ45" s="117">
        <v>505.33937800000001</v>
      </c>
      <c r="HA45" s="117">
        <v>180.50386599999999</v>
      </c>
      <c r="HB45" s="117">
        <v>355.88170700000001</v>
      </c>
      <c r="HC45" s="117">
        <v>192.79905199999999</v>
      </c>
      <c r="HD45" s="117">
        <v>375.47836100000001</v>
      </c>
      <c r="HE45" s="117">
        <v>243.39416</v>
      </c>
      <c r="HF45" s="117">
        <v>0</v>
      </c>
    </row>
    <row r="46" spans="6:214" x14ac:dyDescent="0.25">
      <c r="F46" s="116" t="str">
        <f xml:space="preserve"> _xll.EPMOlapMemberO("[PRDDESCR].[].[WONDER GFREE WHOLEM 500G]","","WONDER GFREE WHOLEM 500G","","000")</f>
        <v>WONDER GFREE WHOLEM 500G</v>
      </c>
      <c r="G46" s="116" t="str">
        <f xml:space="preserve"> _xll.EPMOlapMemberO("[PRDID].[].[179650]","","179650","","000")</f>
        <v>179650</v>
      </c>
      <c r="H46" s="116" t="str">
        <f xml:space="preserve"> _xll.EPMOlapMemberO("[LOCID].[].[6120]","","6120","","000")</f>
        <v>6120</v>
      </c>
      <c r="I46" s="116" t="str">
        <f xml:space="preserve"> _xll.EPMOlapMemberO("[LOCDESCR].[].[QBA-Hobart]","","QBA-Hobart","","000")</f>
        <v>QBA-Hobart</v>
      </c>
      <c r="J46" s="116" t="str">
        <f xml:space="preserve"> _xll.EPMOlapMemberO("[KEY_FIGURES].[].[ZGFAPPROVEDFCSTQTY]","","Approved Forecast","","000")</f>
        <v>Approved Forecast</v>
      </c>
      <c r="K46" s="117">
        <v>44.820312999999999</v>
      </c>
      <c r="L46" s="117">
        <v>0.108434</v>
      </c>
      <c r="M46" s="117">
        <v>38.842483999999999</v>
      </c>
      <c r="N46" s="117">
        <v>0.2117</v>
      </c>
      <c r="O46" s="117">
        <v>33.434443000000002</v>
      </c>
      <c r="P46" s="117">
        <v>0</v>
      </c>
      <c r="Q46" s="117">
        <v>0</v>
      </c>
      <c r="R46" s="117">
        <v>44.825826999999997</v>
      </c>
      <c r="S46" s="117">
        <v>0.110861</v>
      </c>
      <c r="T46" s="117">
        <v>39.201599000000002</v>
      </c>
      <c r="U46" s="117">
        <v>0.22084599999999999</v>
      </c>
      <c r="V46" s="117">
        <v>31.616384</v>
      </c>
      <c r="W46" s="117">
        <v>0</v>
      </c>
      <c r="X46" s="117">
        <v>0</v>
      </c>
      <c r="Y46" s="117">
        <v>45.844938999999997</v>
      </c>
      <c r="Z46" s="117">
        <v>0.11414199999999999</v>
      </c>
      <c r="AA46" s="117">
        <v>39.623341000000003</v>
      </c>
      <c r="AB46" s="117">
        <v>0.228107</v>
      </c>
      <c r="AC46" s="117">
        <v>32.332312000000002</v>
      </c>
      <c r="AD46" s="117">
        <v>3.5370159999999999</v>
      </c>
      <c r="AE46" s="117">
        <v>0</v>
      </c>
      <c r="AF46" s="117">
        <v>41.401811000000002</v>
      </c>
      <c r="AG46" s="117">
        <v>9.6767000000000006E-2</v>
      </c>
      <c r="AH46" s="117">
        <v>36.71949</v>
      </c>
      <c r="AI46" s="117">
        <v>0.19855900000000001</v>
      </c>
      <c r="AJ46" s="117">
        <v>29.236433999999999</v>
      </c>
      <c r="AK46" s="117">
        <v>3.1593070000000001</v>
      </c>
      <c r="AL46" s="117">
        <v>0</v>
      </c>
      <c r="AM46" s="117">
        <v>50.243633000000003</v>
      </c>
      <c r="AN46" s="117">
        <v>0.117433</v>
      </c>
      <c r="AO46" s="117">
        <v>44.561352999999997</v>
      </c>
      <c r="AP46" s="117">
        <v>0.24096200000000001</v>
      </c>
      <c r="AQ46" s="117">
        <v>35.480201000000001</v>
      </c>
      <c r="AR46" s="117">
        <v>3.8340040000000002</v>
      </c>
      <c r="AS46" s="117">
        <v>0</v>
      </c>
      <c r="AT46" s="117">
        <v>42.513755000000003</v>
      </c>
      <c r="AU46" s="117">
        <v>9.9364999999999995E-2</v>
      </c>
      <c r="AV46" s="117">
        <v>37.705685000000003</v>
      </c>
      <c r="AW46" s="117">
        <v>0.20389199999999999</v>
      </c>
      <c r="AX46" s="117">
        <v>30.021652</v>
      </c>
      <c r="AY46" s="117">
        <v>3.2441420000000001</v>
      </c>
      <c r="AZ46" s="117">
        <v>0</v>
      </c>
      <c r="BA46" s="117">
        <v>33.902335999999998</v>
      </c>
      <c r="BB46" s="117">
        <v>7.9238000000000003E-2</v>
      </c>
      <c r="BC46" s="117">
        <v>30.068165</v>
      </c>
      <c r="BD46" s="117">
        <v>0.16259199999999999</v>
      </c>
      <c r="BE46" s="117">
        <v>23.940577000000001</v>
      </c>
      <c r="BF46" s="117">
        <v>2.5870310000000001</v>
      </c>
      <c r="BG46" s="117">
        <v>0</v>
      </c>
      <c r="BH46" s="117">
        <v>41.291058</v>
      </c>
      <c r="BI46" s="117">
        <v>9.6506999999999996E-2</v>
      </c>
      <c r="BJ46" s="117">
        <v>36.621265999999999</v>
      </c>
      <c r="BK46" s="117">
        <v>0.19802700000000001</v>
      </c>
      <c r="BL46" s="117">
        <v>29.158228000000001</v>
      </c>
      <c r="BM46" s="117">
        <v>3.1508419999999999</v>
      </c>
      <c r="BN46" s="117">
        <v>0</v>
      </c>
      <c r="BO46" s="117">
        <v>36.468139000000001</v>
      </c>
      <c r="BP46" s="117">
        <v>8.5236000000000006E-2</v>
      </c>
      <c r="BQ46" s="117">
        <v>31.788155</v>
      </c>
      <c r="BR46" s="117">
        <v>0.182009</v>
      </c>
      <c r="BS46" s="117">
        <v>25.921491</v>
      </c>
      <c r="BT46" s="117">
        <v>2.820106</v>
      </c>
      <c r="BU46" s="117">
        <v>0</v>
      </c>
      <c r="BV46" s="117">
        <v>57.072567999999997</v>
      </c>
      <c r="BW46" s="117">
        <v>0.14144799999999999</v>
      </c>
      <c r="BX46" s="117">
        <v>50.284053999999998</v>
      </c>
      <c r="BY46" s="117">
        <v>0.27190799999999998</v>
      </c>
      <c r="BZ46" s="117">
        <v>40.036670000000001</v>
      </c>
      <c r="CA46" s="117">
        <v>4.3263959999999999</v>
      </c>
      <c r="CB46" s="117">
        <v>0</v>
      </c>
      <c r="CC46" s="117">
        <v>67.259641999999999</v>
      </c>
      <c r="CD46" s="117">
        <v>0.15720400000000001</v>
      </c>
      <c r="CE46" s="117">
        <v>59.652951000000002</v>
      </c>
      <c r="CF46" s="117">
        <v>0.32256899999999999</v>
      </c>
      <c r="CG46" s="117">
        <v>47.496293000000001</v>
      </c>
      <c r="CH46" s="117">
        <v>5.1324750000000003</v>
      </c>
      <c r="CI46" s="117">
        <v>0</v>
      </c>
      <c r="CJ46" s="117">
        <v>42.528737</v>
      </c>
      <c r="CK46" s="117">
        <v>9.9400000000000002E-2</v>
      </c>
      <c r="CL46" s="117">
        <v>37.718964</v>
      </c>
      <c r="CM46" s="117">
        <v>0.20396300000000001</v>
      </c>
      <c r="CN46" s="117">
        <v>30.032229000000001</v>
      </c>
      <c r="CO46" s="117">
        <v>3.2452960000000002</v>
      </c>
      <c r="CP46" s="117">
        <v>0</v>
      </c>
      <c r="CQ46" s="117">
        <v>59.753815000000003</v>
      </c>
      <c r="CR46" s="117">
        <v>0.13966000000000001</v>
      </c>
      <c r="CS46" s="117">
        <v>52.995990999999997</v>
      </c>
      <c r="CT46" s="117">
        <v>0.28657199999999999</v>
      </c>
      <c r="CU46" s="117">
        <v>42.195948000000001</v>
      </c>
      <c r="CV46" s="117">
        <v>4.5597209999999997</v>
      </c>
      <c r="CW46" s="117">
        <v>0</v>
      </c>
      <c r="CX46" s="117">
        <v>51.894063000000003</v>
      </c>
      <c r="CY46" s="117">
        <v>0.12128899999999999</v>
      </c>
      <c r="CZ46" s="117">
        <v>46.025129999999997</v>
      </c>
      <c r="DA46" s="117">
        <v>0.24887799999999999</v>
      </c>
      <c r="DB46" s="117">
        <v>36.645674</v>
      </c>
      <c r="DC46" s="117">
        <v>3.9599579999999999</v>
      </c>
      <c r="DD46" s="117">
        <v>0</v>
      </c>
      <c r="DE46" s="117">
        <v>60.626424</v>
      </c>
      <c r="DF46" s="117">
        <v>0.14169999999999999</v>
      </c>
      <c r="DG46" s="117">
        <v>53.769922999999999</v>
      </c>
      <c r="DH46" s="117">
        <v>0.29075699999999999</v>
      </c>
      <c r="DI46" s="117">
        <v>42.812114999999999</v>
      </c>
      <c r="DJ46" s="117">
        <v>4.6262869999999996</v>
      </c>
      <c r="DK46" s="117">
        <v>0</v>
      </c>
      <c r="DL46" s="117">
        <v>57.314310999999996</v>
      </c>
      <c r="DM46" s="117">
        <v>0.13395699999999999</v>
      </c>
      <c r="DN46" s="117">
        <v>50.832352999999998</v>
      </c>
      <c r="DO46" s="117">
        <v>0.27487099999999998</v>
      </c>
      <c r="DP46" s="117">
        <v>40.473280000000003</v>
      </c>
      <c r="DQ46" s="117">
        <v>4.3735689999999998</v>
      </c>
      <c r="DR46" s="117">
        <v>0</v>
      </c>
      <c r="DS46" s="117">
        <v>57.423757000000002</v>
      </c>
      <c r="DT46" s="117">
        <v>0.134213</v>
      </c>
      <c r="DU46" s="117">
        <v>50.929443999999997</v>
      </c>
      <c r="DV46" s="117">
        <v>0.275397</v>
      </c>
      <c r="DW46" s="117">
        <v>40.550589000000002</v>
      </c>
      <c r="DX46" s="117">
        <v>4.3819419999999996</v>
      </c>
      <c r="DY46" s="117">
        <v>0</v>
      </c>
      <c r="DZ46" s="117">
        <v>25.597076000000001</v>
      </c>
      <c r="EA46" s="117">
        <v>5.9825999999999997E-2</v>
      </c>
      <c r="EB46" s="117">
        <v>22.702178</v>
      </c>
      <c r="EC46" s="117">
        <v>0.122761</v>
      </c>
      <c r="ED46" s="117">
        <v>18.075673999999999</v>
      </c>
      <c r="EE46" s="117">
        <v>1.9532430000000001</v>
      </c>
      <c r="EF46" s="117">
        <v>0</v>
      </c>
      <c r="EG46" s="117">
        <v>75.291416999999996</v>
      </c>
      <c r="EH46" s="117">
        <v>0.17597499999999999</v>
      </c>
      <c r="EI46" s="117">
        <v>66.776362000000006</v>
      </c>
      <c r="EJ46" s="117">
        <v>0.36108699999999999</v>
      </c>
      <c r="EK46" s="117">
        <v>53.168055000000003</v>
      </c>
      <c r="EL46" s="117">
        <v>5.7453789999999998</v>
      </c>
      <c r="EM46" s="117">
        <v>0</v>
      </c>
      <c r="EN46" s="117">
        <v>57.504555000000003</v>
      </c>
      <c r="EO46" s="117">
        <v>0.13440199999999999</v>
      </c>
      <c r="EP46" s="117">
        <v>51.001091000000002</v>
      </c>
      <c r="EQ46" s="117">
        <v>0.27578399999999997</v>
      </c>
      <c r="ER46" s="117">
        <v>40.607638000000001</v>
      </c>
      <c r="ES46" s="117">
        <v>4.3881100000000002</v>
      </c>
      <c r="ET46" s="117">
        <v>0</v>
      </c>
      <c r="EU46" s="117">
        <v>55.014873000000001</v>
      </c>
      <c r="EV46" s="117">
        <v>0.128583</v>
      </c>
      <c r="EW46" s="117">
        <v>48.792985999999999</v>
      </c>
      <c r="EX46" s="117">
        <v>0.26384299999999999</v>
      </c>
      <c r="EY46" s="117">
        <v>38.849513000000002</v>
      </c>
      <c r="EZ46" s="117">
        <v>4.1981229999999998</v>
      </c>
      <c r="FA46" s="117">
        <v>0</v>
      </c>
      <c r="FB46" s="117">
        <v>39.470635000000001</v>
      </c>
      <c r="FC46" s="117">
        <v>9.2253000000000002E-2</v>
      </c>
      <c r="FD46" s="117">
        <v>35.006729</v>
      </c>
      <c r="FE46" s="117">
        <v>0.18929699999999999</v>
      </c>
      <c r="FF46" s="117">
        <v>27.872661999999998</v>
      </c>
      <c r="FG46" s="117">
        <v>3.0119199999999999</v>
      </c>
      <c r="FH46" s="117">
        <v>0</v>
      </c>
      <c r="FI46" s="117">
        <v>67.283607000000003</v>
      </c>
      <c r="FJ46" s="117">
        <v>0.15725900000000001</v>
      </c>
      <c r="FK46" s="117">
        <v>59.674204000000003</v>
      </c>
      <c r="FL46" s="117">
        <v>0.32268200000000002</v>
      </c>
      <c r="FM46" s="117">
        <v>47.513243000000003</v>
      </c>
      <c r="FN46" s="117">
        <v>5.1343249999999996</v>
      </c>
      <c r="FO46" s="117">
        <v>0</v>
      </c>
      <c r="FP46" s="117">
        <v>50.379840999999999</v>
      </c>
      <c r="FQ46" s="117">
        <v>0.11774999999999999</v>
      </c>
      <c r="FR46" s="117">
        <v>44.682133</v>
      </c>
      <c r="FS46" s="117">
        <v>0.241614</v>
      </c>
      <c r="FT46" s="117">
        <v>35.576416999999999</v>
      </c>
      <c r="FU46" s="117">
        <v>3.8444189999999998</v>
      </c>
      <c r="FV46" s="117">
        <v>0</v>
      </c>
      <c r="FW46" s="117">
        <v>51.439152</v>
      </c>
      <c r="FX46" s="117">
        <v>0.120225</v>
      </c>
      <c r="FY46" s="117">
        <v>45.621651999999997</v>
      </c>
      <c r="FZ46" s="117">
        <v>0.246694</v>
      </c>
      <c r="GA46" s="117">
        <v>36.324469000000001</v>
      </c>
      <c r="GB46" s="117">
        <v>3.925265</v>
      </c>
      <c r="GC46" s="117">
        <v>0</v>
      </c>
      <c r="GD46" s="117">
        <v>55.373452999999998</v>
      </c>
      <c r="GE46" s="117">
        <v>0.12942100000000001</v>
      </c>
      <c r="GF46" s="117">
        <v>49.111007999999998</v>
      </c>
      <c r="GG46" s="117">
        <v>0.26556400000000002</v>
      </c>
      <c r="GH46" s="117">
        <v>39.102722</v>
      </c>
      <c r="GI46" s="117">
        <v>4.2254740000000002</v>
      </c>
      <c r="GJ46" s="117">
        <v>0</v>
      </c>
      <c r="GK46" s="117">
        <v>54.233080000000001</v>
      </c>
      <c r="GL46" s="117">
        <v>0.12675600000000001</v>
      </c>
      <c r="GM46" s="117">
        <v>48.099614000000003</v>
      </c>
      <c r="GN46" s="117">
        <v>0.26009399999999999</v>
      </c>
      <c r="GO46" s="117">
        <v>38.297407</v>
      </c>
      <c r="GP46" s="117">
        <v>4.1384319999999999</v>
      </c>
      <c r="GQ46" s="117">
        <v>0</v>
      </c>
      <c r="GR46" s="117">
        <v>35.868431999999999</v>
      </c>
      <c r="GS46" s="117">
        <v>8.3833000000000005E-2</v>
      </c>
      <c r="GT46" s="117">
        <v>31.811909</v>
      </c>
      <c r="GU46" s="117">
        <v>0.17201900000000001</v>
      </c>
      <c r="GV46" s="117">
        <v>25.328962000000001</v>
      </c>
      <c r="GW46" s="117">
        <v>2.7370429999999999</v>
      </c>
      <c r="GX46" s="117">
        <v>0</v>
      </c>
      <c r="GY46" s="117">
        <v>64.121966</v>
      </c>
      <c r="GZ46" s="117">
        <v>0.149869</v>
      </c>
      <c r="HA46" s="117">
        <v>56.870126999999997</v>
      </c>
      <c r="HB46" s="117">
        <v>0.30752000000000002</v>
      </c>
      <c r="HC46" s="117">
        <v>45.280577000000001</v>
      </c>
      <c r="HD46" s="117">
        <v>4.8930420000000003</v>
      </c>
      <c r="HE46" s="117">
        <v>0</v>
      </c>
      <c r="HF46" s="117">
        <v>44.429682999999997</v>
      </c>
    </row>
    <row r="47" spans="6:214" x14ac:dyDescent="0.25">
      <c r="F47" s="116" t="str">
        <f xml:space="preserve"> _xll.EPMOlapMemberO("[PRDDESCR].[].[WONDER GFREE WHOLEM 500G]","","WONDER GFREE WHOLEM 500G","","000")</f>
        <v>WONDER GFREE WHOLEM 500G</v>
      </c>
      <c r="G47" s="116" t="str">
        <f xml:space="preserve"> _xll.EPMOlapMemberO("[PRDID].[].[179650]","","179650","","000")</f>
        <v>179650</v>
      </c>
      <c r="H47" s="116" t="str">
        <f xml:space="preserve"> _xll.EPMOlapMemberO("[LOCID].[].[6123]","","6123","","000")</f>
        <v>6123</v>
      </c>
      <c r="I47" s="116" t="str">
        <f xml:space="preserve"> _xll.EPMOlapMemberO("[LOCDESCR].[].[QBA-Clayton - Fairbank]","","QBA-Clayton - Fairbank","","000")</f>
        <v>QBA-Clayton - Fairbank</v>
      </c>
      <c r="J47" s="116" t="str">
        <f xml:space="preserve"> _xll.EPMOlapMemberO("[KEY_FIGURES].[].[ZGFAPPROVEDFCSTQTY]","","Approved Forecast","","000")</f>
        <v>Approved Forecast</v>
      </c>
      <c r="K47" s="117">
        <v>0</v>
      </c>
      <c r="L47" s="117">
        <v>0</v>
      </c>
      <c r="M47" s="117">
        <v>395.88018199999999</v>
      </c>
      <c r="N47" s="117">
        <v>123.005945</v>
      </c>
      <c r="O47" s="117">
        <v>232.60498000000001</v>
      </c>
      <c r="P47" s="117">
        <v>167.06817100000001</v>
      </c>
      <c r="Q47" s="117">
        <v>368.70791600000001</v>
      </c>
      <c r="R47" s="117">
        <v>0</v>
      </c>
      <c r="S47" s="117">
        <v>0</v>
      </c>
      <c r="T47" s="117">
        <v>412.80293</v>
      </c>
      <c r="U47" s="117">
        <v>128.744077</v>
      </c>
      <c r="V47" s="117">
        <v>252.45416399999999</v>
      </c>
      <c r="W47" s="117">
        <v>169.79819699999999</v>
      </c>
      <c r="X47" s="117">
        <v>395.37746099999998</v>
      </c>
      <c r="Y47" s="117">
        <v>0.227243</v>
      </c>
      <c r="Z47" s="117">
        <v>0</v>
      </c>
      <c r="AA47" s="117">
        <v>402.69657899999999</v>
      </c>
      <c r="AB47" s="117">
        <v>123.148826</v>
      </c>
      <c r="AC47" s="117">
        <v>245.65557000000001</v>
      </c>
      <c r="AD47" s="117">
        <v>169.705309</v>
      </c>
      <c r="AE47" s="117">
        <v>390.93311599999998</v>
      </c>
      <c r="AF47" s="117">
        <v>0.26038699999999998</v>
      </c>
      <c r="AG47" s="117">
        <v>1.736E-2</v>
      </c>
      <c r="AH47" s="117">
        <v>434.78280799999999</v>
      </c>
      <c r="AI47" s="117">
        <v>139.548588</v>
      </c>
      <c r="AJ47" s="117">
        <v>262.67038300000002</v>
      </c>
      <c r="AK47" s="117">
        <v>174.12073899999999</v>
      </c>
      <c r="AL47" s="117">
        <v>393.620767</v>
      </c>
      <c r="AM47" s="117">
        <v>0.23877799999999999</v>
      </c>
      <c r="AN47" s="117">
        <v>1.5918999999999999E-2</v>
      </c>
      <c r="AO47" s="117">
        <v>404.69362000000001</v>
      </c>
      <c r="AP47" s="117">
        <v>130.07206099999999</v>
      </c>
      <c r="AQ47" s="117">
        <v>246.46098000000001</v>
      </c>
      <c r="AR47" s="117">
        <v>171.08670499999999</v>
      </c>
      <c r="AS47" s="117">
        <v>361.71425399999998</v>
      </c>
      <c r="AT47" s="117">
        <v>0.26496399999999998</v>
      </c>
      <c r="AU47" s="117">
        <v>1.7665E-2</v>
      </c>
      <c r="AV47" s="117">
        <v>474.89381700000001</v>
      </c>
      <c r="AW47" s="117">
        <v>152.38413199999999</v>
      </c>
      <c r="AX47" s="117">
        <v>288.27519599999999</v>
      </c>
      <c r="AY47" s="117">
        <v>189.733484</v>
      </c>
      <c r="AZ47" s="117">
        <v>429.98742900000002</v>
      </c>
      <c r="BA47" s="117">
        <v>0.22465199999999999</v>
      </c>
      <c r="BB47" s="117">
        <v>1.4977000000000001E-2</v>
      </c>
      <c r="BC47" s="117">
        <v>381.22648400000003</v>
      </c>
      <c r="BD47" s="117">
        <v>125.95038</v>
      </c>
      <c r="BE47" s="117">
        <v>242.0247</v>
      </c>
      <c r="BF47" s="117">
        <v>161.84362400000001</v>
      </c>
      <c r="BG47" s="117">
        <v>359.06923599999999</v>
      </c>
      <c r="BH47" s="117">
        <v>0.24682200000000001</v>
      </c>
      <c r="BI47" s="117">
        <v>1.6455000000000001E-2</v>
      </c>
      <c r="BJ47" s="117">
        <v>448.50724600000001</v>
      </c>
      <c r="BK47" s="117">
        <v>145.336479</v>
      </c>
      <c r="BL47" s="117">
        <v>276.39240599999999</v>
      </c>
      <c r="BM47" s="117">
        <v>178.691461</v>
      </c>
      <c r="BN47" s="117">
        <v>413.95197000000002</v>
      </c>
      <c r="BO47" s="117">
        <v>0.22961500000000001</v>
      </c>
      <c r="BP47" s="117">
        <v>1.5308E-2</v>
      </c>
      <c r="BQ47" s="117">
        <v>411.64093100000002</v>
      </c>
      <c r="BR47" s="117">
        <v>131.64005900000001</v>
      </c>
      <c r="BS47" s="117">
        <v>247.697239</v>
      </c>
      <c r="BT47" s="117">
        <v>174.00976199999999</v>
      </c>
      <c r="BU47" s="117">
        <v>363.07413200000002</v>
      </c>
      <c r="BV47" s="117">
        <v>0.19456100000000001</v>
      </c>
      <c r="BW47" s="117">
        <v>1.2971E-2</v>
      </c>
      <c r="BX47" s="117">
        <v>342.30234799999999</v>
      </c>
      <c r="BY47" s="117">
        <v>110.446811</v>
      </c>
      <c r="BZ47" s="117">
        <v>206.828576</v>
      </c>
      <c r="CA47" s="117">
        <v>138.021401</v>
      </c>
      <c r="CB47" s="117">
        <v>304.03051299999998</v>
      </c>
      <c r="CC47" s="117">
        <v>0.28789900000000002</v>
      </c>
      <c r="CD47" s="117">
        <v>1.9193999999999999E-2</v>
      </c>
      <c r="CE47" s="117">
        <v>468.73483299999998</v>
      </c>
      <c r="CF47" s="117">
        <v>153.83633900000001</v>
      </c>
      <c r="CG47" s="117">
        <v>293.61611299999998</v>
      </c>
      <c r="CH47" s="117">
        <v>198.484387</v>
      </c>
      <c r="CI47" s="117">
        <v>436.17367999999999</v>
      </c>
      <c r="CJ47" s="117">
        <v>0.232013</v>
      </c>
      <c r="CK47" s="117">
        <v>1.5468000000000001E-2</v>
      </c>
      <c r="CL47" s="117">
        <v>453.92367999999999</v>
      </c>
      <c r="CM47" s="117">
        <v>146.43694300000001</v>
      </c>
      <c r="CN47" s="117">
        <v>279.22602899999998</v>
      </c>
      <c r="CO47" s="117">
        <v>180.63468399999999</v>
      </c>
      <c r="CP47" s="117">
        <v>415.41787599999998</v>
      </c>
      <c r="CQ47" s="117">
        <v>0.25013000000000002</v>
      </c>
      <c r="CR47" s="117">
        <v>1.6676E-2</v>
      </c>
      <c r="CS47" s="117">
        <v>452.05722300000002</v>
      </c>
      <c r="CT47" s="117">
        <v>145.90641299999999</v>
      </c>
      <c r="CU47" s="117">
        <v>278.36895500000003</v>
      </c>
      <c r="CV47" s="117">
        <v>191.647615</v>
      </c>
      <c r="CW47" s="117">
        <v>406.942025</v>
      </c>
      <c r="CX47" s="117">
        <v>0.22931599999999999</v>
      </c>
      <c r="CY47" s="117">
        <v>1.5288E-2</v>
      </c>
      <c r="CZ47" s="117">
        <v>410.06769600000001</v>
      </c>
      <c r="DA47" s="117">
        <v>133.15124900000001</v>
      </c>
      <c r="DB47" s="117">
        <v>250.168971</v>
      </c>
      <c r="DC47" s="117">
        <v>165.09077400000001</v>
      </c>
      <c r="DD47" s="117">
        <v>368.27844599999997</v>
      </c>
      <c r="DE47" s="117">
        <v>0.23810799999999999</v>
      </c>
      <c r="DF47" s="117">
        <v>1.5873999999999999E-2</v>
      </c>
      <c r="DG47" s="117">
        <v>384.522535</v>
      </c>
      <c r="DH47" s="117">
        <v>124.23736599999999</v>
      </c>
      <c r="DI47" s="117">
        <v>235.14089899999999</v>
      </c>
      <c r="DJ47" s="117">
        <v>162.40113700000001</v>
      </c>
      <c r="DK47" s="117">
        <v>347.405415</v>
      </c>
      <c r="DL47" s="117">
        <v>0.224326</v>
      </c>
      <c r="DM47" s="117">
        <v>1.4955E-2</v>
      </c>
      <c r="DN47" s="117">
        <v>410.42007799999999</v>
      </c>
      <c r="DO47" s="117">
        <v>131.12553299999999</v>
      </c>
      <c r="DP47" s="117">
        <v>247.72134299999999</v>
      </c>
      <c r="DQ47" s="117">
        <v>164.06858</v>
      </c>
      <c r="DR47" s="117">
        <v>368.04059599999999</v>
      </c>
      <c r="DS47" s="117">
        <v>0.226017</v>
      </c>
      <c r="DT47" s="117">
        <v>1.5067000000000001E-2</v>
      </c>
      <c r="DU47" s="117">
        <v>380.53192000000001</v>
      </c>
      <c r="DV47" s="117">
        <v>122.052537</v>
      </c>
      <c r="DW47" s="117">
        <v>230.91715300000001</v>
      </c>
      <c r="DX47" s="117">
        <v>160.78765799999999</v>
      </c>
      <c r="DY47" s="117">
        <v>338.81008500000002</v>
      </c>
      <c r="DZ47" s="117">
        <v>0.243092</v>
      </c>
      <c r="EA47" s="117">
        <v>1.6206000000000002E-2</v>
      </c>
      <c r="EB47" s="117">
        <v>411.94448999999997</v>
      </c>
      <c r="EC47" s="117">
        <v>134.285651</v>
      </c>
      <c r="ED47" s="117">
        <v>251.936252</v>
      </c>
      <c r="EE47" s="117">
        <v>165.92367100000001</v>
      </c>
      <c r="EF47" s="117">
        <v>373.21381700000001</v>
      </c>
      <c r="EG47" s="117">
        <v>0.28138299999999999</v>
      </c>
      <c r="EH47" s="117">
        <v>1.8758E-2</v>
      </c>
      <c r="EI47" s="117">
        <v>479.51070800000002</v>
      </c>
      <c r="EJ47" s="117">
        <v>155.74813800000001</v>
      </c>
      <c r="EK47" s="117">
        <v>300.29825799999998</v>
      </c>
      <c r="EL47" s="117">
        <v>201.442218</v>
      </c>
      <c r="EM47" s="117">
        <v>450.55273699999998</v>
      </c>
      <c r="EN47" s="117">
        <v>0.25078800000000001</v>
      </c>
      <c r="EO47" s="117">
        <v>1.6719999999999999E-2</v>
      </c>
      <c r="EP47" s="117">
        <v>456.14504599999998</v>
      </c>
      <c r="EQ47" s="117">
        <v>146.514376</v>
      </c>
      <c r="ER47" s="117">
        <v>274.25635999999997</v>
      </c>
      <c r="ES47" s="117">
        <v>183.930803</v>
      </c>
      <c r="ET47" s="117">
        <v>401.270149</v>
      </c>
      <c r="EU47" s="117">
        <v>0.25200899999999998</v>
      </c>
      <c r="EV47" s="117">
        <v>1.6799999999999999E-2</v>
      </c>
      <c r="EW47" s="117">
        <v>432.88921299999998</v>
      </c>
      <c r="EX47" s="117">
        <v>138.54151200000001</v>
      </c>
      <c r="EY47" s="117">
        <v>262.18566299999998</v>
      </c>
      <c r="EZ47" s="117">
        <v>182.974693</v>
      </c>
      <c r="FA47" s="117">
        <v>383.65002199999998</v>
      </c>
      <c r="FB47" s="117">
        <v>0.239898</v>
      </c>
      <c r="FC47" s="117">
        <v>1.5993E-2</v>
      </c>
      <c r="FD47" s="117">
        <v>463.98434900000001</v>
      </c>
      <c r="FE47" s="117">
        <v>148.752701</v>
      </c>
      <c r="FF47" s="117">
        <v>282.66314199999999</v>
      </c>
      <c r="FG47" s="117">
        <v>184.97904700000001</v>
      </c>
      <c r="FH47" s="117">
        <v>419.45843000000002</v>
      </c>
      <c r="FI47" s="117">
        <v>0.28323300000000001</v>
      </c>
      <c r="FJ47" s="117">
        <v>1.8881999999999999E-2</v>
      </c>
      <c r="FK47" s="117">
        <v>473.572293</v>
      </c>
      <c r="FL47" s="117">
        <v>153.01415399999999</v>
      </c>
      <c r="FM47" s="117">
        <v>290.34997399999997</v>
      </c>
      <c r="FN47" s="117">
        <v>200.25715400000001</v>
      </c>
      <c r="FO47" s="117">
        <v>427.610364</v>
      </c>
      <c r="FP47" s="117">
        <v>0.23235900000000001</v>
      </c>
      <c r="FQ47" s="117">
        <v>1.549E-2</v>
      </c>
      <c r="FR47" s="117">
        <v>408.35131100000001</v>
      </c>
      <c r="FS47" s="117">
        <v>133.837909</v>
      </c>
      <c r="FT47" s="117">
        <v>252.185832</v>
      </c>
      <c r="FU47" s="117">
        <v>164.18154200000001</v>
      </c>
      <c r="FV47" s="117">
        <v>373.271278</v>
      </c>
      <c r="FW47" s="117">
        <v>0.28406700000000001</v>
      </c>
      <c r="FX47" s="117">
        <v>1.8936999999999999E-2</v>
      </c>
      <c r="FY47" s="117">
        <v>503.04496799999998</v>
      </c>
      <c r="FZ47" s="117">
        <v>160.613392</v>
      </c>
      <c r="GA47" s="117">
        <v>307.94313699999998</v>
      </c>
      <c r="GB47" s="117">
        <v>211.19648900000001</v>
      </c>
      <c r="GC47" s="117">
        <v>457.05780600000003</v>
      </c>
      <c r="GD47" s="117">
        <v>0.28596500000000002</v>
      </c>
      <c r="GE47" s="117">
        <v>1.9064999999999999E-2</v>
      </c>
      <c r="GF47" s="117">
        <v>428.10005200000001</v>
      </c>
      <c r="GG47" s="117">
        <v>141.27245199999999</v>
      </c>
      <c r="GH47" s="117">
        <v>264.35611899999998</v>
      </c>
      <c r="GI47" s="117">
        <v>172.55499900000001</v>
      </c>
      <c r="GJ47" s="117">
        <v>398.11897699999997</v>
      </c>
      <c r="GK47" s="117">
        <v>0.28464</v>
      </c>
      <c r="GL47" s="117">
        <v>1.8974999999999999E-2</v>
      </c>
      <c r="GM47" s="117">
        <v>492.88122199999998</v>
      </c>
      <c r="GN47" s="117">
        <v>157.22209599999999</v>
      </c>
      <c r="GO47" s="117">
        <v>297.17197800000002</v>
      </c>
      <c r="GP47" s="117">
        <v>208.282599</v>
      </c>
      <c r="GQ47" s="117">
        <v>433.94718899999998</v>
      </c>
      <c r="GR47" s="117">
        <v>0.30096499999999998</v>
      </c>
      <c r="GS47" s="117">
        <v>2.0063999999999999E-2</v>
      </c>
      <c r="GT47" s="117">
        <v>502.740836</v>
      </c>
      <c r="GU47" s="117">
        <v>162.63892100000001</v>
      </c>
      <c r="GV47" s="117">
        <v>306.96475199999998</v>
      </c>
      <c r="GW47" s="117">
        <v>200.96912599999999</v>
      </c>
      <c r="GX47" s="117">
        <v>461.72777100000002</v>
      </c>
      <c r="GY47" s="117">
        <v>0.26846100000000001</v>
      </c>
      <c r="GZ47" s="117">
        <v>1.7897E-2</v>
      </c>
      <c r="HA47" s="117">
        <v>467.901656</v>
      </c>
      <c r="HB47" s="117">
        <v>149.021657</v>
      </c>
      <c r="HC47" s="117">
        <v>281.60360900000001</v>
      </c>
      <c r="HD47" s="117">
        <v>197.72856999999999</v>
      </c>
      <c r="HE47" s="117">
        <v>410.68973599999998</v>
      </c>
      <c r="HF47" s="117">
        <v>0.25870199999999999</v>
      </c>
    </row>
    <row r="48" spans="6:214" x14ac:dyDescent="0.25">
      <c r="F48" s="116" t="str">
        <f xml:space="preserve"> _xll.EPMOlapMemberO("[PRDDESCR].[].[WONDER GFREE WHOLEM 500G]","","WONDER GFREE WHOLEM 500G","","000")</f>
        <v>WONDER GFREE WHOLEM 500G</v>
      </c>
      <c r="G48" s="116" t="str">
        <f xml:space="preserve"> _xll.EPMOlapMemberO("[PRDID].[].[179650]","","179650","","000")</f>
        <v>179650</v>
      </c>
      <c r="H48" s="116" t="str">
        <f xml:space="preserve"> _xll.EPMOlapMemberO("[LOCID].[].[6125]","","6125","","000")</f>
        <v>6125</v>
      </c>
      <c r="I48" s="116" t="str">
        <f xml:space="preserve"> _xll.EPMOlapMemberO("[LOCDESCR].[].[QBA -Keilor Park]","","QBA -Keilor Park","","000")</f>
        <v>QBA -Keilor Park</v>
      </c>
      <c r="J48" s="116" t="str">
        <f xml:space="preserve"> _xll.EPMOlapMemberO("[KEY_FIGURES].[].[ZGFAPPROVEDFCSTQTY]","","Approved Forecast","","000")</f>
        <v>Approved Forecast</v>
      </c>
      <c r="K48" s="117">
        <v>0</v>
      </c>
      <c r="L48" s="117">
        <v>8.5683999999999996E-2</v>
      </c>
      <c r="M48" s="117">
        <v>401.67536000000001</v>
      </c>
      <c r="N48" s="117">
        <v>48.384284000000001</v>
      </c>
      <c r="O48" s="117">
        <v>151.82140200000001</v>
      </c>
      <c r="P48" s="117">
        <v>193.88961800000001</v>
      </c>
      <c r="Q48" s="117">
        <v>233.189266</v>
      </c>
      <c r="R48" s="117">
        <v>2.07E-2</v>
      </c>
      <c r="S48" s="117">
        <v>0.102634</v>
      </c>
      <c r="T48" s="117">
        <v>400.74405000000002</v>
      </c>
      <c r="U48" s="117">
        <v>50.104613000000001</v>
      </c>
      <c r="V48" s="117">
        <v>155.42862400000001</v>
      </c>
      <c r="W48" s="117">
        <v>191.934574</v>
      </c>
      <c r="X48" s="117">
        <v>234.534198</v>
      </c>
      <c r="Y48" s="117">
        <v>1.3729E-2</v>
      </c>
      <c r="Z48" s="117">
        <v>7.8577999999999995E-2</v>
      </c>
      <c r="AA48" s="117">
        <v>351.79107099999999</v>
      </c>
      <c r="AB48" s="117">
        <v>42.109881000000001</v>
      </c>
      <c r="AC48" s="117">
        <v>134.26062200000001</v>
      </c>
      <c r="AD48" s="117">
        <v>167.70708999999999</v>
      </c>
      <c r="AE48" s="117">
        <v>203.090733</v>
      </c>
      <c r="AF48" s="117">
        <v>0</v>
      </c>
      <c r="AG48" s="117">
        <v>7.7293000000000001E-2</v>
      </c>
      <c r="AH48" s="117">
        <v>421.92401100000001</v>
      </c>
      <c r="AI48" s="117">
        <v>50.134864</v>
      </c>
      <c r="AJ48" s="117">
        <v>159.59583599999999</v>
      </c>
      <c r="AK48" s="117">
        <v>204.14957000000001</v>
      </c>
      <c r="AL48" s="117">
        <v>244.744293</v>
      </c>
      <c r="AM48" s="117">
        <v>0</v>
      </c>
      <c r="AN48" s="117">
        <v>0.106765</v>
      </c>
      <c r="AO48" s="117">
        <v>387.13064000000003</v>
      </c>
      <c r="AP48" s="117">
        <v>52.731104999999999</v>
      </c>
      <c r="AQ48" s="117">
        <v>149.791473</v>
      </c>
      <c r="AR48" s="117">
        <v>178.37116700000001</v>
      </c>
      <c r="AS48" s="117">
        <v>212.03407100000001</v>
      </c>
      <c r="AT48" s="117">
        <v>0</v>
      </c>
      <c r="AU48" s="117">
        <v>9.4599000000000003E-2</v>
      </c>
      <c r="AV48" s="117">
        <v>403.80217399999998</v>
      </c>
      <c r="AW48" s="117">
        <v>52.277279</v>
      </c>
      <c r="AX48" s="117">
        <v>153.420511</v>
      </c>
      <c r="AY48" s="117">
        <v>189.92142899999999</v>
      </c>
      <c r="AZ48" s="117">
        <v>228.55914899999999</v>
      </c>
      <c r="BA48" s="117">
        <v>0</v>
      </c>
      <c r="BB48" s="117">
        <v>6.9292999999999993E-2</v>
      </c>
      <c r="BC48" s="117">
        <v>357.13633099999998</v>
      </c>
      <c r="BD48" s="117">
        <v>42.388514000000001</v>
      </c>
      <c r="BE48" s="117">
        <v>138.37765200000001</v>
      </c>
      <c r="BF48" s="117">
        <v>170.912736</v>
      </c>
      <c r="BG48" s="117">
        <v>202.10811699999999</v>
      </c>
      <c r="BH48" s="117">
        <v>0</v>
      </c>
      <c r="BI48" s="117">
        <v>7.1779999999999997E-2</v>
      </c>
      <c r="BJ48" s="117">
        <v>399.32164699999998</v>
      </c>
      <c r="BK48" s="117">
        <v>46.917929999999998</v>
      </c>
      <c r="BL48" s="117">
        <v>151.48891</v>
      </c>
      <c r="BM48" s="117">
        <v>191.788059</v>
      </c>
      <c r="BN48" s="117">
        <v>231.1883</v>
      </c>
      <c r="BO48" s="117">
        <v>0</v>
      </c>
      <c r="BP48" s="117">
        <v>8.0197000000000004E-2</v>
      </c>
      <c r="BQ48" s="117">
        <v>400.83229399999999</v>
      </c>
      <c r="BR48" s="117">
        <v>48.672173999999998</v>
      </c>
      <c r="BS48" s="117">
        <v>154.15967000000001</v>
      </c>
      <c r="BT48" s="117">
        <v>193.53167199999999</v>
      </c>
      <c r="BU48" s="117">
        <v>228.00928200000001</v>
      </c>
      <c r="BV48" s="117">
        <v>1.6778999999999999E-2</v>
      </c>
      <c r="BW48" s="117">
        <v>9.6034999999999995E-2</v>
      </c>
      <c r="BX48" s="117">
        <v>325.836163</v>
      </c>
      <c r="BY48" s="117">
        <v>41.903593000000001</v>
      </c>
      <c r="BZ48" s="117">
        <v>126.978855</v>
      </c>
      <c r="CA48" s="117">
        <v>150.06533200000001</v>
      </c>
      <c r="CB48" s="117">
        <v>179.53879000000001</v>
      </c>
      <c r="CC48" s="117">
        <v>0</v>
      </c>
      <c r="CD48" s="117">
        <v>9.1254000000000002E-2</v>
      </c>
      <c r="CE48" s="117">
        <v>415.65104700000001</v>
      </c>
      <c r="CF48" s="117">
        <v>51.907541000000002</v>
      </c>
      <c r="CG48" s="117">
        <v>160.09677400000001</v>
      </c>
      <c r="CH48" s="117">
        <v>199.59400600000001</v>
      </c>
      <c r="CI48" s="117">
        <v>234.28497200000001</v>
      </c>
      <c r="CJ48" s="117">
        <v>0</v>
      </c>
      <c r="CK48" s="117">
        <v>9.0732999999999994E-2</v>
      </c>
      <c r="CL48" s="117">
        <v>395.36393800000002</v>
      </c>
      <c r="CM48" s="117">
        <v>50.831823999999997</v>
      </c>
      <c r="CN48" s="117">
        <v>150.28742700000001</v>
      </c>
      <c r="CO48" s="117">
        <v>186.52075600000001</v>
      </c>
      <c r="CP48" s="117">
        <v>224.17008300000001</v>
      </c>
      <c r="CQ48" s="117">
        <v>0</v>
      </c>
      <c r="CR48" s="117">
        <v>8.9108000000000007E-2</v>
      </c>
      <c r="CS48" s="117">
        <v>408.37293899999997</v>
      </c>
      <c r="CT48" s="117">
        <v>50.739770999999998</v>
      </c>
      <c r="CU48" s="117">
        <v>157.421401</v>
      </c>
      <c r="CV48" s="117">
        <v>195.14596399999999</v>
      </c>
      <c r="CW48" s="117">
        <v>230.00549699999999</v>
      </c>
      <c r="CX48" s="117">
        <v>0</v>
      </c>
      <c r="CY48" s="117">
        <v>7.3816000000000007E-2</v>
      </c>
      <c r="CZ48" s="117">
        <v>409.413884</v>
      </c>
      <c r="DA48" s="117">
        <v>48.020564</v>
      </c>
      <c r="DB48" s="117">
        <v>157.56911600000001</v>
      </c>
      <c r="DC48" s="117">
        <v>202.56934799999999</v>
      </c>
      <c r="DD48" s="117">
        <v>234.975641</v>
      </c>
      <c r="DE48" s="117">
        <v>0</v>
      </c>
      <c r="DF48" s="117">
        <v>8.2197000000000006E-2</v>
      </c>
      <c r="DG48" s="117">
        <v>371.85454800000002</v>
      </c>
      <c r="DH48" s="117">
        <v>45.779673000000003</v>
      </c>
      <c r="DI48" s="117">
        <v>144.02035799999999</v>
      </c>
      <c r="DJ48" s="117">
        <v>172.410291</v>
      </c>
      <c r="DK48" s="117">
        <v>207.684382</v>
      </c>
      <c r="DL48" s="117">
        <v>0</v>
      </c>
      <c r="DM48" s="117">
        <v>8.0934000000000006E-2</v>
      </c>
      <c r="DN48" s="117">
        <v>395.17277000000001</v>
      </c>
      <c r="DO48" s="117">
        <v>48.806244999999997</v>
      </c>
      <c r="DP48" s="117">
        <v>150.008994</v>
      </c>
      <c r="DQ48" s="117">
        <v>189.05133599999999</v>
      </c>
      <c r="DR48" s="117">
        <v>226.628896</v>
      </c>
      <c r="DS48" s="117">
        <v>0</v>
      </c>
      <c r="DT48" s="117">
        <v>7.8599000000000002E-2</v>
      </c>
      <c r="DU48" s="117">
        <v>381.65214700000001</v>
      </c>
      <c r="DV48" s="117">
        <v>46.222476</v>
      </c>
      <c r="DW48" s="117">
        <v>147.51136600000001</v>
      </c>
      <c r="DX48" s="117">
        <v>181.702336</v>
      </c>
      <c r="DY48" s="117">
        <v>215.34515300000001</v>
      </c>
      <c r="DZ48" s="117">
        <v>0</v>
      </c>
      <c r="EA48" s="117">
        <v>8.8095999999999994E-2</v>
      </c>
      <c r="EB48" s="117">
        <v>381.87707899999998</v>
      </c>
      <c r="EC48" s="117">
        <v>48.412016999999999</v>
      </c>
      <c r="ED48" s="117">
        <v>147.65974499999999</v>
      </c>
      <c r="EE48" s="117">
        <v>180.51187300000001</v>
      </c>
      <c r="EF48" s="117">
        <v>213.34672399999999</v>
      </c>
      <c r="EG48" s="117">
        <v>0</v>
      </c>
      <c r="EH48" s="117">
        <v>7.4579999999999994E-2</v>
      </c>
      <c r="EI48" s="117">
        <v>408.25403799999998</v>
      </c>
      <c r="EJ48" s="117">
        <v>48.353641000000003</v>
      </c>
      <c r="EK48" s="117">
        <v>154.69162600000001</v>
      </c>
      <c r="EL48" s="117">
        <v>196.72144</v>
      </c>
      <c r="EM48" s="117">
        <v>236.43909300000001</v>
      </c>
      <c r="EN48" s="117">
        <v>0</v>
      </c>
      <c r="EO48" s="117">
        <v>8.3274000000000001E-2</v>
      </c>
      <c r="EP48" s="117">
        <v>418.19771300000002</v>
      </c>
      <c r="EQ48" s="117">
        <v>49.990903000000003</v>
      </c>
      <c r="ER48" s="117">
        <v>161.033796</v>
      </c>
      <c r="ES48" s="117">
        <v>200.12612200000001</v>
      </c>
      <c r="ET48" s="117">
        <v>237.345484</v>
      </c>
      <c r="EU48" s="117">
        <v>0</v>
      </c>
      <c r="EV48" s="117">
        <v>8.9249999999999996E-2</v>
      </c>
      <c r="EW48" s="117">
        <v>439.39485200000001</v>
      </c>
      <c r="EX48" s="117">
        <v>52.583612000000002</v>
      </c>
      <c r="EY48" s="117">
        <v>168.962943</v>
      </c>
      <c r="EZ48" s="117">
        <v>208.052752</v>
      </c>
      <c r="FA48" s="117">
        <v>248.95078100000001</v>
      </c>
      <c r="FB48" s="117">
        <v>0</v>
      </c>
      <c r="FC48" s="117">
        <v>7.5174000000000005E-2</v>
      </c>
      <c r="FD48" s="117">
        <v>411.39136200000002</v>
      </c>
      <c r="FE48" s="117">
        <v>48.760986000000003</v>
      </c>
      <c r="FF48" s="117">
        <v>155.80881299999999</v>
      </c>
      <c r="FG48" s="117">
        <v>198.456559</v>
      </c>
      <c r="FH48" s="117">
        <v>238.359263</v>
      </c>
      <c r="FI48" s="117">
        <v>0</v>
      </c>
      <c r="FJ48" s="117">
        <v>7.9755999999999994E-2</v>
      </c>
      <c r="FK48" s="117">
        <v>385.637834</v>
      </c>
      <c r="FL48" s="117">
        <v>46.462485000000001</v>
      </c>
      <c r="FM48" s="117">
        <v>149.049924</v>
      </c>
      <c r="FN48" s="117">
        <v>181.457188</v>
      </c>
      <c r="FO48" s="117">
        <v>217.205591</v>
      </c>
      <c r="FP48" s="117">
        <v>0</v>
      </c>
      <c r="FQ48" s="117">
        <v>7.9777000000000001E-2</v>
      </c>
      <c r="FR48" s="117">
        <v>390.06046500000002</v>
      </c>
      <c r="FS48" s="117">
        <v>46.977364000000001</v>
      </c>
      <c r="FT48" s="117">
        <v>150.648493</v>
      </c>
      <c r="FU48" s="117">
        <v>185.00762499999999</v>
      </c>
      <c r="FV48" s="117">
        <v>220.21701300000001</v>
      </c>
      <c r="FW48" s="117">
        <v>0</v>
      </c>
      <c r="FX48" s="117">
        <v>8.4890999999999994E-2</v>
      </c>
      <c r="FY48" s="117">
        <v>438.37700999999998</v>
      </c>
      <c r="FZ48" s="117">
        <v>52.962702999999998</v>
      </c>
      <c r="GA48" s="117">
        <v>165.714709</v>
      </c>
      <c r="GB48" s="117">
        <v>210.74942899999999</v>
      </c>
      <c r="GC48" s="117">
        <v>253.28146100000001</v>
      </c>
      <c r="GD48" s="117">
        <v>0</v>
      </c>
      <c r="GE48" s="117">
        <v>8.1530000000000005E-2</v>
      </c>
      <c r="GF48" s="117">
        <v>406.82965999999999</v>
      </c>
      <c r="GG48" s="117">
        <v>48.904060999999999</v>
      </c>
      <c r="GH48" s="117">
        <v>156.79725300000001</v>
      </c>
      <c r="GI48" s="117">
        <v>195.466612</v>
      </c>
      <c r="GJ48" s="117">
        <v>230.75473299999999</v>
      </c>
      <c r="GK48" s="117">
        <v>0</v>
      </c>
      <c r="GL48" s="117">
        <v>6.0963999999999997E-2</v>
      </c>
      <c r="GM48" s="117">
        <v>423.04382800000002</v>
      </c>
      <c r="GN48" s="117">
        <v>44.508916999999997</v>
      </c>
      <c r="GO48" s="117">
        <v>162.80529899999999</v>
      </c>
      <c r="GP48" s="117">
        <v>200.73403999999999</v>
      </c>
      <c r="GQ48" s="117">
        <v>244.52349000000001</v>
      </c>
      <c r="GR48" s="117">
        <v>0</v>
      </c>
      <c r="GS48" s="117">
        <v>9.5971000000000001E-2</v>
      </c>
      <c r="GT48" s="117">
        <v>429.629546</v>
      </c>
      <c r="GU48" s="117">
        <v>54.567937999999998</v>
      </c>
      <c r="GV48" s="117">
        <v>162.798495</v>
      </c>
      <c r="GW48" s="117">
        <v>203.221678</v>
      </c>
      <c r="GX48" s="117">
        <v>244.768519</v>
      </c>
      <c r="GY48" s="117">
        <v>0</v>
      </c>
      <c r="GZ48" s="117">
        <v>6.5133999999999997E-2</v>
      </c>
      <c r="HA48" s="117">
        <v>428.88898699999999</v>
      </c>
      <c r="HB48" s="117">
        <v>46.487597000000001</v>
      </c>
      <c r="HC48" s="117">
        <v>164.881327</v>
      </c>
      <c r="HD48" s="117">
        <v>207.237651</v>
      </c>
      <c r="HE48" s="117">
        <v>248.00271100000001</v>
      </c>
      <c r="HF48" s="117">
        <v>0</v>
      </c>
    </row>
    <row r="49" spans="6:214" x14ac:dyDescent="0.25">
      <c r="F49" s="116" t="str">
        <f xml:space="preserve"> _xll.EPMOlapMemberO("[PRDDESCR].[].[WONDER GFREE WHOLEM 500G]","","WONDER GFREE WHOLEM 500G","","000")</f>
        <v>WONDER GFREE WHOLEM 500G</v>
      </c>
      <c r="G49" s="116" t="str">
        <f xml:space="preserve"> _xll.EPMOlapMemberO("[PRDID].[].[179650]","","179650","","000")</f>
        <v>179650</v>
      </c>
      <c r="H49" s="116" t="str">
        <f xml:space="preserve"> _xll.EPMOlapMemberO("[LOCID].[].[6130]","","6130","","000")</f>
        <v>6130</v>
      </c>
      <c r="I49" s="116" t="str">
        <f xml:space="preserve"> _xll.EPMOlapMemberO("[LOCDESCR].[].[QBA-Canning Vale]","","QBA-Canning Vale","","000")</f>
        <v>QBA-Canning Vale</v>
      </c>
      <c r="J49" s="116" t="str">
        <f xml:space="preserve"> _xll.EPMOlapMemberO("[KEY_FIGURES].[].[ZGFAPPROVEDFCSTQTY]","","Approved Forecast","","000")</f>
        <v>Approved Forecast</v>
      </c>
      <c r="K49" s="117">
        <v>57.982306000000001</v>
      </c>
      <c r="L49" s="117">
        <v>57.982227999999999</v>
      </c>
      <c r="M49" s="117">
        <v>57.982205999999998</v>
      </c>
      <c r="N49" s="117">
        <v>57.982183999999997</v>
      </c>
      <c r="O49" s="117">
        <v>57.982183999999997</v>
      </c>
      <c r="P49" s="117">
        <v>64.197535999999999</v>
      </c>
      <c r="Q49" s="117">
        <v>64.197535999999999</v>
      </c>
      <c r="R49" s="117">
        <v>59.472791999999998</v>
      </c>
      <c r="S49" s="117">
        <v>59.472662</v>
      </c>
      <c r="T49" s="117">
        <v>68.760217999999995</v>
      </c>
      <c r="U49" s="117">
        <v>68.760217999999995</v>
      </c>
      <c r="V49" s="117">
        <v>68.760217999999995</v>
      </c>
      <c r="W49" s="117">
        <v>76.131106000000003</v>
      </c>
      <c r="X49" s="117">
        <v>76.131106000000003</v>
      </c>
      <c r="Y49" s="117">
        <v>52.791955999999999</v>
      </c>
      <c r="Z49" s="117">
        <v>52.791955999999999</v>
      </c>
      <c r="AA49" s="117">
        <v>45.070999999999998</v>
      </c>
      <c r="AB49" s="117">
        <v>45.070999999999998</v>
      </c>
      <c r="AC49" s="117">
        <v>45.070995000000003</v>
      </c>
      <c r="AD49" s="117">
        <v>50.936621000000002</v>
      </c>
      <c r="AE49" s="117">
        <v>50.936599999999999</v>
      </c>
      <c r="AF49" s="117">
        <v>49.847123000000003</v>
      </c>
      <c r="AG49" s="117">
        <v>49.847081000000003</v>
      </c>
      <c r="AH49" s="117">
        <v>60.588847999999999</v>
      </c>
      <c r="AI49" s="117">
        <v>60.588847999999999</v>
      </c>
      <c r="AJ49" s="117">
        <v>60.588838000000003</v>
      </c>
      <c r="AK49" s="117">
        <v>68.474045000000004</v>
      </c>
      <c r="AL49" s="117">
        <v>68.474023000000003</v>
      </c>
      <c r="AM49" s="117">
        <v>58.47504</v>
      </c>
      <c r="AN49" s="117">
        <v>58.47504</v>
      </c>
      <c r="AO49" s="117">
        <v>47.771157000000002</v>
      </c>
      <c r="AP49" s="117">
        <v>47.771132000000001</v>
      </c>
      <c r="AQ49" s="117">
        <v>47.771152000000001</v>
      </c>
      <c r="AR49" s="117">
        <v>55.816175999999999</v>
      </c>
      <c r="AS49" s="117">
        <v>55.816175999999999</v>
      </c>
      <c r="AT49" s="117">
        <v>37.557782000000003</v>
      </c>
      <c r="AU49" s="117">
        <v>37.557723000000003</v>
      </c>
      <c r="AV49" s="117">
        <v>46.535111999999998</v>
      </c>
      <c r="AW49" s="117">
        <v>46.535111999999998</v>
      </c>
      <c r="AX49" s="117">
        <v>46.535111999999998</v>
      </c>
      <c r="AY49" s="117">
        <v>52.591365000000003</v>
      </c>
      <c r="AZ49" s="117">
        <v>52.591343999999999</v>
      </c>
      <c r="BA49" s="117">
        <v>49.151288000000001</v>
      </c>
      <c r="BB49" s="117">
        <v>49.151287000000004</v>
      </c>
      <c r="BC49" s="117">
        <v>39.736427999999997</v>
      </c>
      <c r="BD49" s="117">
        <v>39.736418</v>
      </c>
      <c r="BE49" s="117">
        <v>39.736370000000001</v>
      </c>
      <c r="BF49" s="117">
        <v>46.428251000000003</v>
      </c>
      <c r="BG49" s="117">
        <v>46.428251000000003</v>
      </c>
      <c r="BH49" s="117">
        <v>52.796278000000001</v>
      </c>
      <c r="BI49" s="117">
        <v>52.796219000000001</v>
      </c>
      <c r="BJ49" s="117">
        <v>63.170271</v>
      </c>
      <c r="BK49" s="117">
        <v>63.170271</v>
      </c>
      <c r="BL49" s="117">
        <v>63.170265999999998</v>
      </c>
      <c r="BM49" s="117">
        <v>71.391386999999995</v>
      </c>
      <c r="BN49" s="117">
        <v>71.391366000000005</v>
      </c>
      <c r="BO49" s="117">
        <v>51.105288000000002</v>
      </c>
      <c r="BP49" s="117">
        <v>51.105288000000002</v>
      </c>
      <c r="BQ49" s="117">
        <v>42.468600000000002</v>
      </c>
      <c r="BR49" s="117">
        <v>42.468584999999997</v>
      </c>
      <c r="BS49" s="117">
        <v>42.468595000000001</v>
      </c>
      <c r="BT49" s="117">
        <v>49.620674999999999</v>
      </c>
      <c r="BU49" s="117">
        <v>49.620623000000002</v>
      </c>
      <c r="BV49" s="117">
        <v>38.738750000000003</v>
      </c>
      <c r="BW49" s="117">
        <v>38.738717999999999</v>
      </c>
      <c r="BX49" s="117">
        <v>38.738728000000002</v>
      </c>
      <c r="BY49" s="117">
        <v>38.738706999999998</v>
      </c>
      <c r="BZ49" s="117">
        <v>38.738672999999999</v>
      </c>
      <c r="CA49" s="117">
        <v>45.262568000000002</v>
      </c>
      <c r="CB49" s="117">
        <v>45.262568000000002</v>
      </c>
      <c r="CC49" s="117">
        <v>45.383364</v>
      </c>
      <c r="CD49" s="117">
        <v>45.383305999999997</v>
      </c>
      <c r="CE49" s="117">
        <v>45.383274</v>
      </c>
      <c r="CF49" s="117">
        <v>45.383259000000002</v>
      </c>
      <c r="CG49" s="117">
        <v>45.383268999999999</v>
      </c>
      <c r="CH49" s="117">
        <v>53.026333000000001</v>
      </c>
      <c r="CI49" s="117">
        <v>53.026333000000001</v>
      </c>
      <c r="CJ49" s="117">
        <v>41.989742</v>
      </c>
      <c r="CK49" s="117">
        <v>41.989682999999999</v>
      </c>
      <c r="CL49" s="117">
        <v>50.427793999999999</v>
      </c>
      <c r="CM49" s="117">
        <v>50.427793999999999</v>
      </c>
      <c r="CN49" s="117">
        <v>50.427788</v>
      </c>
      <c r="CO49" s="117">
        <v>56.990524999999998</v>
      </c>
      <c r="CP49" s="117">
        <v>56.990504000000001</v>
      </c>
      <c r="CQ49" s="117">
        <v>44.811943999999997</v>
      </c>
      <c r="CR49" s="117">
        <v>44.811943999999997</v>
      </c>
      <c r="CS49" s="117">
        <v>37.386237000000001</v>
      </c>
      <c r="CT49" s="117">
        <v>37.386221999999997</v>
      </c>
      <c r="CU49" s="117">
        <v>37.386232</v>
      </c>
      <c r="CV49" s="117">
        <v>43.682392</v>
      </c>
      <c r="CW49" s="117">
        <v>43.682332000000002</v>
      </c>
      <c r="CX49" s="117">
        <v>30.628688</v>
      </c>
      <c r="CY49" s="117">
        <v>30.628655999999999</v>
      </c>
      <c r="CZ49" s="117">
        <v>30.628733</v>
      </c>
      <c r="DA49" s="117">
        <v>30.628723000000001</v>
      </c>
      <c r="DB49" s="117">
        <v>30.628727999999999</v>
      </c>
      <c r="DC49" s="117">
        <v>35.786816000000002</v>
      </c>
      <c r="DD49" s="117">
        <v>35.786816000000002</v>
      </c>
      <c r="DE49" s="117">
        <v>34.032260000000001</v>
      </c>
      <c r="DF49" s="117">
        <v>34.032228000000003</v>
      </c>
      <c r="DG49" s="117">
        <v>34.032263999999998</v>
      </c>
      <c r="DH49" s="117">
        <v>34.032249</v>
      </c>
      <c r="DI49" s="117">
        <v>34.032259000000003</v>
      </c>
      <c r="DJ49" s="117">
        <v>39.763548999999998</v>
      </c>
      <c r="DK49" s="117">
        <v>39.763567999999999</v>
      </c>
      <c r="DL49" s="117">
        <v>41.904434999999999</v>
      </c>
      <c r="DM49" s="117">
        <v>41.904403000000002</v>
      </c>
      <c r="DN49" s="117">
        <v>48.559136000000002</v>
      </c>
      <c r="DO49" s="117">
        <v>48.559136000000002</v>
      </c>
      <c r="DP49" s="117">
        <v>48.559130000000003</v>
      </c>
      <c r="DQ49" s="117">
        <v>54.878715999999997</v>
      </c>
      <c r="DR49" s="117">
        <v>54.878695</v>
      </c>
      <c r="DS49" s="117">
        <v>49.487057</v>
      </c>
      <c r="DT49" s="117">
        <v>49.487057</v>
      </c>
      <c r="DU49" s="117">
        <v>42.696477999999999</v>
      </c>
      <c r="DV49" s="117">
        <v>42.696458</v>
      </c>
      <c r="DW49" s="117">
        <v>42.696472999999997</v>
      </c>
      <c r="DX49" s="117">
        <v>49.886868999999997</v>
      </c>
      <c r="DY49" s="117">
        <v>49.886927999999997</v>
      </c>
      <c r="DZ49" s="117">
        <v>38.152531000000003</v>
      </c>
      <c r="EA49" s="117">
        <v>38.152451999999997</v>
      </c>
      <c r="EB49" s="117">
        <v>38.152509000000002</v>
      </c>
      <c r="EC49" s="117">
        <v>38.152493999999997</v>
      </c>
      <c r="ED49" s="117">
        <v>38.152400999999998</v>
      </c>
      <c r="EE49" s="117">
        <v>44.577624999999998</v>
      </c>
      <c r="EF49" s="117">
        <v>44.577624999999998</v>
      </c>
      <c r="EG49" s="117">
        <v>40.870572000000003</v>
      </c>
      <c r="EH49" s="117">
        <v>40.870643000000001</v>
      </c>
      <c r="EI49" s="117">
        <v>47.010682000000003</v>
      </c>
      <c r="EJ49" s="117">
        <v>47.010682000000003</v>
      </c>
      <c r="EK49" s="117">
        <v>47.010677000000001</v>
      </c>
      <c r="EL49" s="117">
        <v>53.128808999999997</v>
      </c>
      <c r="EM49" s="117">
        <v>53.128770000000003</v>
      </c>
      <c r="EN49" s="117">
        <v>45.953338000000002</v>
      </c>
      <c r="EO49" s="117">
        <v>45.953338000000002</v>
      </c>
      <c r="EP49" s="117">
        <v>39.677357000000001</v>
      </c>
      <c r="EQ49" s="117">
        <v>39.677342000000003</v>
      </c>
      <c r="ER49" s="117">
        <v>39.677380999999997</v>
      </c>
      <c r="ES49" s="117">
        <v>46.359454999999997</v>
      </c>
      <c r="ET49" s="117">
        <v>46.359454999999997</v>
      </c>
      <c r="EU49" s="117">
        <v>34.151026000000002</v>
      </c>
      <c r="EV49" s="117">
        <v>34.150891000000001</v>
      </c>
      <c r="EW49" s="117">
        <v>34.150961000000002</v>
      </c>
      <c r="EX49" s="117">
        <v>34.150993999999997</v>
      </c>
      <c r="EY49" s="117">
        <v>34.151000000000003</v>
      </c>
      <c r="EZ49" s="117">
        <v>39.902304000000001</v>
      </c>
      <c r="FA49" s="117">
        <v>39.902304000000001</v>
      </c>
      <c r="FB49" s="117">
        <v>41.689987000000002</v>
      </c>
      <c r="FC49" s="117">
        <v>41.689954999999998</v>
      </c>
      <c r="FD49" s="117">
        <v>50.453699</v>
      </c>
      <c r="FE49" s="117">
        <v>50.453699</v>
      </c>
      <c r="FF49" s="117">
        <v>50.453693999999999</v>
      </c>
      <c r="FG49" s="117">
        <v>57.019967999999999</v>
      </c>
      <c r="FH49" s="117">
        <v>57.019947000000002</v>
      </c>
      <c r="FI49" s="117">
        <v>55.154316000000001</v>
      </c>
      <c r="FJ49" s="117">
        <v>55.154316000000001</v>
      </c>
      <c r="FK49" s="117">
        <v>45.421902000000003</v>
      </c>
      <c r="FL49" s="117">
        <v>45.421881999999997</v>
      </c>
      <c r="FM49" s="117">
        <v>45.421895999999997</v>
      </c>
      <c r="FN49" s="117">
        <v>53.071207000000001</v>
      </c>
      <c r="FO49" s="117">
        <v>53.071303</v>
      </c>
      <c r="FP49" s="117">
        <v>35.344634999999997</v>
      </c>
      <c r="FQ49" s="117">
        <v>35.344602999999999</v>
      </c>
      <c r="FR49" s="117">
        <v>35.344613000000003</v>
      </c>
      <c r="FS49" s="117">
        <v>35.344597999999998</v>
      </c>
      <c r="FT49" s="117">
        <v>35.344608000000001</v>
      </c>
      <c r="FU49" s="117">
        <v>41.296926999999997</v>
      </c>
      <c r="FV49" s="117">
        <v>41.296942999999999</v>
      </c>
      <c r="FW49" s="117">
        <v>31.85624</v>
      </c>
      <c r="FX49" s="117">
        <v>31.856235000000002</v>
      </c>
      <c r="FY49" s="117">
        <v>38.713329999999999</v>
      </c>
      <c r="FZ49" s="117">
        <v>38.713329000000002</v>
      </c>
      <c r="GA49" s="117">
        <v>38.713324</v>
      </c>
      <c r="GB49" s="117">
        <v>43.751525999999998</v>
      </c>
      <c r="GC49" s="117">
        <v>43.751505000000002</v>
      </c>
      <c r="GD49" s="117">
        <v>39.895955000000001</v>
      </c>
      <c r="GE49" s="117">
        <v>39.895955000000001</v>
      </c>
      <c r="GF49" s="117">
        <v>32.746797000000001</v>
      </c>
      <c r="GG49" s="117">
        <v>32.746789999999997</v>
      </c>
      <c r="GH49" s="117">
        <v>32.746893</v>
      </c>
      <c r="GI49" s="117">
        <v>38.261701000000002</v>
      </c>
      <c r="GJ49" s="117">
        <v>38.261701000000002</v>
      </c>
      <c r="GK49" s="117">
        <v>38.434434000000003</v>
      </c>
      <c r="GL49" s="117">
        <v>38.434401999999999</v>
      </c>
      <c r="GM49" s="117">
        <v>38.434412999999999</v>
      </c>
      <c r="GN49" s="117">
        <v>38.434398000000002</v>
      </c>
      <c r="GO49" s="117">
        <v>38.434407</v>
      </c>
      <c r="GP49" s="117">
        <v>44.907055999999997</v>
      </c>
      <c r="GQ49" s="117">
        <v>44.907055999999997</v>
      </c>
      <c r="GR49" s="117">
        <v>48.441871999999996</v>
      </c>
      <c r="GS49" s="117">
        <v>48.441834999999998</v>
      </c>
      <c r="GT49" s="117">
        <v>54.170822000000001</v>
      </c>
      <c r="GU49" s="117">
        <v>54.170822000000001</v>
      </c>
      <c r="GV49" s="117">
        <v>54.170816000000002</v>
      </c>
      <c r="GW49" s="117">
        <v>61.220689999999998</v>
      </c>
      <c r="GX49" s="117">
        <v>61.220669000000001</v>
      </c>
      <c r="GY49" s="117">
        <v>38.459820000000001</v>
      </c>
      <c r="GZ49" s="117">
        <v>38.459820000000001</v>
      </c>
      <c r="HA49" s="117">
        <v>33.986806000000001</v>
      </c>
      <c r="HB49" s="117">
        <v>33.986790999999997</v>
      </c>
      <c r="HC49" s="117">
        <v>33.986801</v>
      </c>
      <c r="HD49" s="117">
        <v>39.710439999999998</v>
      </c>
      <c r="HE49" s="117">
        <v>39.710439999999998</v>
      </c>
      <c r="HF49" s="117">
        <v>28.376495999999999</v>
      </c>
    </row>
    <row r="50" spans="6:214" x14ac:dyDescent="0.25">
      <c r="F50" s="116" t="str">
        <f xml:space="preserve"> _xll.EPMOlapMemberO("[PRDDESCR].[].[WONDER GFREE WHOLEM 500G]","","WONDER GFREE WHOLEM 500G","","000")</f>
        <v>WONDER GFREE WHOLEM 500G</v>
      </c>
      <c r="G50" s="116" t="str">
        <f xml:space="preserve"> _xll.EPMOlapMemberO("[PRDID].[].[179650]","","179650","","000")</f>
        <v>179650</v>
      </c>
      <c r="H50" s="116" t="str">
        <f xml:space="preserve"> _xll.EPMOlapMemberO("[LOCID].[].[6134]","","6134","","000")</f>
        <v>6134</v>
      </c>
      <c r="I50" s="116" t="str">
        <f xml:space="preserve"> _xll.EPMOlapMemberO("[LOCDESCR].[].[QBA-West Richmond SA]","","QBA-West Richmond SA","","000")</f>
        <v>QBA-West Richmond SA</v>
      </c>
      <c r="J50" s="116" t="str">
        <f xml:space="preserve"> _xll.EPMOlapMemberO("[KEY_FIGURES].[].[ZGFAPPROVEDFCSTQTY]","","Approved Forecast","","000")</f>
        <v>Approved Forecast</v>
      </c>
      <c r="K50" s="117">
        <v>299.47366599999998</v>
      </c>
      <c r="L50" s="117">
        <v>88.702719999999999</v>
      </c>
      <c r="M50" s="117">
        <v>227.88013900000001</v>
      </c>
      <c r="N50" s="117">
        <v>97.336505000000002</v>
      </c>
      <c r="O50" s="117">
        <v>219.03941900000001</v>
      </c>
      <c r="P50" s="117">
        <v>118.147841</v>
      </c>
      <c r="Q50" s="117">
        <v>61.123638999999997</v>
      </c>
      <c r="R50" s="117">
        <v>347.10885000000002</v>
      </c>
      <c r="S50" s="117">
        <v>105.57181799999999</v>
      </c>
      <c r="T50" s="117">
        <v>284.73891800000001</v>
      </c>
      <c r="U50" s="117">
        <v>120.00410100000001</v>
      </c>
      <c r="V50" s="117">
        <v>261.58389499999998</v>
      </c>
      <c r="W50" s="117">
        <v>144.409863</v>
      </c>
      <c r="X50" s="117">
        <v>79.751355000000004</v>
      </c>
      <c r="Y50" s="117">
        <v>418.52589799999998</v>
      </c>
      <c r="Z50" s="117">
        <v>123.704227</v>
      </c>
      <c r="AA50" s="117">
        <v>318.74373400000002</v>
      </c>
      <c r="AB50" s="117">
        <v>135.27280999999999</v>
      </c>
      <c r="AC50" s="117">
        <v>294.78246799999999</v>
      </c>
      <c r="AD50" s="117">
        <v>154.821417</v>
      </c>
      <c r="AE50" s="117">
        <v>80.153999999999996</v>
      </c>
      <c r="AF50" s="117">
        <v>337.783207</v>
      </c>
      <c r="AG50" s="117">
        <v>102.419539</v>
      </c>
      <c r="AH50" s="117">
        <v>288.02984500000002</v>
      </c>
      <c r="AI50" s="117">
        <v>119.223473</v>
      </c>
      <c r="AJ50" s="117">
        <v>262.56012900000002</v>
      </c>
      <c r="AK50" s="117">
        <v>141.77538999999999</v>
      </c>
      <c r="AL50" s="117">
        <v>75.973284000000007</v>
      </c>
      <c r="AM50" s="117">
        <v>323.89220599999999</v>
      </c>
      <c r="AN50" s="117">
        <v>98.398185999999995</v>
      </c>
      <c r="AO50" s="117">
        <v>258.69316700000002</v>
      </c>
      <c r="AP50" s="117">
        <v>107.558983</v>
      </c>
      <c r="AQ50" s="117">
        <v>238.988517</v>
      </c>
      <c r="AR50" s="117">
        <v>127.25504100000001</v>
      </c>
      <c r="AS50" s="117">
        <v>69.125061000000002</v>
      </c>
      <c r="AT50" s="117">
        <v>352.16311000000002</v>
      </c>
      <c r="AU50" s="117">
        <v>106.614507</v>
      </c>
      <c r="AV50" s="117">
        <v>300.26815599999998</v>
      </c>
      <c r="AW50" s="117">
        <v>124.370318</v>
      </c>
      <c r="AX50" s="117">
        <v>273.72036100000003</v>
      </c>
      <c r="AY50" s="117">
        <v>147.93672900000001</v>
      </c>
      <c r="AZ50" s="117">
        <v>78.898606000000001</v>
      </c>
      <c r="BA50" s="117">
        <v>342.12277699999999</v>
      </c>
      <c r="BB50" s="117">
        <v>104.74178999999999</v>
      </c>
      <c r="BC50" s="117">
        <v>272.14158200000003</v>
      </c>
      <c r="BD50" s="117">
        <v>113.55912499999999</v>
      </c>
      <c r="BE50" s="117">
        <v>251.23096799999999</v>
      </c>
      <c r="BF50" s="117">
        <v>134.22310400000001</v>
      </c>
      <c r="BG50" s="117">
        <v>73.206958</v>
      </c>
      <c r="BH50" s="117">
        <v>381.98913099999999</v>
      </c>
      <c r="BI50" s="117">
        <v>112.686921</v>
      </c>
      <c r="BJ50" s="117">
        <v>317.37934300000001</v>
      </c>
      <c r="BK50" s="117">
        <v>137.26373799999999</v>
      </c>
      <c r="BL50" s="117">
        <v>292.24675400000001</v>
      </c>
      <c r="BM50" s="117">
        <v>155.88873899999999</v>
      </c>
      <c r="BN50" s="117">
        <v>82.092383999999996</v>
      </c>
      <c r="BO50" s="117">
        <v>356.281406</v>
      </c>
      <c r="BP50" s="117">
        <v>108.23938</v>
      </c>
      <c r="BQ50" s="117">
        <v>279.48467799999997</v>
      </c>
      <c r="BR50" s="117">
        <v>119.08126300000001</v>
      </c>
      <c r="BS50" s="117">
        <v>258.10723000000002</v>
      </c>
      <c r="BT50" s="117">
        <v>139.67094900000001</v>
      </c>
      <c r="BU50" s="117">
        <v>75.748171999999997</v>
      </c>
      <c r="BV50" s="117">
        <v>341.08358399999997</v>
      </c>
      <c r="BW50" s="117">
        <v>100.67013</v>
      </c>
      <c r="BX50" s="117">
        <v>276.481627</v>
      </c>
      <c r="BY50" s="117">
        <v>115.24722</v>
      </c>
      <c r="BZ50" s="117">
        <v>256.66016500000001</v>
      </c>
      <c r="CA50" s="117">
        <v>136.13135800000001</v>
      </c>
      <c r="CB50" s="117">
        <v>73.841699000000006</v>
      </c>
      <c r="CC50" s="117">
        <v>380.52200199999999</v>
      </c>
      <c r="CD50" s="117">
        <v>112.020931</v>
      </c>
      <c r="CE50" s="117">
        <v>305.89647400000001</v>
      </c>
      <c r="CF50" s="117">
        <v>127.358137</v>
      </c>
      <c r="CG50" s="117">
        <v>285.34006699999998</v>
      </c>
      <c r="CH50" s="117">
        <v>151.967119</v>
      </c>
      <c r="CI50" s="117">
        <v>81.400028000000006</v>
      </c>
      <c r="CJ50" s="117">
        <v>343.53287599999999</v>
      </c>
      <c r="CK50" s="117">
        <v>100.16417800000001</v>
      </c>
      <c r="CL50" s="117">
        <v>283.04699299999999</v>
      </c>
      <c r="CM50" s="117">
        <v>117.782848</v>
      </c>
      <c r="CN50" s="117">
        <v>262.50080000000003</v>
      </c>
      <c r="CO50" s="117">
        <v>138.762552</v>
      </c>
      <c r="CP50" s="117">
        <v>72.651004999999998</v>
      </c>
      <c r="CQ50" s="117">
        <v>388.58638500000001</v>
      </c>
      <c r="CR50" s="117">
        <v>114.276505</v>
      </c>
      <c r="CS50" s="117">
        <v>303.46956599999999</v>
      </c>
      <c r="CT50" s="117">
        <v>126.624639</v>
      </c>
      <c r="CU50" s="117">
        <v>283.93428799999998</v>
      </c>
      <c r="CV50" s="117">
        <v>149.06889000000001</v>
      </c>
      <c r="CW50" s="117">
        <v>79.656757999999996</v>
      </c>
      <c r="CX50" s="117">
        <v>391.54204900000002</v>
      </c>
      <c r="CY50" s="117">
        <v>108.274143</v>
      </c>
      <c r="CZ50" s="117">
        <v>298.75233300000002</v>
      </c>
      <c r="DA50" s="117">
        <v>124.730773</v>
      </c>
      <c r="DB50" s="117">
        <v>282.64065399999998</v>
      </c>
      <c r="DC50" s="117">
        <v>148.02442099999999</v>
      </c>
      <c r="DD50" s="117">
        <v>77.713418000000004</v>
      </c>
      <c r="DE50" s="117">
        <v>353.94860699999998</v>
      </c>
      <c r="DF50" s="117">
        <v>100.54393</v>
      </c>
      <c r="DG50" s="117">
        <v>279.58536700000002</v>
      </c>
      <c r="DH50" s="117">
        <v>116.024739</v>
      </c>
      <c r="DI50" s="117">
        <v>261.43310000000002</v>
      </c>
      <c r="DJ50" s="117">
        <v>136.14901499999999</v>
      </c>
      <c r="DK50" s="117">
        <v>72.122523999999999</v>
      </c>
      <c r="DL50" s="117">
        <v>366.46225600000002</v>
      </c>
      <c r="DM50" s="117">
        <v>107.756428</v>
      </c>
      <c r="DN50" s="117">
        <v>300.31553300000002</v>
      </c>
      <c r="DO50" s="117">
        <v>125.04082099999999</v>
      </c>
      <c r="DP50" s="117">
        <v>277.83662099999998</v>
      </c>
      <c r="DQ50" s="117">
        <v>147.385784</v>
      </c>
      <c r="DR50" s="117">
        <v>77.426783999999998</v>
      </c>
      <c r="DS50" s="117">
        <v>364.90157699999997</v>
      </c>
      <c r="DT50" s="117">
        <v>109.441136</v>
      </c>
      <c r="DU50" s="117">
        <v>294.48001499999998</v>
      </c>
      <c r="DV50" s="117">
        <v>121.430125</v>
      </c>
      <c r="DW50" s="117">
        <v>271.40674000000001</v>
      </c>
      <c r="DX50" s="117">
        <v>143.612269</v>
      </c>
      <c r="DY50" s="117">
        <v>77.450768999999994</v>
      </c>
      <c r="DZ50" s="117">
        <v>355.58326099999999</v>
      </c>
      <c r="EA50" s="117">
        <v>103.121188</v>
      </c>
      <c r="EB50" s="117">
        <v>283.41808400000002</v>
      </c>
      <c r="EC50" s="117">
        <v>118.131197</v>
      </c>
      <c r="ED50" s="117">
        <v>266.78898600000002</v>
      </c>
      <c r="EE50" s="117">
        <v>139.05399800000001</v>
      </c>
      <c r="EF50" s="117">
        <v>74.136628999999999</v>
      </c>
      <c r="EG50" s="117">
        <v>374.15448900000001</v>
      </c>
      <c r="EH50" s="117">
        <v>108.485671</v>
      </c>
      <c r="EI50" s="117">
        <v>303.16466700000001</v>
      </c>
      <c r="EJ50" s="117">
        <v>126.43608399999999</v>
      </c>
      <c r="EK50" s="117">
        <v>292.93408499999998</v>
      </c>
      <c r="EL50" s="117">
        <v>148.50509400000001</v>
      </c>
      <c r="EM50" s="117">
        <v>77.317082999999997</v>
      </c>
      <c r="EN50" s="117">
        <v>389.40445599999998</v>
      </c>
      <c r="EO50" s="117">
        <v>115.710003</v>
      </c>
      <c r="EP50" s="117">
        <v>311.17735599999997</v>
      </c>
      <c r="EQ50" s="117">
        <v>128.592916</v>
      </c>
      <c r="ER50" s="117">
        <v>290.505653</v>
      </c>
      <c r="ES50" s="117">
        <v>151.426489</v>
      </c>
      <c r="ET50" s="117">
        <v>81.549083999999993</v>
      </c>
      <c r="EU50" s="117">
        <v>359.941213</v>
      </c>
      <c r="EV50" s="117">
        <v>106.426829</v>
      </c>
      <c r="EW50" s="117">
        <v>290.37309199999999</v>
      </c>
      <c r="EX50" s="117">
        <v>120.863407</v>
      </c>
      <c r="EY50" s="117">
        <v>270.69578300000001</v>
      </c>
      <c r="EZ50" s="117">
        <v>143.19422499999999</v>
      </c>
      <c r="FA50" s="117">
        <v>77.284223999999995</v>
      </c>
      <c r="FB50" s="117">
        <v>378.31412899999998</v>
      </c>
      <c r="FC50" s="117">
        <v>110.50374600000001</v>
      </c>
      <c r="FD50" s="117">
        <v>313.10891700000002</v>
      </c>
      <c r="FE50" s="117">
        <v>130.10971699999999</v>
      </c>
      <c r="FF50" s="117">
        <v>289.39065199999999</v>
      </c>
      <c r="FG50" s="117">
        <v>154.10785200000001</v>
      </c>
      <c r="FH50" s="117">
        <v>81.277596000000003</v>
      </c>
      <c r="FI50" s="117">
        <v>391.59903000000003</v>
      </c>
      <c r="FJ50" s="117">
        <v>117.442454</v>
      </c>
      <c r="FK50" s="117">
        <v>309.73930899999999</v>
      </c>
      <c r="FL50" s="117">
        <v>128.78194300000001</v>
      </c>
      <c r="FM50" s="117">
        <v>288.15247099999999</v>
      </c>
      <c r="FN50" s="117">
        <v>152.82729399999999</v>
      </c>
      <c r="FO50" s="117">
        <v>82.063368999999994</v>
      </c>
      <c r="FP50" s="117">
        <v>395.93321500000002</v>
      </c>
      <c r="FQ50" s="117">
        <v>116.245622</v>
      </c>
      <c r="FR50" s="117">
        <v>318.315337</v>
      </c>
      <c r="FS50" s="117">
        <v>132.27242799999999</v>
      </c>
      <c r="FT50" s="117">
        <v>296.75205999999997</v>
      </c>
      <c r="FU50" s="117">
        <v>156.32228799999999</v>
      </c>
      <c r="FV50" s="117">
        <v>83.800933999999998</v>
      </c>
      <c r="FW50" s="117">
        <v>397.45834000000002</v>
      </c>
      <c r="FX50" s="117">
        <v>120.827787</v>
      </c>
      <c r="FY50" s="117">
        <v>328.80384400000003</v>
      </c>
      <c r="FZ50" s="117">
        <v>136.718163</v>
      </c>
      <c r="GA50" s="117">
        <v>304.212399</v>
      </c>
      <c r="GB50" s="117">
        <v>162.486099</v>
      </c>
      <c r="GC50" s="117">
        <v>85.351506000000001</v>
      </c>
      <c r="GD50" s="117">
        <v>390.898909</v>
      </c>
      <c r="GE50" s="117">
        <v>116.011905</v>
      </c>
      <c r="GF50" s="117">
        <v>305.40437100000003</v>
      </c>
      <c r="GG50" s="117">
        <v>128.020318</v>
      </c>
      <c r="GH50" s="117">
        <v>286.12934999999999</v>
      </c>
      <c r="GI50" s="117">
        <v>150.01509999999999</v>
      </c>
      <c r="GJ50" s="117">
        <v>79.723478</v>
      </c>
      <c r="GK50" s="117">
        <v>353.06703199999998</v>
      </c>
      <c r="GL50" s="117">
        <v>102.173298</v>
      </c>
      <c r="GM50" s="117">
        <v>281.89194800000001</v>
      </c>
      <c r="GN50" s="117">
        <v>117.214179</v>
      </c>
      <c r="GO50" s="117">
        <v>263.915255</v>
      </c>
      <c r="GP50" s="117">
        <v>138.433774</v>
      </c>
      <c r="GQ50" s="117">
        <v>73.404320999999996</v>
      </c>
      <c r="GR50" s="117">
        <v>363.95331900000002</v>
      </c>
      <c r="GS50" s="117">
        <v>109.01015099999999</v>
      </c>
      <c r="GT50" s="117">
        <v>302.28837199999998</v>
      </c>
      <c r="GU50" s="117">
        <v>125.72692499999999</v>
      </c>
      <c r="GV50" s="117">
        <v>276.11242499999997</v>
      </c>
      <c r="GW50" s="117">
        <v>147.92340100000001</v>
      </c>
      <c r="GX50" s="117">
        <v>78.392968999999994</v>
      </c>
      <c r="GY50" s="117">
        <v>403.85807699999998</v>
      </c>
      <c r="GZ50" s="117">
        <v>119.879237</v>
      </c>
      <c r="HA50" s="117">
        <v>326.33765899999997</v>
      </c>
      <c r="HB50" s="117">
        <v>135.134052</v>
      </c>
      <c r="HC50" s="117">
        <v>302.66078900000002</v>
      </c>
      <c r="HD50" s="117">
        <v>160.966094</v>
      </c>
      <c r="HE50" s="117">
        <v>86.067143999999999</v>
      </c>
      <c r="HF50" s="117">
        <v>331.97120000000001</v>
      </c>
    </row>
    <row r="51" spans="6:214" x14ac:dyDescent="0.25">
      <c r="F51" s="25"/>
      <c r="G51" s="25"/>
    </row>
    <row r="52" spans="6:214" x14ac:dyDescent="0.25">
      <c r="F52" s="25"/>
      <c r="G52" s="25"/>
    </row>
    <row r="53" spans="6:214" x14ac:dyDescent="0.25">
      <c r="F53" s="25"/>
      <c r="G53" s="25"/>
    </row>
    <row r="54" spans="6:214" x14ac:dyDescent="0.25">
      <c r="F54" s="25"/>
      <c r="G54" s="25"/>
    </row>
    <row r="55" spans="6:214" x14ac:dyDescent="0.25">
      <c r="F55" s="25"/>
      <c r="G55" s="25"/>
    </row>
    <row r="56" spans="6:214" x14ac:dyDescent="0.25">
      <c r="F56" s="25"/>
      <c r="G56" s="25"/>
    </row>
    <row r="57" spans="6:214" x14ac:dyDescent="0.25">
      <c r="F57" s="25"/>
      <c r="G57" s="25"/>
    </row>
    <row r="58" spans="6:214" x14ac:dyDescent="0.25">
      <c r="F58" s="25"/>
      <c r="G58" s="25"/>
    </row>
    <row r="59" spans="6:214" x14ac:dyDescent="0.25">
      <c r="F59" s="25"/>
      <c r="G59" s="25"/>
    </row>
    <row r="60" spans="6:214" x14ac:dyDescent="0.25">
      <c r="F60" s="25"/>
      <c r="G60" s="25"/>
    </row>
    <row r="61" spans="6:214" x14ac:dyDescent="0.25">
      <c r="F61" s="25"/>
      <c r="G61" s="25"/>
    </row>
    <row r="62" spans="6:214" x14ac:dyDescent="0.25">
      <c r="F62" s="25"/>
      <c r="G62" s="25"/>
    </row>
    <row r="63" spans="6:214" x14ac:dyDescent="0.25">
      <c r="F63" s="25"/>
      <c r="G63" s="25"/>
    </row>
    <row r="64" spans="6:214" x14ac:dyDescent="0.25">
      <c r="F64" s="25"/>
      <c r="G64" s="25"/>
    </row>
    <row r="65" spans="6:7" x14ac:dyDescent="0.25">
      <c r="F65" s="25"/>
      <c r="G65" s="25"/>
    </row>
    <row r="66" spans="6:7" x14ac:dyDescent="0.25">
      <c r="F66" s="25"/>
      <c r="G66" s="25"/>
    </row>
    <row r="67" spans="6:7" x14ac:dyDescent="0.25">
      <c r="F67" s="25"/>
      <c r="G67" s="25"/>
    </row>
    <row r="68" spans="6:7" x14ac:dyDescent="0.25">
      <c r="F68" s="25"/>
      <c r="G68" s="25"/>
    </row>
    <row r="69" spans="6:7" x14ac:dyDescent="0.25">
      <c r="F69" s="25"/>
      <c r="G69" s="25"/>
    </row>
    <row r="70" spans="6:7" x14ac:dyDescent="0.25">
      <c r="F70" s="25"/>
      <c r="G70" s="25"/>
    </row>
    <row r="71" spans="6:7" x14ac:dyDescent="0.25">
      <c r="F71" s="25"/>
      <c r="G71" s="25"/>
    </row>
    <row r="72" spans="6:7" x14ac:dyDescent="0.25">
      <c r="F72" s="25"/>
      <c r="G72" s="25"/>
    </row>
    <row r="73" spans="6:7" x14ac:dyDescent="0.25">
      <c r="F73" s="25"/>
      <c r="G73" s="25"/>
    </row>
    <row r="74" spans="6:7" x14ac:dyDescent="0.25">
      <c r="F74" s="25"/>
      <c r="G74" s="25"/>
    </row>
    <row r="75" spans="6:7" x14ac:dyDescent="0.25">
      <c r="F75" s="25"/>
      <c r="G75" s="25"/>
    </row>
    <row r="76" spans="6:7" x14ac:dyDescent="0.25">
      <c r="F76" s="25"/>
      <c r="G76" s="25"/>
    </row>
    <row r="77" spans="6:7" x14ac:dyDescent="0.25">
      <c r="F77" s="25"/>
      <c r="G77" s="25"/>
    </row>
    <row r="78" spans="6:7" x14ac:dyDescent="0.25">
      <c r="F78" s="25"/>
      <c r="G78" s="25"/>
    </row>
    <row r="79" spans="6:7" x14ac:dyDescent="0.25">
      <c r="F79" s="25"/>
      <c r="G79" s="25"/>
    </row>
    <row r="80" spans="6:7" x14ac:dyDescent="0.25">
      <c r="F80" s="25"/>
      <c r="G80" s="25"/>
    </row>
    <row r="81" spans="6:7" x14ac:dyDescent="0.25">
      <c r="F81" s="25"/>
      <c r="G81" s="25"/>
    </row>
    <row r="82" spans="6:7" x14ac:dyDescent="0.25">
      <c r="F82" s="25"/>
      <c r="G82" s="25"/>
    </row>
    <row r="83" spans="6:7" x14ac:dyDescent="0.25">
      <c r="F83" s="25"/>
      <c r="G83" s="25"/>
    </row>
    <row r="84" spans="6:7" x14ac:dyDescent="0.25">
      <c r="F84" s="25"/>
      <c r="G84" s="25"/>
    </row>
    <row r="85" spans="6:7" x14ac:dyDescent="0.25">
      <c r="F85" s="25"/>
      <c r="G85" s="25"/>
    </row>
    <row r="86" spans="6:7" x14ac:dyDescent="0.25">
      <c r="F86" s="25"/>
      <c r="G86" s="25"/>
    </row>
    <row r="87" spans="6:7" x14ac:dyDescent="0.25">
      <c r="F87" s="25"/>
      <c r="G87" s="25"/>
    </row>
    <row r="88" spans="6:7" x14ac:dyDescent="0.25">
      <c r="F88" s="25"/>
      <c r="G88" s="25"/>
    </row>
    <row r="89" spans="6:7" x14ac:dyDescent="0.25">
      <c r="F89" s="25"/>
      <c r="G89" s="25"/>
    </row>
    <row r="90" spans="6:7" x14ac:dyDescent="0.25">
      <c r="F90" s="25"/>
      <c r="G90" s="25"/>
    </row>
    <row r="91" spans="6:7" x14ac:dyDescent="0.25">
      <c r="F91" s="25"/>
      <c r="G91" s="25"/>
    </row>
    <row r="92" spans="6:7" x14ac:dyDescent="0.25">
      <c r="F92" s="25"/>
      <c r="G92" s="25"/>
    </row>
    <row r="93" spans="6:7" x14ac:dyDescent="0.25">
      <c r="F93" s="25"/>
      <c r="G93" s="25"/>
    </row>
    <row r="94" spans="6:7" x14ac:dyDescent="0.25">
      <c r="F94" s="25"/>
      <c r="G94" s="25"/>
    </row>
    <row r="95" spans="6:7" x14ac:dyDescent="0.25">
      <c r="F95" s="25"/>
      <c r="G95" s="25"/>
    </row>
    <row r="96" spans="6:7" x14ac:dyDescent="0.25">
      <c r="F96" s="25"/>
      <c r="G96" s="25"/>
    </row>
    <row r="97" spans="6:7" x14ac:dyDescent="0.25">
      <c r="F97" s="25"/>
      <c r="G97" s="25"/>
    </row>
    <row r="98" spans="6:7" x14ac:dyDescent="0.25">
      <c r="F98" s="25"/>
      <c r="G98" s="25"/>
    </row>
    <row r="99" spans="6:7" x14ac:dyDescent="0.25">
      <c r="F99" s="25"/>
      <c r="G99" s="25"/>
    </row>
    <row r="100" spans="6:7" x14ac:dyDescent="0.25">
      <c r="F100" s="25"/>
      <c r="G100" s="25"/>
    </row>
    <row r="101" spans="6:7" x14ac:dyDescent="0.25">
      <c r="F101" s="25"/>
      <c r="G101" s="25"/>
    </row>
    <row r="102" spans="6:7" x14ac:dyDescent="0.25">
      <c r="F102" s="25"/>
      <c r="G102" s="25"/>
    </row>
    <row r="103" spans="6:7" x14ac:dyDescent="0.25">
      <c r="F103" s="25"/>
      <c r="G103" s="25"/>
    </row>
    <row r="104" spans="6:7" x14ac:dyDescent="0.25">
      <c r="F104" s="25"/>
      <c r="G104" s="25"/>
    </row>
    <row r="105" spans="6:7" x14ac:dyDescent="0.25">
      <c r="F105" s="25"/>
      <c r="G105" s="25"/>
    </row>
    <row r="106" spans="6:7" x14ac:dyDescent="0.25">
      <c r="F106" s="25"/>
      <c r="G106" s="25"/>
    </row>
    <row r="107" spans="6:7" x14ac:dyDescent="0.25">
      <c r="F107" s="25"/>
      <c r="G107" s="25"/>
    </row>
    <row r="108" spans="6:7" x14ac:dyDescent="0.25">
      <c r="F108" s="25"/>
      <c r="G108" s="25"/>
    </row>
    <row r="109" spans="6:7" x14ac:dyDescent="0.25">
      <c r="F109" s="25"/>
      <c r="G109" s="25"/>
    </row>
    <row r="110" spans="6:7" x14ac:dyDescent="0.25">
      <c r="F110" s="25"/>
      <c r="G110" s="25"/>
    </row>
    <row r="111" spans="6:7" x14ac:dyDescent="0.25">
      <c r="F111" s="25"/>
      <c r="G111" s="25"/>
    </row>
    <row r="112" spans="6:7" x14ac:dyDescent="0.25">
      <c r="F112" s="25"/>
      <c r="G112" s="25"/>
    </row>
    <row r="113" spans="6:7" x14ac:dyDescent="0.25">
      <c r="F113" s="25"/>
      <c r="G113" s="25"/>
    </row>
    <row r="114" spans="6:7" x14ac:dyDescent="0.25">
      <c r="F114" s="25"/>
      <c r="G114" s="25"/>
    </row>
    <row r="115" spans="6:7" x14ac:dyDescent="0.25">
      <c r="F115" s="25"/>
      <c r="G115" s="25"/>
    </row>
    <row r="116" spans="6:7" x14ac:dyDescent="0.25">
      <c r="F116" s="25"/>
      <c r="G116" s="25"/>
    </row>
    <row r="117" spans="6:7" x14ac:dyDescent="0.25">
      <c r="F117" s="25"/>
      <c r="G117" s="25"/>
    </row>
    <row r="118" spans="6:7" x14ac:dyDescent="0.25">
      <c r="F118" s="25"/>
      <c r="G118" s="25"/>
    </row>
    <row r="119" spans="6:7" x14ac:dyDescent="0.25">
      <c r="F119" s="25"/>
      <c r="G119" s="25"/>
    </row>
    <row r="120" spans="6:7" x14ac:dyDescent="0.25">
      <c r="F120" s="25"/>
      <c r="G120" s="25"/>
    </row>
    <row r="121" spans="6:7" x14ac:dyDescent="0.25">
      <c r="F121" s="25"/>
      <c r="G121" s="25"/>
    </row>
    <row r="122" spans="6:7" x14ac:dyDescent="0.25">
      <c r="F122" s="25"/>
      <c r="G122" s="25"/>
    </row>
    <row r="123" spans="6:7" x14ac:dyDescent="0.25">
      <c r="F123" s="25"/>
      <c r="G123" s="25"/>
    </row>
    <row r="124" spans="6:7" x14ac:dyDescent="0.25">
      <c r="F124" s="25"/>
      <c r="G124" s="25"/>
    </row>
    <row r="125" spans="6:7" x14ac:dyDescent="0.25">
      <c r="F125" s="25"/>
      <c r="G125" s="25"/>
    </row>
    <row r="126" spans="6:7" x14ac:dyDescent="0.25">
      <c r="F126" s="25"/>
      <c r="G126" s="25"/>
    </row>
    <row r="127" spans="6:7" x14ac:dyDescent="0.25">
      <c r="F127" s="25"/>
      <c r="G127" s="25"/>
    </row>
    <row r="128" spans="6:7" x14ac:dyDescent="0.25">
      <c r="F128" s="25"/>
      <c r="G128" s="25"/>
    </row>
    <row r="129" spans="6:7" x14ac:dyDescent="0.25">
      <c r="F129" s="25"/>
      <c r="G129" s="25"/>
    </row>
    <row r="130" spans="6:7" x14ac:dyDescent="0.25">
      <c r="F130" s="25"/>
      <c r="G130" s="25"/>
    </row>
    <row r="131" spans="6:7" x14ac:dyDescent="0.25">
      <c r="F131" s="25"/>
      <c r="G131" s="25"/>
    </row>
    <row r="132" spans="6:7" x14ac:dyDescent="0.25">
      <c r="F132" s="25"/>
      <c r="G132" s="25"/>
    </row>
    <row r="133" spans="6:7" x14ac:dyDescent="0.25">
      <c r="F133" s="25"/>
      <c r="G133" s="25"/>
    </row>
    <row r="134" spans="6:7" x14ac:dyDescent="0.25">
      <c r="F134" s="25"/>
      <c r="G134" s="25"/>
    </row>
    <row r="135" spans="6:7" x14ac:dyDescent="0.25">
      <c r="F135" s="25"/>
      <c r="G135" s="25"/>
    </row>
    <row r="136" spans="6:7" x14ac:dyDescent="0.25">
      <c r="F136" s="25"/>
      <c r="G136" s="25"/>
    </row>
    <row r="137" spans="6:7" x14ac:dyDescent="0.25">
      <c r="F137" s="25"/>
      <c r="G137" s="25"/>
    </row>
    <row r="138" spans="6:7" x14ac:dyDescent="0.25">
      <c r="F138" s="25"/>
      <c r="G138" s="25"/>
    </row>
    <row r="139" spans="6:7" x14ac:dyDescent="0.25">
      <c r="F139" s="25"/>
      <c r="G139" s="25"/>
    </row>
    <row r="140" spans="6:7" x14ac:dyDescent="0.25">
      <c r="F140" s="25"/>
      <c r="G140" s="25"/>
    </row>
    <row r="141" spans="6:7" x14ac:dyDescent="0.25">
      <c r="F141" s="25"/>
      <c r="G141" s="25"/>
    </row>
    <row r="142" spans="6:7" x14ac:dyDescent="0.25">
      <c r="F142" s="25"/>
      <c r="G142" s="25"/>
    </row>
    <row r="143" spans="6:7" x14ac:dyDescent="0.25">
      <c r="F143" s="25"/>
      <c r="G143" s="25"/>
    </row>
    <row r="144" spans="6:7" x14ac:dyDescent="0.25">
      <c r="F144" s="25"/>
      <c r="G144" s="25"/>
    </row>
    <row r="145" spans="6:7" x14ac:dyDescent="0.25">
      <c r="F145" s="25"/>
      <c r="G145" s="25"/>
    </row>
    <row r="146" spans="6:7" x14ac:dyDescent="0.25">
      <c r="F146" s="25"/>
      <c r="G146" s="25"/>
    </row>
    <row r="147" spans="6:7" x14ac:dyDescent="0.25">
      <c r="F147" s="25"/>
      <c r="G147" s="25"/>
    </row>
    <row r="148" spans="6:7" x14ac:dyDescent="0.25">
      <c r="F148" s="25"/>
      <c r="G148" s="25"/>
    </row>
    <row r="149" spans="6:7" x14ac:dyDescent="0.25">
      <c r="F149" s="25"/>
      <c r="G149" s="25"/>
    </row>
    <row r="150" spans="6:7" x14ac:dyDescent="0.25">
      <c r="F150" s="25"/>
      <c r="G150" s="25"/>
    </row>
    <row r="151" spans="6:7" x14ac:dyDescent="0.25">
      <c r="F151" s="25"/>
      <c r="G151" s="25"/>
    </row>
    <row r="152" spans="6:7" x14ac:dyDescent="0.25">
      <c r="F152" s="25"/>
      <c r="G152" s="25"/>
    </row>
    <row r="153" spans="6:7" x14ac:dyDescent="0.25">
      <c r="F153" s="25"/>
      <c r="G153" s="25"/>
    </row>
    <row r="154" spans="6:7" x14ac:dyDescent="0.25">
      <c r="F154" s="25"/>
      <c r="G154" s="25"/>
    </row>
    <row r="155" spans="6:7" x14ac:dyDescent="0.25">
      <c r="F155" s="25"/>
      <c r="G155" s="25"/>
    </row>
    <row r="156" spans="6:7" x14ac:dyDescent="0.25">
      <c r="F156" s="25"/>
      <c r="G156" s="25"/>
    </row>
    <row r="157" spans="6:7" x14ac:dyDescent="0.25">
      <c r="F157" s="25"/>
      <c r="G157" s="25"/>
    </row>
    <row r="158" spans="6:7" x14ac:dyDescent="0.25">
      <c r="F158" s="25"/>
      <c r="G158" s="25"/>
    </row>
    <row r="159" spans="6:7" x14ac:dyDescent="0.25">
      <c r="F159" s="25"/>
      <c r="G159" s="25"/>
    </row>
    <row r="160" spans="6:7" x14ac:dyDescent="0.25">
      <c r="F160" s="25"/>
      <c r="G160" s="25"/>
    </row>
    <row r="161" spans="6:7" x14ac:dyDescent="0.25">
      <c r="F161" s="25"/>
      <c r="G161" s="25"/>
    </row>
    <row r="162" spans="6:7" x14ac:dyDescent="0.25">
      <c r="F162" s="25"/>
      <c r="G162" s="25"/>
    </row>
    <row r="163" spans="6:7" x14ac:dyDescent="0.25">
      <c r="F163" s="25"/>
      <c r="G163" s="25"/>
    </row>
    <row r="164" spans="6:7" x14ac:dyDescent="0.25">
      <c r="F164" s="25"/>
      <c r="G164" s="25"/>
    </row>
    <row r="165" spans="6:7" x14ac:dyDescent="0.25">
      <c r="F165" s="25"/>
      <c r="G165" s="25"/>
    </row>
    <row r="166" spans="6:7" x14ac:dyDescent="0.25">
      <c r="F166" s="25"/>
      <c r="G166" s="25"/>
    </row>
    <row r="167" spans="6:7" x14ac:dyDescent="0.25">
      <c r="F167" s="25"/>
      <c r="G167" s="25"/>
    </row>
    <row r="168" spans="6:7" x14ac:dyDescent="0.25">
      <c r="F168" s="25"/>
      <c r="G168" s="25"/>
    </row>
    <row r="169" spans="6:7" x14ac:dyDescent="0.25">
      <c r="F169" s="25"/>
      <c r="G169" s="25"/>
    </row>
    <row r="170" spans="6:7" x14ac:dyDescent="0.25">
      <c r="F170" s="25"/>
      <c r="G170" s="25"/>
    </row>
    <row r="171" spans="6:7" x14ac:dyDescent="0.25">
      <c r="F171" s="25"/>
      <c r="G171" s="25"/>
    </row>
    <row r="172" spans="6:7" x14ac:dyDescent="0.25">
      <c r="F172" s="25"/>
      <c r="G172" s="25"/>
    </row>
    <row r="173" spans="6:7" x14ac:dyDescent="0.25">
      <c r="F173" s="25"/>
      <c r="G173" s="25"/>
    </row>
    <row r="174" spans="6:7" x14ac:dyDescent="0.25">
      <c r="F174" s="25"/>
      <c r="G174" s="25"/>
    </row>
    <row r="175" spans="6:7" x14ac:dyDescent="0.25">
      <c r="F175" s="25"/>
      <c r="G175" s="25"/>
    </row>
    <row r="176" spans="6:7" x14ac:dyDescent="0.25">
      <c r="F176" s="25"/>
      <c r="G176" s="25"/>
    </row>
    <row r="177" spans="6:7" x14ac:dyDescent="0.25">
      <c r="F177" s="25"/>
      <c r="G177" s="25"/>
    </row>
    <row r="178" spans="6:7" x14ac:dyDescent="0.25">
      <c r="F178" s="25"/>
      <c r="G178" s="25"/>
    </row>
    <row r="179" spans="6:7" x14ac:dyDescent="0.25">
      <c r="F179" s="25"/>
      <c r="G179" s="25"/>
    </row>
    <row r="180" spans="6:7" x14ac:dyDescent="0.25">
      <c r="F180" s="25"/>
      <c r="G180" s="25"/>
    </row>
    <row r="181" spans="6:7" x14ac:dyDescent="0.25">
      <c r="F181" s="25"/>
      <c r="G181" s="25"/>
    </row>
    <row r="182" spans="6:7" x14ac:dyDescent="0.25">
      <c r="F182" s="25"/>
      <c r="G182" s="25"/>
    </row>
    <row r="183" spans="6:7" x14ac:dyDescent="0.25">
      <c r="F183" s="25"/>
      <c r="G183" s="25"/>
    </row>
    <row r="184" spans="6:7" x14ac:dyDescent="0.25">
      <c r="F184" s="25"/>
      <c r="G184" s="25"/>
    </row>
    <row r="185" spans="6:7" x14ac:dyDescent="0.25">
      <c r="F185" s="25"/>
      <c r="G185" s="25"/>
    </row>
    <row r="186" spans="6:7" x14ac:dyDescent="0.25">
      <c r="F186" s="25"/>
      <c r="G186" s="25"/>
    </row>
    <row r="187" spans="6:7" x14ac:dyDescent="0.25">
      <c r="F187" s="25"/>
      <c r="G187" s="25"/>
    </row>
    <row r="188" spans="6:7" x14ac:dyDescent="0.25">
      <c r="F188" s="25"/>
      <c r="G188" s="25"/>
    </row>
    <row r="189" spans="6:7" x14ac:dyDescent="0.25">
      <c r="F189" s="25"/>
      <c r="G189" s="25"/>
    </row>
    <row r="190" spans="6:7" x14ac:dyDescent="0.25">
      <c r="F190" s="25"/>
      <c r="G190" s="25"/>
    </row>
    <row r="191" spans="6:7" x14ac:dyDescent="0.25">
      <c r="F191" s="25"/>
      <c r="G191" s="25"/>
    </row>
    <row r="192" spans="6:7" x14ac:dyDescent="0.25">
      <c r="F192" s="25"/>
      <c r="G192" s="25"/>
    </row>
    <row r="193" spans="6:7" x14ac:dyDescent="0.25">
      <c r="F193" s="25"/>
      <c r="G193" s="25"/>
    </row>
    <row r="194" spans="6:7" x14ac:dyDescent="0.25">
      <c r="F194" s="25"/>
      <c r="G194" s="25"/>
    </row>
    <row r="195" spans="6:7" x14ac:dyDescent="0.25">
      <c r="F195" s="25"/>
      <c r="G195" s="25"/>
    </row>
    <row r="196" spans="6:7" x14ac:dyDescent="0.25">
      <c r="F196" s="25"/>
      <c r="G196" s="25"/>
    </row>
    <row r="197" spans="6:7" x14ac:dyDescent="0.25">
      <c r="F197" s="25"/>
      <c r="G197" s="25"/>
    </row>
    <row r="198" spans="6:7" x14ac:dyDescent="0.25">
      <c r="F198" s="25"/>
      <c r="G198" s="25"/>
    </row>
    <row r="199" spans="6:7" x14ac:dyDescent="0.25">
      <c r="F199" s="25"/>
      <c r="G199" s="25"/>
    </row>
    <row r="200" spans="6:7" x14ac:dyDescent="0.25">
      <c r="F200" s="25"/>
      <c r="G200" s="25"/>
    </row>
    <row r="201" spans="6:7" x14ac:dyDescent="0.25">
      <c r="F201" s="25"/>
      <c r="G201" s="25"/>
    </row>
    <row r="202" spans="6:7" x14ac:dyDescent="0.25">
      <c r="F202" s="25"/>
      <c r="G202" s="25"/>
    </row>
    <row r="203" spans="6:7" x14ac:dyDescent="0.25">
      <c r="F203" s="25"/>
      <c r="G203" s="25"/>
    </row>
    <row r="204" spans="6:7" x14ac:dyDescent="0.25">
      <c r="F204" s="25"/>
      <c r="G204" s="25"/>
    </row>
    <row r="205" spans="6:7" x14ac:dyDescent="0.25">
      <c r="F205" s="25"/>
      <c r="G205" s="25"/>
    </row>
    <row r="206" spans="6:7" x14ac:dyDescent="0.25">
      <c r="F206" s="25"/>
      <c r="G206" s="25"/>
    </row>
    <row r="207" spans="6:7" x14ac:dyDescent="0.25">
      <c r="F207" s="25"/>
      <c r="G207" s="25"/>
    </row>
    <row r="208" spans="6:7" x14ac:dyDescent="0.25">
      <c r="F208" s="25"/>
      <c r="G208" s="25"/>
    </row>
    <row r="209" spans="6:7" x14ac:dyDescent="0.25">
      <c r="F209" s="25"/>
      <c r="G209" s="25"/>
    </row>
    <row r="210" spans="6:7" x14ac:dyDescent="0.25">
      <c r="F210" s="25"/>
      <c r="G210" s="25"/>
    </row>
    <row r="211" spans="6:7" x14ac:dyDescent="0.25">
      <c r="F211" s="25"/>
      <c r="G211" s="25"/>
    </row>
    <row r="212" spans="6:7" x14ac:dyDescent="0.25">
      <c r="F212" s="25"/>
      <c r="G212" s="25"/>
    </row>
    <row r="213" spans="6:7" x14ac:dyDescent="0.25">
      <c r="F213" s="25"/>
      <c r="G213" s="25"/>
    </row>
    <row r="214" spans="6:7" x14ac:dyDescent="0.25">
      <c r="F214" s="25"/>
      <c r="G214" s="25"/>
    </row>
    <row r="215" spans="6:7" x14ac:dyDescent="0.25">
      <c r="F215" s="25"/>
      <c r="G215" s="25"/>
    </row>
    <row r="216" spans="6:7" x14ac:dyDescent="0.25">
      <c r="F216" s="25"/>
      <c r="G216" s="25"/>
    </row>
    <row r="217" spans="6:7" x14ac:dyDescent="0.25">
      <c r="F217" s="25"/>
      <c r="G217" s="25"/>
    </row>
    <row r="218" spans="6:7" x14ac:dyDescent="0.25">
      <c r="F218" s="25"/>
      <c r="G218" s="25"/>
    </row>
    <row r="219" spans="6:7" x14ac:dyDescent="0.25">
      <c r="F219" s="25"/>
      <c r="G219" s="25"/>
    </row>
    <row r="220" spans="6:7" x14ac:dyDescent="0.25">
      <c r="F220" s="25"/>
      <c r="G220" s="25"/>
    </row>
    <row r="221" spans="6:7" x14ac:dyDescent="0.25">
      <c r="F221" s="25"/>
      <c r="G221" s="25"/>
    </row>
    <row r="222" spans="6:7" x14ac:dyDescent="0.25">
      <c r="F222" s="25"/>
      <c r="G222" s="25"/>
    </row>
    <row r="223" spans="6:7" x14ac:dyDescent="0.25">
      <c r="F223" s="25"/>
      <c r="G223" s="25"/>
    </row>
    <row r="224" spans="6:7" x14ac:dyDescent="0.25">
      <c r="F224" s="25"/>
      <c r="G224" s="25"/>
    </row>
    <row r="225" spans="6:7" x14ac:dyDescent="0.25">
      <c r="F225" s="25"/>
      <c r="G225" s="25"/>
    </row>
    <row r="226" spans="6:7" x14ac:dyDescent="0.25">
      <c r="F226" s="25"/>
      <c r="G226" s="25"/>
    </row>
    <row r="227" spans="6:7" x14ac:dyDescent="0.25">
      <c r="F227" s="25"/>
      <c r="G227" s="25"/>
    </row>
    <row r="228" spans="6:7" x14ac:dyDescent="0.25">
      <c r="F228" s="25"/>
      <c r="G228" s="25"/>
    </row>
    <row r="229" spans="6:7" x14ac:dyDescent="0.25">
      <c r="F229" s="25"/>
      <c r="G229" s="25"/>
    </row>
    <row r="230" spans="6:7" x14ac:dyDescent="0.25">
      <c r="F230" s="25"/>
      <c r="G230" s="25"/>
    </row>
    <row r="231" spans="6:7" x14ac:dyDescent="0.25">
      <c r="F231" s="25"/>
      <c r="G231" s="25"/>
    </row>
    <row r="232" spans="6:7" x14ac:dyDescent="0.25">
      <c r="F232" s="25"/>
      <c r="G232" s="25"/>
    </row>
    <row r="233" spans="6:7" x14ac:dyDescent="0.25">
      <c r="F233" s="25"/>
      <c r="G233" s="25"/>
    </row>
    <row r="234" spans="6:7" x14ac:dyDescent="0.25">
      <c r="F234" s="25"/>
      <c r="G234" s="25"/>
    </row>
    <row r="235" spans="6:7" x14ac:dyDescent="0.25">
      <c r="F235" s="25"/>
      <c r="G235" s="25"/>
    </row>
    <row r="236" spans="6:7" x14ac:dyDescent="0.25">
      <c r="F236" s="25"/>
      <c r="G236" s="25"/>
    </row>
    <row r="237" spans="6:7" x14ac:dyDescent="0.25">
      <c r="F237" s="25"/>
      <c r="G237" s="25"/>
    </row>
    <row r="238" spans="6:7" x14ac:dyDescent="0.25">
      <c r="F238" s="25"/>
      <c r="G238" s="25"/>
    </row>
    <row r="239" spans="6:7" x14ac:dyDescent="0.25">
      <c r="F239" s="25"/>
      <c r="G239" s="25"/>
    </row>
    <row r="240" spans="6:7" x14ac:dyDescent="0.25">
      <c r="F240" s="25"/>
      <c r="G240" s="25"/>
    </row>
    <row r="241" spans="6:7" x14ac:dyDescent="0.25">
      <c r="F241" s="25"/>
      <c r="G241" s="25"/>
    </row>
    <row r="242" spans="6:7" x14ac:dyDescent="0.25">
      <c r="F242" s="25"/>
      <c r="G242" s="25"/>
    </row>
    <row r="243" spans="6:7" x14ac:dyDescent="0.25">
      <c r="F243" s="25"/>
      <c r="G243" s="25"/>
    </row>
    <row r="244" spans="6:7" x14ac:dyDescent="0.25">
      <c r="F244" s="25"/>
      <c r="G244" s="25"/>
    </row>
    <row r="245" spans="6:7" x14ac:dyDescent="0.25">
      <c r="F245" s="25"/>
      <c r="G245" s="25"/>
    </row>
    <row r="246" spans="6:7" x14ac:dyDescent="0.25">
      <c r="F246" s="25"/>
      <c r="G246" s="25"/>
    </row>
    <row r="247" spans="6:7" x14ac:dyDescent="0.25">
      <c r="F247" s="25"/>
      <c r="G247" s="25"/>
    </row>
    <row r="248" spans="6:7" x14ac:dyDescent="0.25">
      <c r="F248" s="25"/>
      <c r="G248" s="25"/>
    </row>
    <row r="249" spans="6:7" x14ac:dyDescent="0.25">
      <c r="F249" s="25"/>
      <c r="G249" s="25"/>
    </row>
    <row r="250" spans="6:7" x14ac:dyDescent="0.25">
      <c r="F250" s="25"/>
      <c r="G250" s="25"/>
    </row>
    <row r="251" spans="6:7" x14ac:dyDescent="0.25">
      <c r="F251" s="25"/>
      <c r="G251" s="25"/>
    </row>
    <row r="252" spans="6:7" x14ac:dyDescent="0.25">
      <c r="F252" s="25"/>
      <c r="G252" s="25"/>
    </row>
    <row r="253" spans="6:7" x14ac:dyDescent="0.25">
      <c r="F253" s="25"/>
      <c r="G253" s="25"/>
    </row>
    <row r="254" spans="6:7" x14ac:dyDescent="0.25">
      <c r="F254" s="25"/>
      <c r="G254" s="25"/>
    </row>
    <row r="255" spans="6:7" x14ac:dyDescent="0.25">
      <c r="F255" s="25"/>
      <c r="G255" s="25"/>
    </row>
    <row r="256" spans="6:7" x14ac:dyDescent="0.25">
      <c r="F256" s="25"/>
      <c r="G256" s="25"/>
    </row>
    <row r="257" spans="6:7" x14ac:dyDescent="0.25">
      <c r="F257" s="25"/>
      <c r="G257" s="25"/>
    </row>
    <row r="258" spans="6:7" x14ac:dyDescent="0.25">
      <c r="F258" s="25"/>
      <c r="G258" s="25"/>
    </row>
    <row r="259" spans="6:7" x14ac:dyDescent="0.25">
      <c r="F259" s="25"/>
      <c r="G259" s="25"/>
    </row>
    <row r="260" spans="6:7" x14ac:dyDescent="0.25">
      <c r="F260" s="25"/>
      <c r="G260" s="25"/>
    </row>
    <row r="261" spans="6:7" x14ac:dyDescent="0.25">
      <c r="F261" s="25"/>
      <c r="G261" s="25"/>
    </row>
    <row r="262" spans="6:7" x14ac:dyDescent="0.25">
      <c r="F262" s="25"/>
      <c r="G262" s="25"/>
    </row>
    <row r="263" spans="6:7" x14ac:dyDescent="0.25">
      <c r="F263" s="25"/>
      <c r="G263" s="25"/>
    </row>
    <row r="264" spans="6:7" x14ac:dyDescent="0.25">
      <c r="F264" s="25"/>
      <c r="G264" s="25"/>
    </row>
    <row r="265" spans="6:7" x14ac:dyDescent="0.25">
      <c r="F265" s="25"/>
      <c r="G265" s="25"/>
    </row>
    <row r="266" spans="6:7" x14ac:dyDescent="0.25">
      <c r="F266" s="25"/>
      <c r="G266" s="25"/>
    </row>
    <row r="267" spans="6:7" x14ac:dyDescent="0.25">
      <c r="F267" s="25"/>
      <c r="G267" s="25"/>
    </row>
    <row r="268" spans="6:7" x14ac:dyDescent="0.25">
      <c r="F268" s="25"/>
      <c r="G268" s="25"/>
    </row>
    <row r="269" spans="6:7" x14ac:dyDescent="0.25">
      <c r="F269" s="25"/>
      <c r="G269" s="25"/>
    </row>
    <row r="270" spans="6:7" x14ac:dyDescent="0.25">
      <c r="F270" s="25"/>
      <c r="G270" s="25"/>
    </row>
    <row r="271" spans="6:7" x14ac:dyDescent="0.25">
      <c r="F271" s="25"/>
      <c r="G271" s="25"/>
    </row>
    <row r="272" spans="6:7" x14ac:dyDescent="0.25">
      <c r="F272" s="25"/>
      <c r="G272" s="25"/>
    </row>
    <row r="273" spans="6:7" x14ac:dyDescent="0.25">
      <c r="F273" s="25"/>
      <c r="G273" s="25"/>
    </row>
    <row r="274" spans="6:7" x14ac:dyDescent="0.25">
      <c r="F274" s="25"/>
      <c r="G274" s="25"/>
    </row>
    <row r="275" spans="6:7" x14ac:dyDescent="0.25">
      <c r="F275" s="25"/>
      <c r="G275" s="25"/>
    </row>
    <row r="276" spans="6:7" x14ac:dyDescent="0.25">
      <c r="F276" s="25"/>
      <c r="G276" s="25"/>
    </row>
    <row r="277" spans="6:7" x14ac:dyDescent="0.25">
      <c r="F277" s="25"/>
      <c r="G277" s="25"/>
    </row>
    <row r="278" spans="6:7" x14ac:dyDescent="0.25">
      <c r="F278" s="25"/>
      <c r="G278" s="25"/>
    </row>
    <row r="279" spans="6:7" x14ac:dyDescent="0.25">
      <c r="F279" s="25"/>
      <c r="G279" s="25"/>
    </row>
    <row r="280" spans="6:7" x14ac:dyDescent="0.25">
      <c r="F280" s="25"/>
      <c r="G280" s="25"/>
    </row>
    <row r="281" spans="6:7" x14ac:dyDescent="0.25">
      <c r="F281" s="25"/>
      <c r="G281" s="25"/>
    </row>
    <row r="282" spans="6:7" x14ac:dyDescent="0.25">
      <c r="F282" s="25"/>
      <c r="G282" s="25"/>
    </row>
    <row r="283" spans="6:7" x14ac:dyDescent="0.25">
      <c r="F283" s="25"/>
      <c r="G283" s="25"/>
    </row>
    <row r="284" spans="6:7" x14ac:dyDescent="0.25">
      <c r="F284" s="25"/>
      <c r="G284" s="25"/>
    </row>
    <row r="285" spans="6:7" x14ac:dyDescent="0.25">
      <c r="F285" s="25"/>
      <c r="G285" s="25"/>
    </row>
    <row r="286" spans="6:7" x14ac:dyDescent="0.25">
      <c r="F286" s="25"/>
      <c r="G286" s="25"/>
    </row>
    <row r="287" spans="6:7" x14ac:dyDescent="0.25">
      <c r="F287" s="25"/>
      <c r="G287" s="25"/>
    </row>
    <row r="288" spans="6:7" x14ac:dyDescent="0.25">
      <c r="F288" s="25"/>
      <c r="G288" s="25"/>
    </row>
    <row r="289" spans="6:7" x14ac:dyDescent="0.25">
      <c r="F289" s="25"/>
      <c r="G289" s="25"/>
    </row>
    <row r="290" spans="6:7" x14ac:dyDescent="0.25">
      <c r="F290" s="25"/>
      <c r="G290" s="25"/>
    </row>
    <row r="291" spans="6:7" x14ac:dyDescent="0.25">
      <c r="F291" s="25"/>
      <c r="G291" s="25"/>
    </row>
    <row r="292" spans="6:7" x14ac:dyDescent="0.25">
      <c r="F292" s="25"/>
      <c r="G292" s="25"/>
    </row>
    <row r="293" spans="6:7" x14ac:dyDescent="0.25">
      <c r="F293" s="25"/>
      <c r="G293" s="25"/>
    </row>
    <row r="294" spans="6:7" x14ac:dyDescent="0.25">
      <c r="F294" s="25"/>
      <c r="G294" s="25"/>
    </row>
    <row r="295" spans="6:7" x14ac:dyDescent="0.25">
      <c r="F295" s="25"/>
      <c r="G295" s="25"/>
    </row>
    <row r="296" spans="6:7" x14ac:dyDescent="0.25">
      <c r="F296" s="25"/>
      <c r="G296" s="25"/>
    </row>
    <row r="297" spans="6:7" x14ac:dyDescent="0.25">
      <c r="F297" s="25"/>
      <c r="G297" s="25"/>
    </row>
    <row r="298" spans="6:7" x14ac:dyDescent="0.25">
      <c r="F298" s="25"/>
      <c r="G298" s="25"/>
    </row>
    <row r="299" spans="6:7" x14ac:dyDescent="0.25">
      <c r="F299" s="25"/>
      <c r="G299" s="25"/>
    </row>
    <row r="300" spans="6:7" x14ac:dyDescent="0.25">
      <c r="F300" s="25"/>
      <c r="G300" s="25"/>
    </row>
    <row r="301" spans="6:7" x14ac:dyDescent="0.25">
      <c r="F301" s="25"/>
      <c r="G301" s="25"/>
    </row>
    <row r="302" spans="6:7" x14ac:dyDescent="0.25">
      <c r="F302" s="25"/>
      <c r="G302" s="25"/>
    </row>
    <row r="303" spans="6:7" x14ac:dyDescent="0.25">
      <c r="F303" s="25"/>
      <c r="G303" s="25"/>
    </row>
    <row r="304" spans="6:7" x14ac:dyDescent="0.25">
      <c r="F304" s="25"/>
      <c r="G304" s="25"/>
    </row>
    <row r="305" spans="6:7" x14ac:dyDescent="0.25">
      <c r="F305" s="25"/>
      <c r="G305" s="25"/>
    </row>
    <row r="306" spans="6:7" x14ac:dyDescent="0.25">
      <c r="F306" s="25"/>
      <c r="G306" s="25"/>
    </row>
    <row r="307" spans="6:7" x14ac:dyDescent="0.25">
      <c r="F307" s="25"/>
      <c r="G307" s="25"/>
    </row>
    <row r="308" spans="6:7" x14ac:dyDescent="0.25">
      <c r="F308" s="25"/>
      <c r="G308" s="25"/>
    </row>
    <row r="309" spans="6:7" x14ac:dyDescent="0.25">
      <c r="F309" s="25"/>
      <c r="G309" s="25"/>
    </row>
    <row r="310" spans="6:7" x14ac:dyDescent="0.25">
      <c r="F310" s="25"/>
      <c r="G310" s="25"/>
    </row>
    <row r="311" spans="6:7" x14ac:dyDescent="0.25">
      <c r="F311" s="25"/>
      <c r="G311" s="25"/>
    </row>
    <row r="312" spans="6:7" x14ac:dyDescent="0.25">
      <c r="F312" s="25"/>
      <c r="G312" s="25"/>
    </row>
    <row r="313" spans="6:7" x14ac:dyDescent="0.25">
      <c r="F313" s="25"/>
      <c r="G313" s="25"/>
    </row>
    <row r="314" spans="6:7" x14ac:dyDescent="0.25">
      <c r="F314" s="25"/>
      <c r="G314" s="25"/>
    </row>
    <row r="315" spans="6:7" x14ac:dyDescent="0.25">
      <c r="F315" s="25"/>
      <c r="G315" s="25"/>
    </row>
    <row r="316" spans="6:7" x14ac:dyDescent="0.25">
      <c r="F316" s="25"/>
      <c r="G316" s="25"/>
    </row>
    <row r="317" spans="6:7" x14ac:dyDescent="0.25">
      <c r="F317" s="25"/>
      <c r="G317" s="25"/>
    </row>
    <row r="318" spans="6:7" x14ac:dyDescent="0.25">
      <c r="F318" s="25"/>
      <c r="G318" s="25"/>
    </row>
    <row r="319" spans="6:7" x14ac:dyDescent="0.25">
      <c r="F319" s="25"/>
      <c r="G319" s="25"/>
    </row>
    <row r="320" spans="6:7" x14ac:dyDescent="0.25">
      <c r="F320" s="25"/>
      <c r="G320" s="25"/>
    </row>
    <row r="321" spans="6:7" x14ac:dyDescent="0.25">
      <c r="F321" s="25"/>
      <c r="G321" s="25"/>
    </row>
    <row r="322" spans="6:7" x14ac:dyDescent="0.25">
      <c r="F322" s="25"/>
      <c r="G322" s="25"/>
    </row>
    <row r="323" spans="6:7" x14ac:dyDescent="0.25">
      <c r="F323" s="25"/>
      <c r="G323" s="25"/>
    </row>
    <row r="324" spans="6:7" x14ac:dyDescent="0.25">
      <c r="F324" s="25"/>
      <c r="G324" s="25"/>
    </row>
  </sheetData>
  <mergeCells count="4">
    <mergeCell ref="A4:J4"/>
    <mergeCell ref="K1:P1"/>
    <mergeCell ref="Q1:V1"/>
    <mergeCell ref="K3:V3"/>
  </mergeCells>
  <pageMargins left="0.7" right="0.7" top="0.75" bottom="0.75" header="0.3" footer="0.3"/>
  <pageSetup orientation="portrait" horizontalDpi="300" r:id="rId1"/>
  <customProperties>
    <customPr name="_pios_id" r:id="rId2"/>
    <customPr name="CofWorksheetType" r:id="rId3"/>
    <customPr name="EpmWorksheetKeyString_GUID" r:id="rId4"/>
    <customPr name="FPMExcelClientRefreshTime" r:id="rId5"/>
    <customPr name="IbpWorksheetKeyString_GUID" r:id="rId6"/>
  </customProperties>
  <drawing r:id="rId7"/>
  <legacyDrawing r:id="rId8"/>
  <picture r:id="rId9"/>
  <controls>
    <mc:AlternateContent xmlns:mc="http://schemas.openxmlformats.org/markup-compatibility/2006">
      <mc:Choice Requires="x14">
        <control shapeId="3142" r:id="rId10" name="AnalyzerDynReportDC000tb1">
          <controlPr defaultSize="0" autoLine="0" autoPict="0" r:id="rId11">
            <anchor moveWithCells="1">
              <from>
                <xdr:col>0</xdr:col>
                <xdr:colOff>0</xdr:colOff>
                <xdr:row>0</xdr:row>
                <xdr:rowOff>0</xdr:rowOff>
              </from>
              <to>
                <xdr:col>5</xdr:col>
                <xdr:colOff>390525</xdr:colOff>
                <xdr:row>0</xdr:row>
                <xdr:rowOff>0</xdr:rowOff>
              </to>
            </anchor>
          </controlPr>
        </control>
      </mc:Choice>
      <mc:Fallback>
        <control shapeId="3142" r:id="rId10" name="AnalyzerDynReportDC000tb1"/>
      </mc:Fallback>
    </mc:AlternateContent>
    <mc:AlternateContent xmlns:mc="http://schemas.openxmlformats.org/markup-compatibility/2006">
      <mc:Choice Requires="x14">
        <control shapeId="3141" r:id="rId12" name="ReportSubmitControl_1DCtb1">
          <controlPr defaultSize="0" autoLine="0" autoPict="0" r:id="rId13">
            <anchor moveWithCells="1">
              <from>
                <xdr:col>0</xdr:col>
                <xdr:colOff>0</xdr:colOff>
                <xdr:row>0</xdr:row>
                <xdr:rowOff>0</xdr:rowOff>
              </from>
              <to>
                <xdr:col>5</xdr:col>
                <xdr:colOff>390525</xdr:colOff>
                <xdr:row>0</xdr:row>
                <xdr:rowOff>0</xdr:rowOff>
              </to>
            </anchor>
          </controlPr>
        </control>
      </mc:Choice>
      <mc:Fallback>
        <control shapeId="3141" r:id="rId12" name="ReportSubmitControl_1DCtb1"/>
      </mc:Fallback>
    </mc:AlternateContent>
    <mc:AlternateContent xmlns:mc="http://schemas.openxmlformats.org/markup-compatibility/2006">
      <mc:Choice Requires="x14">
        <control shapeId="3140" r:id="rId14" name="ReportSubmitManagerControlDCtb1">
          <controlPr defaultSize="0" autoLine="0" autoPict="0" r:id="rId15">
            <anchor moveWithCells="1">
              <from>
                <xdr:col>0</xdr:col>
                <xdr:colOff>0</xdr:colOff>
                <xdr:row>0</xdr:row>
                <xdr:rowOff>0</xdr:rowOff>
              </from>
              <to>
                <xdr:col>5</xdr:col>
                <xdr:colOff>390525</xdr:colOff>
                <xdr:row>0</xdr:row>
                <xdr:rowOff>0</xdr:rowOff>
              </to>
            </anchor>
          </controlPr>
        </control>
      </mc:Choice>
      <mc:Fallback>
        <control shapeId="3140" r:id="rId14" name="ReportSubmitManagerControlDCtb1"/>
      </mc:Fallback>
    </mc:AlternateContent>
    <mc:AlternateContent xmlns:mc="http://schemas.openxmlformats.org/markup-compatibility/2006">
      <mc:Choice Requires="x14">
        <control shapeId="3139" r:id="rId16" name="MultipleReportManagerInfoDCtb1">
          <controlPr defaultSize="0" autoLine="0" autoPict="0" r:id="rId17">
            <anchor moveWithCells="1">
              <from>
                <xdr:col>0</xdr:col>
                <xdr:colOff>0</xdr:colOff>
                <xdr:row>0</xdr:row>
                <xdr:rowOff>0</xdr:rowOff>
              </from>
              <to>
                <xdr:col>5</xdr:col>
                <xdr:colOff>390525</xdr:colOff>
                <xdr:row>0</xdr:row>
                <xdr:rowOff>0</xdr:rowOff>
              </to>
            </anchor>
          </controlPr>
        </control>
      </mc:Choice>
      <mc:Fallback>
        <control shapeId="3139" r:id="rId16" name="MultipleReportManagerInfoDCtb1"/>
      </mc:Fallback>
    </mc:AlternateContent>
    <mc:AlternateContent xmlns:mc="http://schemas.openxmlformats.org/markup-compatibility/2006">
      <mc:Choice Requires="x14">
        <control shapeId="3138" r:id="rId18" name="ConnectionDescriptorsInfoDCtb1">
          <controlPr defaultSize="0" autoLine="0" autoPict="0" r:id="rId19">
            <anchor moveWithCells="1">
              <from>
                <xdr:col>0</xdr:col>
                <xdr:colOff>0</xdr:colOff>
                <xdr:row>0</xdr:row>
                <xdr:rowOff>0</xdr:rowOff>
              </from>
              <to>
                <xdr:col>5</xdr:col>
                <xdr:colOff>390525</xdr:colOff>
                <xdr:row>0</xdr:row>
                <xdr:rowOff>0</xdr:rowOff>
              </to>
            </anchor>
          </controlPr>
        </control>
      </mc:Choice>
      <mc:Fallback>
        <control shapeId="3138" r:id="rId18" name="ConnectionDescriptorsInfoDCtb1"/>
      </mc:Fallback>
    </mc:AlternateContent>
    <mc:AlternateContent xmlns:mc="http://schemas.openxmlformats.org/markup-compatibility/2006">
      <mc:Choice Requires="x14">
        <control shapeId="3130" r:id="rId20" name="CheckBox1">
          <controlPr defaultSize="0" autoLine="0" r:id="rId21">
            <anchor>
              <from>
                <xdr:col>5</xdr:col>
                <xdr:colOff>1733550</xdr:colOff>
                <xdr:row>4</xdr:row>
                <xdr:rowOff>19050</xdr:rowOff>
              </from>
              <to>
                <xdr:col>6</xdr:col>
                <xdr:colOff>352425</xdr:colOff>
                <xdr:row>5</xdr:row>
                <xdr:rowOff>95250</xdr:rowOff>
              </to>
            </anchor>
          </controlPr>
        </control>
      </mc:Choice>
      <mc:Fallback>
        <control shapeId="3130" r:id="rId20" name="CheckBox1"/>
      </mc:Fallback>
    </mc:AlternateContent>
    <mc:AlternateContent xmlns:mc="http://schemas.openxmlformats.org/markup-compatibility/2006">
      <mc:Choice Requires="x14">
        <control shapeId="3129" r:id="rId22" name="ListBox2">
          <controlPr defaultSize="0" autoLine="0" r:id="rId23">
            <anchor>
              <from>
                <xdr:col>5</xdr:col>
                <xdr:colOff>1743075</xdr:colOff>
                <xdr:row>8</xdr:row>
                <xdr:rowOff>19050</xdr:rowOff>
              </from>
              <to>
                <xdr:col>6</xdr:col>
                <xdr:colOff>333375</xdr:colOff>
                <xdr:row>9</xdr:row>
                <xdr:rowOff>76200</xdr:rowOff>
              </to>
            </anchor>
          </controlPr>
        </control>
      </mc:Choice>
      <mc:Fallback>
        <control shapeId="3129" r:id="rId22" name="ListBox2"/>
      </mc:Fallback>
    </mc:AlternateContent>
    <mc:AlternateContent xmlns:mc="http://schemas.openxmlformats.org/markup-compatibility/2006">
      <mc:Choice Requires="x14">
        <control shapeId="3128" r:id="rId24" name="ListBox1">
          <controlPr defaultSize="0" autoLine="0" r:id="rId25">
            <anchor>
              <from>
                <xdr:col>0</xdr:col>
                <xdr:colOff>38100</xdr:colOff>
                <xdr:row>8</xdr:row>
                <xdr:rowOff>19050</xdr:rowOff>
              </from>
              <to>
                <xdr:col>5</xdr:col>
                <xdr:colOff>952500</xdr:colOff>
                <xdr:row>12</xdr:row>
                <xdr:rowOff>114300</xdr:rowOff>
              </to>
            </anchor>
          </controlPr>
        </control>
      </mc:Choice>
      <mc:Fallback>
        <control shapeId="3128" r:id="rId24" name="ListBox1"/>
      </mc:Fallback>
    </mc:AlternateContent>
    <mc:AlternateContent xmlns:mc="http://schemas.openxmlformats.org/markup-compatibility/2006">
      <mc:Choice Requires="x14">
        <control shapeId="3127" r:id="rId26" name="CommandButton7">
          <controlPr defaultSize="0" autoLine="0" r:id="rId27">
            <anchor>
              <from>
                <xdr:col>0</xdr:col>
                <xdr:colOff>38100</xdr:colOff>
                <xdr:row>1</xdr:row>
                <xdr:rowOff>419100</xdr:rowOff>
              </from>
              <to>
                <xdr:col>2</xdr:col>
                <xdr:colOff>57150</xdr:colOff>
                <xdr:row>2</xdr:row>
                <xdr:rowOff>171450</xdr:rowOff>
              </to>
            </anchor>
          </controlPr>
        </control>
      </mc:Choice>
      <mc:Fallback>
        <control shapeId="3127" r:id="rId26" name="CommandButton7"/>
      </mc:Fallback>
    </mc:AlternateContent>
    <mc:AlternateContent xmlns:mc="http://schemas.openxmlformats.org/markup-compatibility/2006">
      <mc:Choice Requires="x14">
        <control shapeId="3125" r:id="rId28" name="CommandButton6">
          <controlPr defaultSize="0" autoLine="0" r:id="rId29">
            <anchor>
              <from>
                <xdr:col>0</xdr:col>
                <xdr:colOff>57150</xdr:colOff>
                <xdr:row>1</xdr:row>
                <xdr:rowOff>400050</xdr:rowOff>
              </from>
              <to>
                <xdr:col>2</xdr:col>
                <xdr:colOff>76200</xdr:colOff>
                <xdr:row>2</xdr:row>
                <xdr:rowOff>171450</xdr:rowOff>
              </to>
            </anchor>
          </controlPr>
        </control>
      </mc:Choice>
      <mc:Fallback>
        <control shapeId="3125" r:id="rId28" name="CommandButton6"/>
      </mc:Fallback>
    </mc:AlternateContent>
    <mc:AlternateContent xmlns:mc="http://schemas.openxmlformats.org/markup-compatibility/2006">
      <mc:Choice Requires="x14">
        <control shapeId="3093" r:id="rId30" name="FPMExcelClientSheetOptionstb1">
          <controlPr defaultSize="0" autoLine="0" r:id="rId31">
            <anchor moveWithCells="1" sizeWithCells="1">
              <from>
                <xdr:col>0</xdr:col>
                <xdr:colOff>0</xdr:colOff>
                <xdr:row>0</xdr:row>
                <xdr:rowOff>0</xdr:rowOff>
              </from>
              <to>
                <xdr:col>0</xdr:col>
                <xdr:colOff>0</xdr:colOff>
                <xdr:row>0</xdr:row>
                <xdr:rowOff>0</xdr:rowOff>
              </to>
            </anchor>
          </controlPr>
        </control>
      </mc:Choice>
      <mc:Fallback>
        <control shapeId="3093" r:id="rId30" name="FPMExcelClientSheetOptionstb1"/>
      </mc:Fallback>
    </mc:AlternateContent>
    <mc:AlternateContent xmlns:mc="http://schemas.openxmlformats.org/markup-compatibility/2006">
      <mc:Choice Requires="x14">
        <control shapeId="3114" r:id="rId32" name="CommandButton1">
          <controlPr defaultSize="0" autoLine="0" altText="Refresh Chart" r:id="rId33">
            <anchor>
              <from>
                <xdr:col>0</xdr:col>
                <xdr:colOff>38100</xdr:colOff>
                <xdr:row>4</xdr:row>
                <xdr:rowOff>19050</xdr:rowOff>
              </from>
              <to>
                <xdr:col>2</xdr:col>
                <xdr:colOff>57150</xdr:colOff>
                <xdr:row>5</xdr:row>
                <xdr:rowOff>57150</xdr:rowOff>
              </to>
            </anchor>
          </controlPr>
        </control>
      </mc:Choice>
      <mc:Fallback>
        <control shapeId="3114" r:id="rId32" name="CommandButton1"/>
      </mc:Fallback>
    </mc:AlternateContent>
    <mc:AlternateContent xmlns:mc="http://schemas.openxmlformats.org/markup-compatibility/2006">
      <mc:Choice Requires="x14">
        <control shapeId="3116" r:id="rId34" name="Label1">
          <controlPr defaultSize="0" autoLine="0" r:id="rId35">
            <anchor>
              <from>
                <xdr:col>3</xdr:col>
                <xdr:colOff>0</xdr:colOff>
                <xdr:row>4</xdr:row>
                <xdr:rowOff>38100</xdr:rowOff>
              </from>
              <to>
                <xdr:col>5</xdr:col>
                <xdr:colOff>419100</xdr:colOff>
                <xdr:row>5</xdr:row>
                <xdr:rowOff>66675</xdr:rowOff>
              </to>
            </anchor>
          </controlPr>
        </control>
      </mc:Choice>
      <mc:Fallback>
        <control shapeId="3116" r:id="rId34" name="Label1"/>
      </mc:Fallback>
    </mc:AlternateContent>
    <mc:AlternateContent xmlns:mc="http://schemas.openxmlformats.org/markup-compatibility/2006">
      <mc:Choice Requires="x14">
        <control shapeId="3117" r:id="rId36" name="CommandButton2">
          <controlPr defaultSize="0" autoLine="0" r:id="rId37">
            <anchor>
              <from>
                <xdr:col>0</xdr:col>
                <xdr:colOff>38100</xdr:colOff>
                <xdr:row>6</xdr:row>
                <xdr:rowOff>133350</xdr:rowOff>
              </from>
              <to>
                <xdr:col>2</xdr:col>
                <xdr:colOff>57150</xdr:colOff>
                <xdr:row>7</xdr:row>
                <xdr:rowOff>171450</xdr:rowOff>
              </to>
            </anchor>
          </controlPr>
        </control>
      </mc:Choice>
      <mc:Fallback>
        <control shapeId="3117" r:id="rId36" name="CommandButton2"/>
      </mc:Fallback>
    </mc:AlternateContent>
    <mc:AlternateContent xmlns:mc="http://schemas.openxmlformats.org/markup-compatibility/2006">
      <mc:Choice Requires="x14">
        <control shapeId="3118" r:id="rId38" name="CommandButton3">
          <controlPr defaultSize="0" autoLine="0" r:id="rId39">
            <anchor>
              <from>
                <xdr:col>2</xdr:col>
                <xdr:colOff>76200</xdr:colOff>
                <xdr:row>6</xdr:row>
                <xdr:rowOff>133350</xdr:rowOff>
              </from>
              <to>
                <xdr:col>4</xdr:col>
                <xdr:colOff>95250</xdr:colOff>
                <xdr:row>7</xdr:row>
                <xdr:rowOff>171450</xdr:rowOff>
              </to>
            </anchor>
          </controlPr>
        </control>
      </mc:Choice>
      <mc:Fallback>
        <control shapeId="3118" r:id="rId38" name="CommandButton3"/>
      </mc:Fallback>
    </mc:AlternateContent>
    <mc:AlternateContent xmlns:mc="http://schemas.openxmlformats.org/markup-compatibility/2006">
      <mc:Choice Requires="x14">
        <control shapeId="3120" r:id="rId40" name="Label2">
          <controlPr defaultSize="0" autoLine="0" r:id="rId41">
            <anchor>
              <from>
                <xdr:col>5</xdr:col>
                <xdr:colOff>19050</xdr:colOff>
                <xdr:row>6</xdr:row>
                <xdr:rowOff>171450</xdr:rowOff>
              </from>
              <to>
                <xdr:col>5</xdr:col>
                <xdr:colOff>647700</xdr:colOff>
                <xdr:row>7</xdr:row>
                <xdr:rowOff>152400</xdr:rowOff>
              </to>
            </anchor>
          </controlPr>
        </control>
      </mc:Choice>
      <mc:Fallback>
        <control shapeId="3120" r:id="rId40" name="Label2"/>
      </mc:Fallback>
    </mc:AlternateContent>
    <mc:AlternateContent xmlns:mc="http://schemas.openxmlformats.org/markup-compatibility/2006">
      <mc:Choice Requires="x14">
        <control shapeId="3121" r:id="rId42" name="CommandButton4">
          <controlPr defaultSize="0" autoLine="0" r:id="rId37">
            <anchor>
              <from>
                <xdr:col>5</xdr:col>
                <xdr:colOff>1743075</xdr:colOff>
                <xdr:row>6</xdr:row>
                <xdr:rowOff>133350</xdr:rowOff>
              </from>
              <to>
                <xdr:col>5</xdr:col>
                <xdr:colOff>1971675</xdr:colOff>
                <xdr:row>7</xdr:row>
                <xdr:rowOff>171450</xdr:rowOff>
              </to>
            </anchor>
          </controlPr>
        </control>
      </mc:Choice>
      <mc:Fallback>
        <control shapeId="3121" r:id="rId42" name="CommandButton4"/>
      </mc:Fallback>
    </mc:AlternateContent>
    <mc:AlternateContent xmlns:mc="http://schemas.openxmlformats.org/markup-compatibility/2006">
      <mc:Choice Requires="x14">
        <control shapeId="3122" r:id="rId43" name="CommandButton5">
          <controlPr defaultSize="0" autoLine="0" r:id="rId39">
            <anchor>
              <from>
                <xdr:col>5</xdr:col>
                <xdr:colOff>1990725</xdr:colOff>
                <xdr:row>6</xdr:row>
                <xdr:rowOff>133350</xdr:rowOff>
              </from>
              <to>
                <xdr:col>6</xdr:col>
                <xdr:colOff>133350</xdr:colOff>
                <xdr:row>7</xdr:row>
                <xdr:rowOff>171450</xdr:rowOff>
              </to>
            </anchor>
          </controlPr>
        </control>
      </mc:Choice>
      <mc:Fallback>
        <control shapeId="3122" r:id="rId43" name="CommandButton5"/>
      </mc:Fallback>
    </mc:AlternateContent>
    <mc:AlternateContent xmlns:mc="http://schemas.openxmlformats.org/markup-compatibility/2006">
      <mc:Choice Requires="x14">
        <control shapeId="3123" r:id="rId44" name="Label3">
          <controlPr defaultSize="0" autoLine="0" r:id="rId45">
            <anchor>
              <from>
                <xdr:col>6</xdr:col>
                <xdr:colOff>171450</xdr:colOff>
                <xdr:row>6</xdr:row>
                <xdr:rowOff>171450</xdr:rowOff>
              </from>
              <to>
                <xdr:col>7</xdr:col>
                <xdr:colOff>123825</xdr:colOff>
                <xdr:row>7</xdr:row>
                <xdr:rowOff>152400</xdr:rowOff>
              </to>
            </anchor>
          </controlPr>
        </control>
      </mc:Choice>
      <mc:Fallback>
        <control shapeId="3123" r:id="rId44" name="Label3"/>
      </mc:Fallback>
    </mc:AlternateContent>
    <mc:AlternateContent xmlns:mc="http://schemas.openxmlformats.org/markup-compatibility/2006">
      <mc:Choice Requires="x14">
        <control shapeId="3131" r:id="rId46" name="CheckBox2">
          <controlPr defaultSize="0" autoLine="0" r:id="rId47">
            <anchor>
              <from>
                <xdr:col>5</xdr:col>
                <xdr:colOff>371475</xdr:colOff>
                <xdr:row>4</xdr:row>
                <xdr:rowOff>19050</xdr:rowOff>
              </from>
              <to>
                <xdr:col>5</xdr:col>
                <xdr:colOff>1762125</xdr:colOff>
                <xdr:row>5</xdr:row>
                <xdr:rowOff>95250</xdr:rowOff>
              </to>
            </anchor>
          </controlPr>
        </control>
      </mc:Choice>
      <mc:Fallback>
        <control shapeId="3131" r:id="rId46" name="CheckBox2"/>
      </mc:Fallback>
    </mc:AlternateContent>
    <mc:AlternateContent xmlns:mc="http://schemas.openxmlformats.org/markup-compatibility/2006">
      <mc:Choice Requires="x14">
        <control shapeId="3132" r:id="rId48" name="CheckBox3">
          <controlPr defaultSize="0" autoLine="0" r:id="rId49">
            <anchor>
              <from>
                <xdr:col>5</xdr:col>
                <xdr:colOff>371475</xdr:colOff>
                <xdr:row>5</xdr:row>
                <xdr:rowOff>28575</xdr:rowOff>
              </from>
              <to>
                <xdr:col>5</xdr:col>
                <xdr:colOff>1762125</xdr:colOff>
                <xdr:row>6</xdr:row>
                <xdr:rowOff>104775</xdr:rowOff>
              </to>
            </anchor>
          </controlPr>
        </control>
      </mc:Choice>
      <mc:Fallback>
        <control shapeId="3132" r:id="rId48" name="CheckBox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D9F2166D59D0A48A949E5097BE98C8F" ma:contentTypeVersion="4" ma:contentTypeDescription="Create a new document." ma:contentTypeScope="" ma:versionID="92ad84078f1c9538bc985af30a7d398b">
  <xsd:schema xmlns:xsd="http://www.w3.org/2001/XMLSchema" xmlns:xs="http://www.w3.org/2001/XMLSchema" xmlns:p="http://schemas.microsoft.com/office/2006/metadata/properties" xmlns:ns2="6f235531-6c84-4004-a2cf-aad1ef8f5c8f" targetNamespace="http://schemas.microsoft.com/office/2006/metadata/properties" ma:root="true" ma:fieldsID="9bcabc24eaed68f91bdd549c4daeecc0" ns2:_="">
    <xsd:import namespace="6f235531-6c84-4004-a2cf-aad1ef8f5c8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235531-6c84-4004-a2cf-aad1ef8f5c8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onfig xmlns="http://com.sap.sop/sopconfig">
  <template xmlns="">DP130 Demand Planning_G610_RET</template>
  <favorite xmlns=""/>
  <bookSettings xmlns="">
    <scenarios>
      <value>__BASELINE</value>
    </scenarios>
    <simulations>
      <value>__PLAN</value>
    </simulations>
    <planningUnits>
      <planningVersion>__BASELINE</planningVersion>
      <planningScenario>__PLAN</planningScenario>
      <timeRelativeFrom>0</timeRelativeFrom>
      <timeRelativeTo>130</timeRelativeTo>
    </planningUnits>
    <dimsDispOptnId>
      <value>LOCID</value>
      <value>PRDID</value>
    </dimsDispOptnId>
    <dimsDispOptnBoth/>
    <dimsTmpltFltrMandatory/>
    <dimsTmpltFltrOptional/>
    <planningScopeSopV2/>
  </bookSettings>
  <report_Sheet2 xmlns="">
    <settings>
      <flexibleTime>
        <time>
          <dimension>PERIODID0</dimension>
          <rolling>1</rolling>
          <mode>0</mode>
          <totalName/>
          <realTime>true</realTime>
          <fromAbsolute/>
          <toAbsolute/>
          <fromRelative>-939</fromRelative>
          <toRelative>0</toRelative>
          <fromTimeAbsolute>2025-06-02T12:00:00+10:00</fromTimeAbsolute>
          <toTimeAbsolute>2025-06-02T12:00:00+10:00</toTimeAbsolute>
          <fromTimeRelativeInDays>0</fromTimeRelativeInDays>
          <toTimeRelativeInDays>203</toTimeRelativeInDays>
        </time>
      </flexibleTime>
      <planningLevels>
        <value>PRDDESCR</value>
        <value>PRDID</value>
        <value>LOCID</value>
        <value>LOCDESCR</value>
      </planningLevels>
      <keyFigures>
        <value>ZGFAPPROVEDFCSTQTY</value>
      </keyFigures>
      <conversions>
        <conversion>
          <dimension>CURRTOID</dimension>
          <member>AUD</member>
        </conversion>
        <conversion>
          <dimension>UOMTOID</dimension>
          <member>ZSF</member>
        </conversion>
      </conversions>
      <rowAxis>
        <value>PRDDESCR</value>
        <value>PRDID</value>
        <value>LOCID</value>
        <value>LOCDESCR</value>
        <value>KEY_FIGURES</value>
      </rowAxis>
      <columnAxis>
        <value>PERIODID0</value>
      </columnAxis>
      <alerts/>
      <dimsDispOptnId>
        <value>PRDID</value>
        <value>LOCID</value>
      </dimsDispOptnId>
      <dimsDispOptnBoth/>
      <dimsTmpltFltrMandatory/>
      <dimsTmpltFltrOptional>
        <value>MARKETSEGMENT</value>
      </dimsTmpltFltrOptional>
      <attributeSortings>
        <attributeSorting>
          <sortOrder>
            <sortOrderItem>__AZ</sortOrderItem>
          </sortOrder>
          <dimensionId>PRDDESCR</dimensionId>
          <description>Ascending</description>
          <name>A-Z</name>
          <id>-11</id>
        </attributeSorting>
        <attributeSorting>
          <sortOrder>
            <sortOrderItem>__AZ</sortOrderItem>
          </sortOrder>
          <dimensionId>PRDID</dimensionId>
          <description>Ascending</description>
          <name>A-Z</name>
          <id>-11</id>
        </attributeSorting>
        <attributeSorting>
          <sortOrder>
            <sortOrderItem>__AZ</sortOrderItem>
          </sortOrder>
          <dimensionId>LOCID</dimensionId>
          <description>Ascending</description>
          <name>A-Z</name>
          <id>-11</id>
        </attributeSorting>
        <attributeSorting>
          <sortOrder>
            <sortOrderItem>__AZ</sortOrderItem>
          </sortOrder>
          <dimensionId>LOCDESCR</dimensionId>
          <description>Ascending</description>
          <name>A-Z</name>
          <id>-11</id>
        </attributeSorting>
      </attributeSortings>
      <commentType>ALL</commentType>
      <isWorkbookFilterExcluded>false</isWorkbookFilterExcluded>
    </settings>
    <filter>
      <name/>
      <id>0</id>
      <conditions>
        <condition>
          <dimension>MARKETSEGMENT</dimension>
          <operator>EQ</operator>
          <values>
            <value>G610_01_01</value>
          </values>
          <relations/>
        </condition>
        <condition>
          <dimension>PRDID</dimension>
          <operator>EQ</operator>
          <values>
            <value>168846</value>
            <value>168847</value>
            <value>168848</value>
            <value>179649</value>
            <value>179650</value>
          </values>
          <relations/>
        </condition>
        <condition>
          <dimension>LOCID</dimension>
          <operator>EQ</operator>
          <values>
            <value>6125</value>
            <value>6103</value>
            <value>6105</value>
            <value>6104</value>
            <value>6110</value>
            <value>6120</value>
            <value>6123</value>
            <value>6130</value>
            <value>6134</value>
          </values>
          <relations/>
        </condition>
      </conditions>
    </filter>
    <fixingInfosDCS>H4sIAAAAAAAACuyYfWvaUBSHn48i/t9cY7qVibO4+ILMLsEX1q6UIRrbgCaSxNXuw2/jHtPNl21mFUoHQVC8nnN+5/zueSD4/VuVc1bMmVHgCx4RMT4hAW8pYmJQokgBj4AxIRN8Am7l1yUJU04weU2Rc2pUqRMRMeIBhykDlgQEeMxo4bNKszsETAkppNoBMRV8qXpHQsKCCgrFvbwM7rEwCIm4RVGmRAkTxSUXdOkz5g6POSNORCMmYSQ9e9L/L519jXgjO8Zgwkiy9bwBicwzJtnTP0VR4gxFh3e4XNLFZoYvbul4fWrjEhGy4gEjjTQ2znSG1o3xiCmKi4d80zE2S/F6rbUbpe9pLHPonmuUqaL+MadKE5cL6WbBDG/nviZYLDAzODqXynrimJCpeKPdnf/00kJhUkLRly30GYmTX6Wf9Uaqje16dOqxh4rceJROU+MalyY9Ojg06NDglBsMrtP3teorTN5wI978qdLfND7RxaW9VfkDHzGPqtmmhc2QPgPa9HAY4m5pODhHKLynyRWfadGhzZAeTfpb9dc9uKLt0qKOzQCHHg3qXKXfD3Wg9vZHnzrMmGTc12yxOjILMTlVz0WV/sypyql6GlVmTtVvqbKwcqpeIFXrfc2p+j+pOqOcU5VTlVP1wqmyjn6qPEyVlWGnc6qCHWI29yfLvz41fgAAAP//</fixingInfosDCS>
  </report_Sheet2>
</config>
</file>

<file path=customXml/item5.xml><?xml version="1.0" encoding="utf-8"?>
<config xmlns="http://com.sap.sop/sopconfigpv">
  <favoriteName xmlns=""/>
  <templateName xmlns="">DP130 Demand Planning_G610_RET</templateName>
  <IBPReportBookSettings xmlns="">{"isHistoryBook":false,"planningScope":{"versions":["__BASELINE"],"scenarios":["__PLAN"],"subnetworks":[],"fromRelative":"0","toRelative":"130"},"planningScopeSopV2":null,"scenarios":["__PLAN"],"versions":["__BASELINE"],"attributeBasedFilter":null,"attributesDisplayId":["LOCID","PRDID"],"attributesDisplayBoth":null,"attributesTemplateFilterMan":null,"attributesTemplateFilterOpt":null}</IBPReportBookSettings>
</config>
</file>

<file path=customXml/itemProps1.xml><?xml version="1.0" encoding="utf-8"?>
<ds:datastoreItem xmlns:ds="http://schemas.openxmlformats.org/officeDocument/2006/customXml" ds:itemID="{7B46218D-5039-4834-9BD2-65BDC5A9CE00}">
  <ds:schemaRefs>
    <ds:schemaRef ds:uri="http://schemas.microsoft.com/sharepoint/v3/contenttype/forms"/>
  </ds:schemaRefs>
</ds:datastoreItem>
</file>

<file path=customXml/itemProps2.xml><?xml version="1.0" encoding="utf-8"?>
<ds:datastoreItem xmlns:ds="http://schemas.openxmlformats.org/officeDocument/2006/customXml" ds:itemID="{66784DB3-683E-4B3E-86B2-65E1A632D1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235531-6c84-4004-a2cf-aad1ef8f5c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302C930-0374-44CE-B7C5-610E8899C41B}">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2DF88785-70AD-4538-86CD-B9D4FBCDB758}">
  <ds:schemaRefs>
    <ds:schemaRef ds:uri="http://com.sap.sop/sopconfig"/>
    <ds:schemaRef ds:uri=""/>
  </ds:schemaRefs>
</ds:datastoreItem>
</file>

<file path=customXml/itemProps5.xml><?xml version="1.0" encoding="utf-8"?>
<ds:datastoreItem xmlns:ds="http://schemas.openxmlformats.org/officeDocument/2006/customXml" ds:itemID="{B80C93AE-C495-423C-9758-760C9FB7AD57}">
  <ds:schemaRefs>
    <ds:schemaRef ds:uri="http://com.sap.sop/sopconfigpv"/>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SapIbpChartFeeder</vt:lpstr>
      <vt:lpstr>IBPFormattingSheet</vt:lpstr>
      <vt:lpstr>G610 RET</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CONTI, ALBERTO</dc:creator>
  <cp:lastModifiedBy>Abhishek Khetrapal</cp:lastModifiedBy>
  <dcterms:created xsi:type="dcterms:W3CDTF">2012-11-19T20:56:01Z</dcterms:created>
  <dcterms:modified xsi:type="dcterms:W3CDTF">2025-06-01T23:40:03Z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ContentTypeId">
    <vt:lpwstr>0x010100DD9F2166D59D0A48A949E5097BE98C8F</vt:lpwstr>
  </property>
  <property fmtid="{D5CDD505-2E9C-101B-9397-08002B2CF9AE}" pid="4" name="CofWorkbookId">
    <vt:lpwstr>bcec528f-4008-453e-8c12-f5b5fc578304</vt:lpwstr>
  </property>
  <property fmtid="{D5CDD505-2E9C-101B-9397-08002B2CF9AE}" pid="5" name="IbpWorkbookKeyString_GUID">
    <vt:lpwstr>b23d5a98-5487-45a4-a4aa-423bbd9e0326</vt:lpwstr>
  </property>
</Properties>
</file>